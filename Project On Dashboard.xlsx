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c\Desktop\PROJECT ON DATA ANALYSIS\"/>
    </mc:Choice>
  </mc:AlternateContent>
  <xr:revisionPtr revIDLastSave="0" documentId="13_ncr:1_{4A587185-0C4F-4734-BF50-EA3CC36F78C3}" xr6:coauthVersionLast="47" xr6:coauthVersionMax="47" xr10:uidLastSave="{00000000-0000-0000-0000-000000000000}"/>
  <bookViews>
    <workbookView xWindow="-108" yWindow="-108" windowWidth="23256" windowHeight="13176" activeTab="2" xr2:uid="{1D3152CE-46AB-47AF-BA11-E341D3B20DC9}"/>
  </bookViews>
  <sheets>
    <sheet name="Working Sheet" sheetId="1" r:id="rId1"/>
    <sheet name="Pivot Table" sheetId="2" r:id="rId2"/>
    <sheet name="Dashboard" sheetId="4" r:id="rId3"/>
  </sheets>
  <definedNames>
    <definedName name="NativeTimeline_Order_Date">#N/A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<sst xmlns="http://schemas.openxmlformats.org/spreadsheetml/2006/main" count="13060" uniqueCount="3025">
  <si>
    <t>Row ID</t>
  </si>
  <si>
    <t>Order ID</t>
  </si>
  <si>
    <t>Order Date</t>
  </si>
  <si>
    <t>YM</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</si>
  <si>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</si>
  <si>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</si>
  <si>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</si>
  <si>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</si>
  <si>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</si>
  <si>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</si>
  <si>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</si>
  <si>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</si>
  <si>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</si>
  <si>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</si>
  <si>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</si>
  <si>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</si>
  <si>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</si>
  <si>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</si>
  <si>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</si>
  <si>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</si>
  <si>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</si>
  <si>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</si>
  <si>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</si>
  <si>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</si>
  <si>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</si>
  <si>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</si>
  <si>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</si>
  <si>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</si>
  <si>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</si>
  <si>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</si>
  <si>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</si>
  <si>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</si>
  <si>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</si>
  <si>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</si>
  <si>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</si>
  <si>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</si>
  <si>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</si>
  <si>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</si>
  <si>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</si>
  <si>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</si>
  <si>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</si>
  <si>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</si>
  <si>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</si>
  <si>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</si>
  <si>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</si>
  <si>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</si>
  <si>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</si>
  <si>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</si>
  <si>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</si>
  <si>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</si>
  <si>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</si>
  <si>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</si>
  <si>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</si>
  <si>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</si>
  <si>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</si>
  <si>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</si>
  <si>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</si>
  <si>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</si>
  <si>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</si>
  <si>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</si>
  <si>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</si>
  <si>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</si>
  <si>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</si>
  <si>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</si>
  <si>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</si>
  <si>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</si>
  <si>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</si>
  <si>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</si>
  <si>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</si>
  <si>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</si>
  <si>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</si>
  <si>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</si>
  <si>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</si>
  <si>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</si>
  <si>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</si>
  <si>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</si>
  <si>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</si>
  <si>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</si>
  <si>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</si>
  <si>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</si>
  <si>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</si>
  <si>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</si>
  <si>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</si>
  <si>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</si>
  <si>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</si>
  <si>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</si>
  <si>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</si>
  <si>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</si>
  <si>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</si>
  <si>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</si>
  <si>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</si>
  <si>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</si>
  <si>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</si>
  <si>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</si>
  <si>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</si>
  <si>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</si>
  <si>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</si>
  <si>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</si>
  <si>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</si>
  <si>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</si>
  <si>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</si>
  <si>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</si>
  <si>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</si>
  <si>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</si>
  <si>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</si>
  <si>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</si>
  <si>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</si>
  <si>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</si>
  <si>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</si>
  <si>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</si>
  <si>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</si>
  <si>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</si>
  <si>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</si>
  <si>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</si>
  <si>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</si>
  <si>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</si>
  <si>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</si>
  <si>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</si>
  <si>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</si>
  <si>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</si>
  <si>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</si>
  <si>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</si>
  <si>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</si>
  <si>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</si>
  <si>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</si>
  <si>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</si>
  <si>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</si>
  <si>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</si>
  <si>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</si>
  <si>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</si>
  <si>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</si>
  <si>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</si>
  <si>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</si>
  <si>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</si>
  <si>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</si>
  <si>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</si>
  <si>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</si>
  <si>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</si>
  <si>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</si>
  <si>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</si>
  <si>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</si>
  <si>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</si>
  <si>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</si>
  <si>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</si>
  <si>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</si>
  <si>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</si>
  <si>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</si>
  <si>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</si>
  <si>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</si>
  <si>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</si>
  <si>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</si>
  <si>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</si>
  <si>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</si>
  <si>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</si>
  <si>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</si>
  <si>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</si>
  <si>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</si>
  <si>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</si>
  <si>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</si>
  <si>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</si>
  <si>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</si>
  <si>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</si>
  <si>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</si>
  <si>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</si>
  <si>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</si>
  <si>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</si>
  <si>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</si>
  <si>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</si>
  <si>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</si>
  <si>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</si>
  <si>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</si>
  <si>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</si>
  <si>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</si>
  <si>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</si>
  <si>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</si>
  <si>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</si>
  <si>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</si>
  <si>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</si>
  <si>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</si>
  <si>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</si>
  <si>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</si>
  <si>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</si>
  <si>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</si>
  <si>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</si>
  <si>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</si>
  <si>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</si>
  <si>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</si>
  <si>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</si>
  <si>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</si>
  <si>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</si>
  <si>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</si>
  <si>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</si>
  <si>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</si>
  <si>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</si>
  <si>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</si>
  <si>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</si>
  <si>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</si>
  <si>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</si>
  <si>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</si>
  <si>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</si>
  <si>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</si>
  <si>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</si>
  <si>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</si>
  <si>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</si>
  <si>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</si>
  <si>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</si>
  <si>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</si>
  <si>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</si>
  <si>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</si>
  <si>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</si>
  <si>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</si>
  <si>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</si>
  <si>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</si>
  <si>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</si>
  <si>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</si>
  <si>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</si>
  <si>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</si>
  <si>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</si>
  <si>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</si>
  <si>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</si>
  <si>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</si>
  <si>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</si>
  <si>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</si>
  <si>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</si>
  <si>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</si>
  <si>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</si>
  <si>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</si>
  <si>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</si>
  <si>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</si>
  <si>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</si>
  <si>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</si>
  <si>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</si>
  <si>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</si>
  <si>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</si>
  <si>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</si>
  <si>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</si>
  <si>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</si>
  <si>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</si>
  <si>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</si>
  <si>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</si>
  <si>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</si>
  <si>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</si>
  <si>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</si>
  <si>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</si>
  <si>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</si>
  <si>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</si>
  <si>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</si>
  <si>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</si>
  <si>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</si>
  <si>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</si>
  <si>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</si>
  <si>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</si>
  <si>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</si>
  <si>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</si>
  <si>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</si>
  <si>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</si>
  <si>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</si>
  <si>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</si>
  <si>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</si>
  <si>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</si>
  <si>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</si>
  <si>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</si>
  <si>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</si>
  <si>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</si>
  <si>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</si>
  <si>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</si>
  <si>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</si>
  <si>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</si>
  <si>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</si>
  <si>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</si>
  <si>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</si>
  <si>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</si>
  <si>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</si>
  <si>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</si>
  <si>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</si>
  <si>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</si>
  <si>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</si>
  <si>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</si>
  <si>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</si>
  <si>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</si>
  <si>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</si>
  <si>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</si>
  <si>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</si>
  <si>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</si>
  <si>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</si>
  <si>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</si>
  <si>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</si>
  <si>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</si>
  <si>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</si>
  <si>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</si>
  <si>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</si>
  <si>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</si>
  <si>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</si>
  <si>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</si>
  <si>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</si>
  <si>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</si>
  <si>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</si>
  <si>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</si>
  <si>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</si>
  <si>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</si>
  <si>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</si>
  <si>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</si>
  <si>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</si>
  <si>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</si>
  <si>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</si>
  <si>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</si>
  <si>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</si>
  <si>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</si>
  <si>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</si>
  <si>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</si>
  <si>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</si>
  <si>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</si>
  <si>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</si>
  <si>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</si>
  <si>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</si>
  <si>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</si>
  <si>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</si>
  <si>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</si>
  <si>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</si>
  <si>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</si>
  <si>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</si>
  <si>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</si>
  <si>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</si>
  <si>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</si>
  <si>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</si>
  <si>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</si>
  <si>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</si>
  <si>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</si>
  <si>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</si>
  <si>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</si>
  <si>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</si>
  <si>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</si>
  <si>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</si>
  <si>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</si>
  <si>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</si>
  <si>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</si>
  <si>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</si>
  <si>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</si>
  <si>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</si>
  <si>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</si>
  <si>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</si>
  <si>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</si>
  <si>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</si>
  <si>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</si>
  <si>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</si>
  <si>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</si>
  <si>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</si>
  <si>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</si>
  <si>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</si>
  <si>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</si>
  <si>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</si>
  <si>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</si>
  <si>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</si>
  <si>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</si>
  <si>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</si>
  <si>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</si>
  <si>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</si>
  <si>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</si>
  <si>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</si>
  <si>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</si>
  <si>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</si>
  <si>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</si>
  <si>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</si>
  <si>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</si>
  <si>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</si>
  <si>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</si>
  <si>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</si>
  <si>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</si>
  <si>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</si>
  <si>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</si>
  <si>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</si>
  <si>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</si>
  <si>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</si>
  <si>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</si>
  <si>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</si>
  <si>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</si>
  <si>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</si>
  <si>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</si>
  <si>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</si>
  <si>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</si>
  <si>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</si>
  <si>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</si>
  <si>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</si>
  <si>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</si>
  <si>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</si>
  <si>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</si>
  <si>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</si>
  <si>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</si>
  <si>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</si>
  <si>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</si>
  <si>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</si>
  <si>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</si>
  <si>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</si>
  <si>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</si>
  <si>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</si>
  <si>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</si>
  <si>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</si>
  <si>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</si>
  <si>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</si>
  <si>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</si>
  <si>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</si>
  <si>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</si>
  <si>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</si>
  <si>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</si>
  <si>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</si>
  <si>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</si>
  <si>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</si>
  <si>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</si>
  <si>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</si>
  <si>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</si>
  <si>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</si>
  <si>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</si>
  <si>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</si>
  <si>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</si>
  <si>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</si>
  <si>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</si>
  <si>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</si>
  <si>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</si>
  <si>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</si>
  <si>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</si>
  <si>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</si>
  <si>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</si>
  <si>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</si>
  <si>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</si>
  <si>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</si>
  <si>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</si>
  <si>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</si>
  <si>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</si>
  <si>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</si>
  <si>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</si>
  <si>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</si>
  <si>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</si>
  <si>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</si>
  <si>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</si>
  <si>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</si>
  <si>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</si>
  <si>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</si>
  <si>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</si>
  <si>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</si>
  <si>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</si>
  <si>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</si>
  <si>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</si>
  <si>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</si>
  <si>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</si>
  <si>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</si>
  <si>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</si>
  <si>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</si>
  <si>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</si>
  <si>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</si>
  <si>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</si>
  <si>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</si>
  <si>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</si>
  <si>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</si>
  <si>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</si>
  <si>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</si>
  <si>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</si>
  <si>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</si>
  <si>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</si>
  <si>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</si>
  <si>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</si>
  <si>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</si>
  <si>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</si>
  <si>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</si>
  <si>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</si>
  <si>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</si>
  <si>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</si>
  <si>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</si>
  <si>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</si>
  <si>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</si>
  <si>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</si>
  <si>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</si>
  <si>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</si>
  <si>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</si>
  <si>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</si>
  <si>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</si>
  <si>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</si>
  <si>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</si>
  <si>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</si>
  <si>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</si>
  <si>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</si>
  <si>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</si>
  <si>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</si>
  <si>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</si>
  <si>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</si>
  <si>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</si>
  <si>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</si>
  <si>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</si>
  <si>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</si>
  <si>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</si>
  <si>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</si>
  <si>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</si>
  <si>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</si>
  <si>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</si>
  <si>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</si>
  <si>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</si>
  <si>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</si>
  <si>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</si>
  <si>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</si>
  <si>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</si>
  <si>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</si>
  <si>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</si>
  <si>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</si>
  <si>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</si>
  <si>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</si>
  <si>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</si>
  <si>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</si>
  <si>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</si>
  <si>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</si>
  <si>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</si>
  <si>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</si>
  <si>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</si>
  <si>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</si>
  <si>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</si>
  <si>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</si>
  <si>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</si>
  <si>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</si>
  <si>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</si>
  <si>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</si>
  <si>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</si>
  <si>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</si>
  <si>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</si>
  <si>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</si>
  <si>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</si>
  <si>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</si>
  <si>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</si>
  <si>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</si>
  <si>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</si>
  <si>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</si>
  <si>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</si>
  <si>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</si>
  <si>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</si>
  <si>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</si>
  <si>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</si>
  <si>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</si>
  <si>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</si>
  <si>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</si>
  <si>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</si>
  <si>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</si>
  <si>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</si>
  <si>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</si>
  <si>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</si>
  <si>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</si>
  <si>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</si>
  <si>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</si>
  <si>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</si>
  <si>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</si>
  <si>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</si>
  <si>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</si>
  <si>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</si>
  <si>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</si>
  <si>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</si>
  <si>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</si>
  <si>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</si>
  <si>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</si>
  <si>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</si>
  <si>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</si>
  <si>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</si>
  <si>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</si>
  <si>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</si>
  <si>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</si>
  <si>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</si>
  <si>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</si>
  <si>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</si>
  <si>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</si>
  <si>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</si>
  <si>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</si>
  <si>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</si>
  <si>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</si>
  <si>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</si>
  <si>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</si>
  <si>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</si>
  <si>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</si>
  <si>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</si>
  <si>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</si>
  <si>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</si>
  <si>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</si>
  <si>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</si>
  <si>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</si>
  <si>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</si>
  <si>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</si>
  <si>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</si>
  <si>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</si>
  <si>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</si>
  <si>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</si>
  <si>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</si>
  <si>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</si>
  <si>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</si>
  <si>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</si>
  <si>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</si>
  <si>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</si>
  <si>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</si>
  <si>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</si>
  <si>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</si>
  <si>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</si>
  <si>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</si>
  <si>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</si>
  <si>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</si>
  <si>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</si>
  <si>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</si>
  <si>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</si>
  <si>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</si>
  <si>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</si>
  <si>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</si>
  <si>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</si>
  <si>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</si>
  <si>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</si>
  <si>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</si>
  <si>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</si>
  <si>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</si>
  <si>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</si>
  <si>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</si>
  <si>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</si>
  <si>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</si>
  <si>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</si>
  <si>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</si>
  <si>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</si>
  <si>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</si>
  <si>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</si>
  <si>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</si>
  <si>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</si>
  <si>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</si>
  <si>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</si>
  <si>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</si>
  <si>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</si>
  <si>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</si>
  <si>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</si>
  <si>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</si>
  <si>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</si>
  <si>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</si>
  <si>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</si>
  <si>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</si>
  <si>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</si>
  <si>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</si>
  <si>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</si>
  <si>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</si>
  <si>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</si>
  <si>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</si>
  <si>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</si>
  <si>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</si>
  <si>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</si>
  <si>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</si>
  <si>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</si>
  <si>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</si>
  <si>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</si>
  <si>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</si>
  <si>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</si>
  <si>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</si>
  <si>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</si>
  <si>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</si>
  <si>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</si>
  <si>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</si>
  <si>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</si>
  <si>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</si>
  <si>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</si>
  <si>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</si>
  <si>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</si>
  <si>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</si>
  <si>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</si>
  <si>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</si>
  <si>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</si>
  <si>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</si>
  <si>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</si>
  <si>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</si>
  <si>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</si>
  <si>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</si>
  <si>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</si>
  <si>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</si>
  <si>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</si>
  <si>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</si>
  <si>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</si>
  <si>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</si>
  <si>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</si>
  <si>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</si>
  <si>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</si>
  <si>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</si>
  <si>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</si>
  <si>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</si>
  <si>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</si>
  <si>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</si>
  <si>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</si>
  <si>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</si>
  <si>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</si>
  <si>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</si>
  <si>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</si>
  <si>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</si>
  <si>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</si>
  <si>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</si>
  <si>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</si>
  <si>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</si>
  <si>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</si>
  <si>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</si>
  <si>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</si>
  <si>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</si>
  <si>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</si>
  <si>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</si>
  <si>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</si>
  <si>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</si>
  <si>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</si>
  <si>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</si>
  <si>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</si>
  <si>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</si>
  <si>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</si>
  <si>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</si>
  <si>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</si>
  <si>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</si>
  <si>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</si>
  <si>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</si>
  <si>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</si>
  <si>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</si>
  <si>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</si>
  <si>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</si>
  <si>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</si>
  <si>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</si>
  <si>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</si>
  <si>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</si>
  <si>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</si>
  <si>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</si>
  <si>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</si>
  <si>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</si>
  <si>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</si>
  <si>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</si>
  <si>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</si>
  <si>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</si>
  <si>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</si>
  <si>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</si>
  <si>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</si>
  <si>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</si>
  <si>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</si>
  <si>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</si>
  <si>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</si>
  <si>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</si>
  <si>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</si>
  <si>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</si>
  <si>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</si>
  <si>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</si>
  <si>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</si>
  <si>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</si>
  <si>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</si>
  <si>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</si>
  <si>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</si>
  <si>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</si>
  <si>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</si>
  <si>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</si>
  <si>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</si>
  <si>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</si>
  <si>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</si>
  <si>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</si>
  <si>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</si>
  <si>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</si>
  <si>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</si>
  <si>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</si>
  <si>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</si>
  <si>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</si>
  <si>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</si>
  <si>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</si>
  <si>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</si>
  <si>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</si>
  <si>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</si>
  <si>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</si>
  <si>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</si>
  <si>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</si>
  <si>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</si>
  <si>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</si>
  <si>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</si>
  <si>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</si>
  <si>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</si>
  <si>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</si>
  <si>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</si>
  <si>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</si>
  <si>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</si>
  <si>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</si>
  <si>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</si>
  <si>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</si>
  <si>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</si>
  <si>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</si>
  <si>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</si>
  <si>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</si>
  <si>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</si>
  <si>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</si>
  <si>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</si>
  <si>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</si>
  <si>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</si>
  <si>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</si>
  <si>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</si>
  <si>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</si>
  <si>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</si>
  <si>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</si>
  <si>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</si>
  <si>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</si>
  <si>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</si>
  <si>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</si>
  <si>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</si>
  <si>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</si>
  <si>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</si>
  <si>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</si>
  <si>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</si>
  <si>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</si>
  <si>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</si>
  <si>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</si>
  <si>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</si>
  <si>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</si>
  <si>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</si>
  <si>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</si>
  <si>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</si>
  <si>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</si>
  <si>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</si>
  <si>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</si>
  <si>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</si>
  <si>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</si>
  <si>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</si>
  <si>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</si>
  <si>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</si>
  <si>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</si>
  <si>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</si>
  <si>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</si>
  <si>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</si>
  <si>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</si>
  <si>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</si>
  <si>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</si>
  <si>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</si>
  <si>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</si>
  <si>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</si>
  <si>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</si>
  <si>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</si>
  <si>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</si>
  <si>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</si>
  <si>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</si>
  <si>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</si>
  <si>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</si>
  <si>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</si>
  <si>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</si>
  <si>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</si>
  <si>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</si>
  <si>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</si>
  <si>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</si>
  <si>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</si>
  <si>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</si>
  <si>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</si>
  <si>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</si>
  <si>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</si>
  <si>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</si>
  <si>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</si>
  <si>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</si>
  <si>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</si>
  <si>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</si>
  <si>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</si>
  <si>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</si>
  <si>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</si>
  <si>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</si>
  <si>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</si>
  <si>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</si>
  <si>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</si>
  <si>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</si>
  <si>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</si>
  <si>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</si>
  <si>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</si>
  <si>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</si>
  <si>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</si>
  <si>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</si>
  <si>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</si>
  <si>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</si>
  <si>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</si>
  <si>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</si>
  <si>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</si>
  <si>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</si>
  <si>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</si>
  <si>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</si>
  <si>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</si>
  <si>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</si>
  <si>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</si>
  <si>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</si>
  <si>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</si>
  <si>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</si>
  <si>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</si>
  <si>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</si>
  <si>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</si>
  <si>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</si>
  <si>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</si>
  <si>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</si>
  <si>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</si>
  <si>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</si>
  <si>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</si>
  <si>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</si>
  <si>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</si>
  <si>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</si>
  <si>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</si>
  <si>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</si>
  <si>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</si>
  <si>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</si>
  <si>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</si>
  <si>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</si>
  <si>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</si>
  <si>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</si>
  <si>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</si>
  <si>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</si>
  <si>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</si>
  <si>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</si>
  <si>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</si>
  <si>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</si>
  <si>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</si>
  <si>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</si>
  <si>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</si>
  <si>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</si>
  <si>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</si>
  <si>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</si>
  <si>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</si>
  <si>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</si>
  <si>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</si>
  <si>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</si>
  <si>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</si>
  <si>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</si>
  <si>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</si>
  <si>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</si>
  <si>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</si>
  <si>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</si>
  <si>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</si>
  <si>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</si>
  <si>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</si>
  <si>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</si>
  <si>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</si>
  <si>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</si>
  <si>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</si>
  <si>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</si>
  <si>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</si>
  <si>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</si>
  <si>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</si>
  <si>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</si>
  <si>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</si>
  <si>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</si>
  <si>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</si>
  <si>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</si>
  <si>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</si>
  <si>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</si>
  <si>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</si>
  <si>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</si>
  <si>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</si>
  <si>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</si>
  <si>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</si>
  <si>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</si>
  <si>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</si>
  <si>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</si>
  <si>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</si>
  <si>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</si>
  <si>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</si>
  <si>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</si>
  <si>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</si>
  <si>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</si>
  <si>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</si>
  <si>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</si>
  <si>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</si>
  <si>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</si>
  <si>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</si>
  <si>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</si>
  <si>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</si>
  <si>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</si>
  <si>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</si>
  <si>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</si>
  <si>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</si>
  <si>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</si>
  <si>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</si>
  <si>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</si>
  <si>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</si>
  <si>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</si>
  <si>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</si>
  <si>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</si>
  <si>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</si>
  <si>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</si>
  <si>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</si>
  <si>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</si>
  <si>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</si>
  <si>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</si>
  <si>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</si>
  <si>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</si>
  <si>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</si>
  <si>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</si>
  <si>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</si>
  <si>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</si>
  <si>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</si>
  <si>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</si>
  <si>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</si>
  <si>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</si>
  <si>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</si>
  <si>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</si>
  <si>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</si>
  <si>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</si>
  <si>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</si>
  <si>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</si>
  <si>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</si>
  <si>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</si>
  <si>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</si>
  <si>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</si>
  <si>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</si>
  <si>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</si>
  <si>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</si>
  <si>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</si>
  <si>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</si>
  <si>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</si>
  <si>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</si>
  <si>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</si>
  <si>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</si>
  <si>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</si>
  <si>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</si>
  <si>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</si>
  <si>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</si>
  <si>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</si>
  <si>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</si>
  <si>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</si>
  <si>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</si>
  <si>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</si>
  <si>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</si>
  <si>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</si>
  <si>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</si>
  <si>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</si>
  <si>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</si>
  <si>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</si>
  <si>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</si>
  <si>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</si>
  <si>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</si>
  <si>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</si>
  <si>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</si>
  <si>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</si>
  <si>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</si>
  <si>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</si>
  <si>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</si>
  <si>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</si>
  <si>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</si>
  <si>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</si>
  <si>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</si>
  <si>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</si>
  <si>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</si>
  <si>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</si>
  <si>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</si>
  <si>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</si>
  <si>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</si>
  <si>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</si>
  <si>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</si>
  <si>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</si>
  <si>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</si>
  <si>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</si>
  <si>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</si>
  <si>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</si>
  <si>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</si>
  <si>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</si>
  <si>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</si>
  <si>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</si>
  <si>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</si>
  <si>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</si>
  <si>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</si>
  <si>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</si>
  <si>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</si>
  <si>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</si>
  <si>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</si>
  <si>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</si>
  <si>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</si>
  <si>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</si>
  <si>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</si>
  <si>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</si>
  <si>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</si>
  <si>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</si>
  <si>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</si>
  <si>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</si>
  <si>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</si>
  <si>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</si>
  <si>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</si>
  <si>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</si>
  <si>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</si>
  <si>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</si>
  <si>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</si>
  <si>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</si>
  <si>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</si>
  <si>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</si>
  <si>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</si>
  <si>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</si>
  <si>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</si>
  <si>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</si>
  <si>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</si>
  <si>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</si>
  <si>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</si>
  <si>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</si>
  <si>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</si>
  <si>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</si>
  <si>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</si>
  <si>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</si>
  <si>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</si>
  <si>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</si>
  <si>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</si>
  <si>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</si>
  <si>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</si>
  <si>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</si>
  <si>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</si>
  <si>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</si>
  <si>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</si>
  <si>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</si>
  <si>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</si>
  <si>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</si>
  <si>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</si>
  <si>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</si>
  <si>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</si>
  <si>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</si>
  <si>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</si>
  <si>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</si>
  <si>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</si>
  <si>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</si>
  <si>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</si>
  <si>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</si>
  <si>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</si>
  <si>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</si>
  <si>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</si>
  <si>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</si>
  <si>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</si>
  <si>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</si>
  <si>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</si>
  <si>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</si>
  <si>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</si>
  <si>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</si>
  <si>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</si>
  <si>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</si>
  <si>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</si>
  <si>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</si>
  <si>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</si>
  <si>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</si>
  <si>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</si>
  <si>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</si>
  <si>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</si>
  <si>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</si>
  <si>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</si>
  <si>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</si>
  <si>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</si>
  <si>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</si>
  <si>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</si>
  <si>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</si>
  <si>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</si>
  <si>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</si>
  <si>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</si>
  <si>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</si>
  <si>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</si>
  <si>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</si>
  <si>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</si>
  <si>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</si>
  <si>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</si>
  <si>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</si>
  <si>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</si>
  <si>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</si>
  <si>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</si>
  <si>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</si>
  <si>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</si>
  <si>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</si>
  <si>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</si>
  <si>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</si>
  <si>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</si>
  <si>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</si>
  <si>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</si>
  <si>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</si>
  <si>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</si>
  <si>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</si>
  <si>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</si>
  <si>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</si>
  <si>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</si>
  <si>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</si>
  <si>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</si>
  <si>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</si>
  <si>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</si>
  <si>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</si>
  <si>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</si>
  <si>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</si>
  <si>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</si>
  <si>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</si>
  <si>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</si>
  <si>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</si>
  <si>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</si>
  <si>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</si>
  <si>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</si>
  <si>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</si>
  <si>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</si>
  <si>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</si>
  <si>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</si>
  <si>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</si>
  <si>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</si>
  <si>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</si>
  <si>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</si>
  <si>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</si>
  <si>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</si>
  <si>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</si>
  <si>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</si>
  <si>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</si>
  <si>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</si>
  <si>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</si>
  <si>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</si>
  <si>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</si>
  <si>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</si>
  <si>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</si>
  <si>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</si>
  <si>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</si>
  <si>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</si>
  <si>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</si>
  <si>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</si>
  <si>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</si>
  <si>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</si>
  <si>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</si>
  <si>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</si>
  <si>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</si>
  <si>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</si>
  <si>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</si>
  <si>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</si>
  <si>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</si>
  <si>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</si>
  <si>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</si>
  <si>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</si>
  <si>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</si>
  <si>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</si>
  <si>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</si>
  <si>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</si>
  <si>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</si>
  <si>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</si>
  <si>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</si>
  <si>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</si>
  <si>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</si>
  <si>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</si>
  <si>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</si>
  <si>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</si>
  <si>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</si>
  <si>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</si>
  <si>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</si>
  <si>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</si>
  <si>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</si>
  <si>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</si>
  <si>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</si>
  <si>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</si>
  <si>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</si>
  <si>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</si>
  <si>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</si>
  <si>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</si>
  <si>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</si>
  <si>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</si>
  <si>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</si>
  <si>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</si>
  <si>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</si>
  <si>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</si>
  <si>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</si>
  <si>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</si>
  <si>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</si>
  <si>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</si>
  <si>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</si>
  <si>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</si>
  <si>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</si>
  <si>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</si>
  <si>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</si>
  <si>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</si>
  <si>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</si>
  <si>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</si>
  <si>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</si>
  <si>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</si>
  <si>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</si>
  <si>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</si>
  <si>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</si>
  <si>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</si>
  <si>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</si>
  <si>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</si>
  <si>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</si>
  <si>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</si>
  <si>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</si>
  <si>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</si>
  <si>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</si>
  <si>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</si>
  <si>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</si>
  <si>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</si>
  <si>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</si>
  <si>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</si>
  <si>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</si>
  <si>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</si>
  <si>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</si>
  <si>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</si>
  <si>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</si>
  <si>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</si>
  <si>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</si>
  <si>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</si>
  <si>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</si>
  <si>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</si>
  <si>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</si>
  <si>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</si>
  <si>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</si>
  <si>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</si>
  <si>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</si>
  <si>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</si>
  <si>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</si>
  <si>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</si>
  <si>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</si>
  <si>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</si>
  <si>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</si>
  <si>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</si>
  <si>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</si>
  <si>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</si>
  <si>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</si>
  <si>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</si>
  <si>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</si>
  <si>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</si>
  <si>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</si>
  <si>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</si>
  <si>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</si>
  <si>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</si>
  <si>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</si>
  <si>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</si>
  <si>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</si>
  <si>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</si>
  <si>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</si>
  <si>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</si>
  <si>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</si>
  <si>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</si>
  <si>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</si>
  <si>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</si>
  <si>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</si>
  <si>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</si>
  <si>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</si>
  <si>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</si>
  <si>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</si>
  <si>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</si>
  <si>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</si>
  <si>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</si>
  <si>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</si>
  <si>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</si>
  <si>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</si>
  <si>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</si>
  <si>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</si>
  <si>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</si>
  <si>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</si>
  <si>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</si>
  <si>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</si>
  <si>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</si>
  <si>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</si>
  <si>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</si>
  <si>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</si>
  <si>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</si>
  <si>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</si>
  <si>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</si>
  <si>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</si>
  <si>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</si>
  <si>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</si>
  <si>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</si>
  <si>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</si>
  <si>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</si>
  <si>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</si>
  <si>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</si>
  <si>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</si>
  <si>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</si>
  <si>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</si>
  <si>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</si>
  <si>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</si>
  <si>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</si>
  <si>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</si>
  <si>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</si>
  <si>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</si>
  <si>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</si>
  <si>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</si>
  <si>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</si>
  <si>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</si>
  <si>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</si>
  <si>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</si>
  <si>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</si>
  <si>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</si>
  <si>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</si>
  <si>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</si>
  <si>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</si>
  <si>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</si>
  <si>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</si>
  <si>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</si>
  <si>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</si>
  <si>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</si>
  <si>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</si>
  <si>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</si>
  <si>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</si>
  <si>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</si>
  <si>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</si>
  <si>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</si>
  <si>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</si>
  <si>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</si>
  <si>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</si>
  <si>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</si>
  <si>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</si>
  <si>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</si>
  <si>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</si>
  <si>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</si>
  <si>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</si>
  <si>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</si>
  <si>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</si>
  <si>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</si>
  <si>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</si>
  <si>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</si>
  <si>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</si>
  <si>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</si>
  <si>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</si>
  <si>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</si>
  <si>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</si>
  <si>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</si>
  <si>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</si>
  <si>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</si>
  <si>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</si>
  <si>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</si>
  <si>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</si>
  <si>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</si>
  <si>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</si>
  <si>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</si>
  <si>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</si>
  <si>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</si>
  <si>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</si>
  <si>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</si>
  <si>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</si>
  <si>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</si>
  <si>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</si>
  <si>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</si>
  <si>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</si>
  <si>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</si>
  <si>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</si>
  <si>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</si>
  <si>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</si>
  <si>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</si>
  <si>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</si>
  <si>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</si>
  <si>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</si>
  <si>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</si>
  <si>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</si>
  <si>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</si>
  <si>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</si>
  <si>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</si>
  <si>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</si>
  <si>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</si>
  <si>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</si>
  <si>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</si>
  <si>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</si>
  <si>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</si>
  <si>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</si>
  <si>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</si>
  <si>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</si>
  <si>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</si>
  <si>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</si>
  <si>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</si>
  <si>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</si>
  <si>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</si>
  <si>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</si>
  <si>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</si>
  <si>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</si>
  <si>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</si>
  <si>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</si>
  <si>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</si>
  <si>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</si>
  <si>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</si>
  <si>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</si>
  <si>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</si>
  <si>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</si>
  <si>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</si>
  <si>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</si>
  <si>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</si>
  <si>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</si>
  <si>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</si>
  <si>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</si>
  <si>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</si>
  <si>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</si>
  <si>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</si>
  <si>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</si>
  <si>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</si>
  <si>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</si>
  <si>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</si>
  <si>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</si>
  <si>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</si>
  <si>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</si>
  <si>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</si>
  <si>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</si>
  <si>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</si>
  <si>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</si>
  <si>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</si>
  <si>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</si>
  <si>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</si>
  <si>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</si>
  <si>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</si>
  <si>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</si>
  <si>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</si>
  <si>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</si>
  <si>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</si>
  <si>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</si>
  <si>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</si>
  <si>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</si>
  <si>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</si>
  <si>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</si>
  <si>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</si>
  <si>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</si>
  <si>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</si>
  <si>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</si>
  <si>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</si>
  <si>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</si>
  <si>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</si>
  <si>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</si>
  <si>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</si>
  <si>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</si>
  <si>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</si>
  <si>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</si>
  <si>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</si>
  <si>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</si>
  <si>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</si>
  <si>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</si>
  <si>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</si>
  <si>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</si>
  <si>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</si>
  <si>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</si>
  <si>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</si>
  <si>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</si>
  <si>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</si>
  <si>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</si>
  <si>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</si>
  <si>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</si>
  <si>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</si>
  <si>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</si>
  <si>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</si>
  <si>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</si>
  <si>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</si>
  <si>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</si>
  <si>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</si>
  <si>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</si>
  <si>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</si>
  <si>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</si>
  <si>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</si>
  <si>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</si>
  <si>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</si>
  <si>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</si>
  <si>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</si>
  <si>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</si>
  <si>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</si>
  <si>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</si>
  <si>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</si>
  <si>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</si>
  <si>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</si>
  <si>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</si>
  <si>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</si>
  <si>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</si>
  <si>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</si>
  <si>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</si>
  <si>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</si>
  <si>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</si>
  <si>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</si>
  <si>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</si>
  <si>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</si>
  <si>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</si>
  <si>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</si>
  <si>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</si>
  <si>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</si>
  <si>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</si>
  <si>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</si>
  <si>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</si>
  <si>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</si>
  <si>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</si>
  <si>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</si>
  <si>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</si>
  <si>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</si>
  <si>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</si>
  <si>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</si>
  <si>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</si>
  <si>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</si>
  <si>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</si>
  <si>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</si>
  <si>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</si>
  <si>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</si>
  <si>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</si>
  <si>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</si>
  <si>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</si>
  <si>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</si>
  <si>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</si>
  <si>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</si>
  <si>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</si>
  <si>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</si>
  <si>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</si>
  <si>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</si>
  <si>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</si>
  <si>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</si>
  <si>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</si>
  <si>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</si>
  <si>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</si>
  <si>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</si>
  <si>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</si>
  <si>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</si>
  <si>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</si>
  <si>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</si>
  <si>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</si>
  <si>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</si>
  <si>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</si>
  <si>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</si>
  <si>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</si>
  <si>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</si>
  <si>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</si>
  <si>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</si>
  <si>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</si>
  <si>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</si>
  <si>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</si>
  <si>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</si>
  <si>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</si>
  <si>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</si>
  <si>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</si>
  <si>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</si>
  <si>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</si>
  <si>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</si>
  <si>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</si>
  <si>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</si>
  <si>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</si>
  <si>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</si>
  <si>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</si>
  <si>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</si>
  <si>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</si>
  <si>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</si>
  <si>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</si>
  <si>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</si>
  <si>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</si>
  <si>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</si>
  <si>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</si>
  <si>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</si>
  <si>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</si>
  <si>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</si>
  <si>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</si>
  <si>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</si>
  <si>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</si>
  <si>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</si>
  <si>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</si>
  <si>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</si>
  <si>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</si>
  <si>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</si>
  <si>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</si>
  <si>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</si>
  <si>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</si>
  <si>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</si>
  <si>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</si>
  <si>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</si>
  <si>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</si>
  <si>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</si>
  <si>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</si>
  <si>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</si>
  <si>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</si>
  <si>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</si>
  <si>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</si>
  <si>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</si>
  <si>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</si>
  <si>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</si>
  <si>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</si>
  <si>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</si>
  <si>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</si>
  <si>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</si>
  <si>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</si>
  <si>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</si>
  <si>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</si>
  <si>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</si>
  <si>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</si>
  <si>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</si>
  <si>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</si>
  <si>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</si>
  <si>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</si>
  <si>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</si>
  <si>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</si>
  <si>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</si>
  <si>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</si>
  <si>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</si>
  <si>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</si>
  <si>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</si>
  <si>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</si>
  <si>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</si>
  <si>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</si>
  <si>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</si>
  <si>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</si>
  <si>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</si>
  <si>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</si>
  <si>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</si>
  <si>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</si>
  <si>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</si>
  <si>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</si>
  <si>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</si>
  <si>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</si>
  <si>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</si>
  <si>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</si>
  <si>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</si>
  <si>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</si>
  <si>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</si>
  <si>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</si>
  <si>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</si>
  <si>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</si>
  <si>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</si>
  <si>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</si>
  <si>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</si>
  <si>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</si>
  <si>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</si>
  <si>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</si>
  <si>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</si>
  <si>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</si>
  <si>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</si>
  <si>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</si>
  <si>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</si>
  <si>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</si>
  <si>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</si>
  <si>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</si>
  <si>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</si>
  <si>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</si>
  <si>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</si>
  <si>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</si>
  <si>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</si>
  <si>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</si>
  <si>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</si>
  <si>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</si>
  <si>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</si>
  <si>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</si>
  <si>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</si>
  <si>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</si>
  <si>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</si>
  <si>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</si>
  <si>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</si>
  <si>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</si>
  <si>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</si>
  <si>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</si>
  <si>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</si>
  <si>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</si>
  <si>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</si>
  <si>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</si>
  <si>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</si>
  <si>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</si>
  <si>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</si>
  <si>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</si>
  <si>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</si>
  <si>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</si>
  <si>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</si>
  <si>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</si>
  <si>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</si>
  <si>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</si>
  <si>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</si>
  <si>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</si>
  <si>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</si>
  <si>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</si>
  <si>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</si>
  <si>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</si>
  <si>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</si>
  <si>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</si>
  <si>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</si>
  <si>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</si>
  <si>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</si>
  <si>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</si>
  <si>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</si>
  <si>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</si>
  <si>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</si>
  <si>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</si>
  <si>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</si>
  <si>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</si>
  <si>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</si>
  <si>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</si>
  <si>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</si>
  <si>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</si>
  <si>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</si>
  <si>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</si>
  <si>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</si>
  <si>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</si>
  <si>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</si>
  <si>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</si>
  <si>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</si>
  <si>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</si>
  <si>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</si>
  <si>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</si>
  <si>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</si>
  <si>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</si>
  <si>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</si>
  <si>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</si>
  <si>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</si>
  <si>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</si>
  <si>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</si>
  <si>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</si>
  <si>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</si>
  <si>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</si>
  <si>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</si>
  <si>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</si>
  <si>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</si>
  <si>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</si>
  <si>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</si>
  <si>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</si>
  <si>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</si>
  <si>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</si>
  <si>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</si>
  <si>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</si>
  <si>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</si>
  <si>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</si>
  <si>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</si>
  <si>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</si>
  <si>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</si>
  <si>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</si>
  <si>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</si>
  <si>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</si>
  <si>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</si>
  <si>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</si>
  <si>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</si>
  <si>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</si>
  <si>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</si>
  <si>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</si>
  <si>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</si>
  <si>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</si>
  <si>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</si>
  <si>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</si>
  <si>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</si>
  <si>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</si>
  <si>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</si>
  <si>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</si>
  <si>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</si>
  <si>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</si>
  <si>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</si>
  <si>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</si>
  <si>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</si>
  <si>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</si>
  <si>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</si>
  <si>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</si>
  <si>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</si>
  <si>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</si>
  <si>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</si>
  <si>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</si>
  <si>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</si>
  <si>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</si>
  <si>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</si>
  <si>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</si>
  <si>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</si>
  <si>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</si>
  <si>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</si>
  <si>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</si>
  <si>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</si>
  <si>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</si>
  <si>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</si>
  <si>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</si>
  <si>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</si>
  <si>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</si>
  <si>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</si>
  <si>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</si>
  <si>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</si>
  <si>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</si>
  <si>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</si>
  <si>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</si>
  <si>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</si>
  <si>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</si>
  <si>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</si>
  <si>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</si>
  <si>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</si>
  <si>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</si>
  <si>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</si>
  <si>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</si>
  <si>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</si>
  <si>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</si>
  <si>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</si>
  <si>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</si>
  <si>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</si>
  <si>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</si>
  <si>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</si>
  <si>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</si>
  <si>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</si>
  <si>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</si>
  <si>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</si>
  <si>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</si>
  <si>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</si>
  <si>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</si>
  <si>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</si>
  <si>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</si>
  <si>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</si>
  <si>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</si>
  <si>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</si>
  <si>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</si>
  <si>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</si>
  <si>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</si>
  <si>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</si>
  <si>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</si>
  <si>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</si>
  <si>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</si>
  <si>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</si>
  <si>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</si>
  <si>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</si>
  <si>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</si>
  <si>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</si>
  <si>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</si>
  <si>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</si>
  <si>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</si>
  <si>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</si>
  <si>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</si>
  <si>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</si>
  <si>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</si>
  <si>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</si>
  <si>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</si>
  <si>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</si>
  <si>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</si>
  <si>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</si>
  <si>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</si>
  <si>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</si>
  <si>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</si>
  <si>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</si>
  <si>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</si>
  <si>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</si>
  <si>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</si>
  <si>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</si>
  <si>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</si>
  <si>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</si>
  <si>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</si>
  <si>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</si>
  <si>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</si>
  <si>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</si>
  <si>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</si>
  <si>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</si>
  <si>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</si>
  <si>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</si>
  <si>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</si>
  <si>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</si>
  <si>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</si>
  <si>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</si>
  <si>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</si>
  <si>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</si>
  <si>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</si>
  <si>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</si>
  <si>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</si>
  <si>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</si>
  <si>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</si>
  <si>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</si>
  <si>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</si>
  <si>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</si>
  <si>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</si>
  <si>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</si>
  <si>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</si>
  <si>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</si>
  <si>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</si>
  <si>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</si>
  <si>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</si>
  <si>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</si>
  <si>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</si>
  <si>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</si>
  <si>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</si>
  <si>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</si>
  <si>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</si>
  <si>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</si>
  <si>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</si>
  <si>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</si>
  <si>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</si>
  <si>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</si>
  <si>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</si>
  <si>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</si>
  <si>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</si>
  <si>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</si>
  <si>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</si>
  <si>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</si>
  <si>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</si>
  <si>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</si>
  <si>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</si>
  <si>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</si>
  <si>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</si>
  <si>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</si>
  <si>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</si>
  <si>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</si>
  <si>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</si>
  <si>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</si>
  <si>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</si>
  <si>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</si>
  <si>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</si>
  <si>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</si>
  <si>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</si>
  <si>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</si>
  <si>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</si>
  <si>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</si>
  <si>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</si>
  <si>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</si>
  <si>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</si>
  <si>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</si>
  <si>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</si>
  <si>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</si>
  <si>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</si>
  <si>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</si>
  <si>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</si>
  <si>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</si>
  <si>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</si>
  <si>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</si>
  <si>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</si>
  <si>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</si>
  <si>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</si>
  <si>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</si>
  <si>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</si>
  <si>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</si>
  <si>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</si>
  <si>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</si>
  <si>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</si>
  <si>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</si>
  <si>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</si>
  <si>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</si>
  <si>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</si>
  <si>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</si>
  <si>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</si>
  <si>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</si>
  <si>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</si>
  <si>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</si>
  <si>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</si>
  <si>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</si>
  <si>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</si>
  <si>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</si>
  <si>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</si>
  <si>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</si>
  <si>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</si>
  <si>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</si>
  <si>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</si>
  <si>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</si>
  <si>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</si>
  <si>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</si>
  <si>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</si>
  <si>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</si>
  <si>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</si>
  <si>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</si>
  <si>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</si>
  <si>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</si>
  <si>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</si>
  <si>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</si>
  <si>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</si>
  <si>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</si>
  <si>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</si>
  <si>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</si>
  <si>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</si>
  <si>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</si>
  <si>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</si>
  <si>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</si>
  <si>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</si>
  <si>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</si>
  <si>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</si>
  <si>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</si>
  <si>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</si>
  <si>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</si>
  <si>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</si>
  <si>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</si>
  <si>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</si>
  <si>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</si>
  <si>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</si>
  <si>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</si>
  <si>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</si>
  <si>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</si>
  <si>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</si>
  <si>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</si>
  <si>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</si>
  <si>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</si>
  <si>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</si>
  <si>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</si>
  <si>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</si>
  <si>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</si>
  <si>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</si>
  <si>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</si>
  <si>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</si>
  <si>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</si>
  <si>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</si>
  <si>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</si>
  <si>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</si>
  <si>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</si>
  <si>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</si>
  <si>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</si>
  <si>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</si>
  <si>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</si>
  <si>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</si>
  <si>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</si>
  <si>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</si>
  <si>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</si>
  <si>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</si>
  <si>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</si>
  <si>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</si>
  <si>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</si>
  <si>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</si>
  <si>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</si>
  <si>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</si>
  <si>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</si>
  <si>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</si>
  <si>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</si>
  <si>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</si>
  <si>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</si>
  <si>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</si>
  <si>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</si>
  <si>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</si>
  <si>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</si>
  <si>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</si>
  <si>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</si>
  <si>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</si>
  <si>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</si>
  <si>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</si>
  <si>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</si>
  <si>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</si>
  <si>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</si>
  <si>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</si>
  <si>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</si>
  <si>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</si>
  <si>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</si>
  <si>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</si>
  <si>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</si>
  <si>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</si>
  <si>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</si>
  <si>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</si>
  <si>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</si>
  <si>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</si>
  <si>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</si>
  <si>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</si>
  <si>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</si>
  <si>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</si>
  <si>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</si>
  <si>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</si>
  <si>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</si>
  <si>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</si>
  <si>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</si>
  <si>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</si>
  <si>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</si>
  <si>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</si>
  <si>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</si>
  <si>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</si>
  <si>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</si>
  <si>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</si>
  <si>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</si>
  <si>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</si>
  <si>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</si>
  <si>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</si>
  <si>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</si>
  <si>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</si>
  <si>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</si>
  <si>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</si>
  <si>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</si>
  <si>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</si>
  <si>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</si>
  <si>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</si>
  <si>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</si>
  <si>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</si>
  <si>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</si>
  <si>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</si>
  <si>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</si>
  <si>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</si>
  <si>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</si>
  <si>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</si>
  <si>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</si>
  <si>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</si>
  <si>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</si>
  <si>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</si>
  <si>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</si>
  <si>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</si>
  <si>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</si>
  <si>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</si>
  <si>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</si>
  <si>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</si>
  <si>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</si>
  <si>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</si>
  <si>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</si>
  <si>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</si>
  <si>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</si>
  <si>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</si>
  <si>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</si>
  <si>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</si>
  <si>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</si>
  <si>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</si>
  <si>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</si>
  <si>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</si>
  <si>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</si>
  <si>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</si>
  <si>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</si>
  <si>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</si>
  <si>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</si>
  <si>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</si>
  <si>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</si>
  <si>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</si>
  <si>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</si>
  <si>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</si>
  <si>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</si>
  <si>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</si>
  <si>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</si>
  <si>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</si>
  <si>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</si>
  <si>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</si>
  <si>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</si>
  <si>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</si>
  <si>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</si>
  <si>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</si>
  <si>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</si>
  <si>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</si>
  <si>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</si>
  <si>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</si>
  <si>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</si>
  <si>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</si>
  <si>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</si>
  <si>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</si>
  <si>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</si>
  <si>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</si>
  <si>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</si>
  <si>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</si>
  <si>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</si>
  <si>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</si>
  <si>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</si>
  <si>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</si>
  <si>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</si>
  <si>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</si>
  <si>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</si>
  <si>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</si>
  <si>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</si>
  <si>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</si>
  <si>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</si>
  <si>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</si>
  <si>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</si>
  <si>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</si>
  <si>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</si>
  <si>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</si>
  <si>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</si>
  <si>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</si>
  <si>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</si>
  <si>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</si>
  <si>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</si>
  <si>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</si>
  <si>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</si>
  <si>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</si>
  <si>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</si>
  <si>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</si>
  <si>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</si>
  <si>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</si>
  <si>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</si>
  <si>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</si>
  <si>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</si>
  <si>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</si>
  <si>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</si>
  <si>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</si>
  <si>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</si>
  <si>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</si>
  <si>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</si>
  <si>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</si>
  <si>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</si>
  <si>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</si>
  <si>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</si>
  <si>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</si>
  <si>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</si>
  <si>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</si>
  <si>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</si>
  <si>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</si>
  <si>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</si>
  <si>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</si>
  <si>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</si>
  <si>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</si>
  <si>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</si>
  <si>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</si>
  <si>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</si>
  <si>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</si>
  <si>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</si>
  <si>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</si>
  <si>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</si>
  <si>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</si>
  <si>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</si>
  <si>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</si>
  <si>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</si>
  <si>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</si>
  <si>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</si>
  <si>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</si>
  <si>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</si>
  <si>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</si>
  <si>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</si>
  <si>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</si>
  <si>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</si>
  <si>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</si>
  <si>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</si>
  <si>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</si>
  <si>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</si>
  <si>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</si>
  <si>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</si>
  <si>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</si>
  <si>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</si>
  <si>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</si>
  <si>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</si>
  <si>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</si>
  <si>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</si>
  <si>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</si>
  <si>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</si>
  <si>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</si>
  <si>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</si>
  <si>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</si>
  <si>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</si>
  <si>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</si>
  <si>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</si>
  <si>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</si>
  <si>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</si>
  <si>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</si>
  <si>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</si>
  <si>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</si>
  <si>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</si>
  <si>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</si>
  <si>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</si>
  <si>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</si>
  <si>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</si>
  <si>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</si>
  <si>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</si>
  <si>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</si>
  <si>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</si>
  <si>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</si>
  <si>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</si>
  <si>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</si>
  <si>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</si>
  <si>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</si>
  <si>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</si>
  <si>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</si>
  <si>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</si>
  <si>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</si>
  <si>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</si>
  <si>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</si>
  <si>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</si>
  <si>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</si>
  <si>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</si>
  <si>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</si>
  <si>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</si>
  <si>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</si>
  <si>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</si>
  <si>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</si>
  <si>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</si>
  <si>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</si>
  <si>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</si>
  <si>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</si>
  <si>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</si>
  <si>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</si>
  <si>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</si>
  <si>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</si>
  <si>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</si>
  <si>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</si>
  <si>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</si>
  <si>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</si>
  <si>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</si>
  <si>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</si>
  <si>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</si>
  <si>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</si>
  <si>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</si>
  <si>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</si>
  <si>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</si>
  <si>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</si>
  <si>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</si>
  <si>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</si>
  <si>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</si>
  <si>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</si>
  <si>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</si>
  <si>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</si>
  <si>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</si>
  <si>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</si>
  <si>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</si>
  <si>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</si>
  <si>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</si>
  <si>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</si>
  <si>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</si>
  <si>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</si>
  <si>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</si>
  <si>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</si>
  <si>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</si>
  <si>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</si>
  <si>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</si>
  <si>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</si>
  <si>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</si>
  <si>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</si>
  <si>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</si>
  <si>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</si>
  <si>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</si>
  <si>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</si>
  <si>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</si>
  <si>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</si>
  <si>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</si>
  <si>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</si>
  <si>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</si>
  <si>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</si>
  <si>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</si>
  <si>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</si>
  <si>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</si>
  <si>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</si>
  <si>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</si>
  <si>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</si>
  <si>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</si>
  <si>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</si>
  <si>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</si>
  <si>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</si>
  <si>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</si>
  <si>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</si>
  <si>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</si>
  <si>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</si>
  <si>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</si>
  <si>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</si>
  <si>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</si>
  <si>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</si>
  <si>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</si>
  <si>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</si>
  <si>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</si>
  <si>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</si>
  <si>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</si>
  <si>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</si>
  <si>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</si>
  <si>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</si>
  <si>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</si>
  <si>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</si>
  <si>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</si>
  <si>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</si>
  <si>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</si>
  <si>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</si>
  <si>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</si>
  <si>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</si>
  <si>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</si>
  <si>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</si>
  <si>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</si>
  <si>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</si>
  <si>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</si>
  <si>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</si>
  <si>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</si>
  <si>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</si>
  <si>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</si>
  <si>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</si>
  <si>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</si>
  <si>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</si>
  <si>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</si>
  <si>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</si>
  <si>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</si>
  <si>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</si>
  <si>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</si>
  <si>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</si>
  <si>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</si>
  <si>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</si>
  <si>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</si>
  <si>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</si>
  <si>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</si>
  <si>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</si>
  <si>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</si>
  <si>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</si>
  <si>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</si>
  <si>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</si>
  <si>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</si>
  <si>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</si>
  <si>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</si>
  <si>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</si>
  <si>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</si>
  <si>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</si>
  <si>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</si>
  <si>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</si>
  <si>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</si>
  <si>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</si>
  <si>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</si>
  <si>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</si>
  <si>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</si>
  <si>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</si>
  <si>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</si>
  <si>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</si>
  <si>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</si>
  <si>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</si>
  <si>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</si>
  <si>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</si>
  <si>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</si>
  <si>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</si>
  <si>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</si>
  <si>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</si>
  <si>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</si>
  <si>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</si>
  <si>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</si>
  <si>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</si>
  <si>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</si>
  <si>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</si>
  <si>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</si>
  <si>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</si>
  <si>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</si>
  <si>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</si>
  <si>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</si>
  <si>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</si>
  <si>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</si>
  <si>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</si>
  <si>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</si>
  <si>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</si>
  <si>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</si>
  <si>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</si>
  <si>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</si>
  <si>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</si>
  <si>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</si>
  <si>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</si>
  <si>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</si>
  <si>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</si>
  <si>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</si>
  <si>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</si>
  <si>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</si>
  <si>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</si>
  <si>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</si>
  <si>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</si>
  <si>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</si>
  <si>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</si>
  <si>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</si>
  <si>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</si>
  <si>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</si>
  <si>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</si>
  <si>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</si>
  <si>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</si>
  <si>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</si>
  <si>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</si>
  <si>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</si>
  <si>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</si>
  <si>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</si>
  <si>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</si>
  <si>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</si>
  <si>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</si>
  <si>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</si>
  <si>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</si>
  <si>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</si>
  <si>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</si>
  <si>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</si>
  <si>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</si>
  <si>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</si>
  <si>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</si>
  <si>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</si>
  <si>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</si>
  <si>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</si>
  <si>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</si>
  <si>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</si>
  <si>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</si>
  <si>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</si>
  <si>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</si>
  <si>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</si>
  <si>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</si>
  <si>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</si>
  <si>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</si>
  <si>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</si>
  <si>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</si>
  <si>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</si>
  <si>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</si>
  <si>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</si>
  <si>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</si>
  <si>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</si>
  <si>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</si>
  <si>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</si>
  <si>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</si>
  <si>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</si>
  <si>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</si>
  <si>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</si>
  <si>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</si>
  <si>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</si>
  <si>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</si>
  <si>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</si>
  <si>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</si>
  <si>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</si>
  <si>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</si>
  <si>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</si>
  <si>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</si>
  <si>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</si>
  <si>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</si>
  <si>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</si>
  <si>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</si>
  <si>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</si>
  <si>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</si>
  <si>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</si>
  <si>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</si>
  <si>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</si>
  <si>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</si>
  <si>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</si>
  <si>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</si>
  <si>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</si>
  <si>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</si>
  <si>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</si>
  <si>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</si>
  <si>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</si>
  <si>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</si>
  <si>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</si>
  <si>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</si>
  <si>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</si>
  <si>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</si>
  <si>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</si>
  <si>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</si>
  <si>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</si>
  <si>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</si>
  <si>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</si>
  <si>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</si>
  <si>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</si>
  <si>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</si>
  <si>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</si>
  <si>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</si>
  <si>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</si>
  <si>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</si>
  <si>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</si>
  <si>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</si>
  <si>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</si>
  <si>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</si>
  <si>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</si>
  <si>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</si>
  <si>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</si>
  <si>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</si>
  <si>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</si>
  <si>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</si>
  <si>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</si>
  <si>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</si>
  <si>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</si>
  <si>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</si>
  <si>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</si>
  <si>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</si>
  <si>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</si>
  <si>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</si>
  <si>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</si>
  <si>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</si>
  <si>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</si>
  <si>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</si>
  <si>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</si>
  <si>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</si>
  <si>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</si>
  <si>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</si>
  <si>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</si>
  <si>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</si>
  <si>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</si>
  <si>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</si>
  <si>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</si>
  <si>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</si>
  <si>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</si>
  <si>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</si>
  <si>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</si>
  <si>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</si>
  <si>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</si>
  <si>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</si>
  <si>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</si>
  <si>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</si>
  <si>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</si>
  <si>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</si>
  <si>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</si>
  <si>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</si>
  <si>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</si>
  <si>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</si>
  <si>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</si>
  <si>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</si>
  <si>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</si>
  <si>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</si>
  <si>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</si>
  <si>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</si>
  <si>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</si>
  <si>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</si>
  <si>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</si>
  <si>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</si>
  <si>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</si>
  <si>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</si>
  <si>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</si>
  <si>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</si>
  <si>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</si>
  <si>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</si>
  <si>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</si>
  <si>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</si>
  <si>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</si>
  <si>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</si>
  <si>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</si>
  <si>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</si>
  <si>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</si>
  <si>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</si>
  <si>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</si>
  <si>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</si>
  <si>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</si>
  <si>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</si>
  <si>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</si>
  <si>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</si>
  <si>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</si>
  <si>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</si>
  <si>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</si>
  <si>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</si>
  <si>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</si>
  <si>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</si>
  <si>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</si>
  <si>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</si>
  <si>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</si>
  <si>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</si>
  <si>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</si>
  <si>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</si>
  <si>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</si>
  <si>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</si>
  <si>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</si>
  <si>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</si>
  <si>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</si>
  <si>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</si>
  <si>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</si>
  <si>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</si>
  <si>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</si>
  <si>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</si>
  <si>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</si>
  <si>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</si>
  <si>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</si>
  <si>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</si>
  <si>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</si>
  <si>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</si>
  <si>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</si>
  <si>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</si>
  <si>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</si>
  <si>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</si>
  <si>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</si>
  <si>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</si>
  <si>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</si>
  <si>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</si>
  <si>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</si>
  <si>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</si>
  <si>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</si>
  <si>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</si>
  <si>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</si>
  <si>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</si>
  <si>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</si>
  <si>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</si>
  <si>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</si>
  <si>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</si>
  <si>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</si>
  <si>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</si>
  <si>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</si>
  <si>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</si>
  <si>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</si>
  <si>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</si>
  <si>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</si>
  <si>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</si>
  <si>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</si>
  <si>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</si>
  <si>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</si>
  <si>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</si>
  <si>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</si>
  <si>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</si>
  <si>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</si>
  <si>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</si>
  <si>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</si>
  <si>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</si>
  <si>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</si>
  <si>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</si>
  <si>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</si>
  <si>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</si>
  <si>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</si>
  <si>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</si>
  <si>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</si>
  <si>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</si>
  <si>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</si>
  <si>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</si>
  <si>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</si>
  <si>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</si>
  <si>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</si>
  <si>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</si>
  <si>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</si>
  <si>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</si>
  <si>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</si>
  <si>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</si>
  <si>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</si>
  <si>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</si>
  <si>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</si>
  <si>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</si>
  <si>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</si>
  <si>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</si>
  <si>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</si>
  <si>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</si>
  <si>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</si>
  <si>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</si>
  <si>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</si>
  <si>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</si>
  <si>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</si>
  <si>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</si>
  <si>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</si>
  <si>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</si>
  <si>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</si>
  <si>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</si>
  <si>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</si>
  <si>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</si>
  <si>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</si>
  <si>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</si>
  <si>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</si>
  <si>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</si>
  <si>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</si>
  <si>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</si>
  <si>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</si>
  <si>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</si>
  <si>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</si>
  <si>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</si>
  <si>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</si>
  <si>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</si>
  <si>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</si>
  <si>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</si>
  <si>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</si>
  <si>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</si>
  <si>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</si>
  <si>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</si>
  <si>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</si>
  <si>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</si>
  <si>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</si>
  <si>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</si>
  <si>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</si>
  <si>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</si>
  <si>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</si>
  <si>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</si>
  <si>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</si>
  <si>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</si>
  <si>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</si>
  <si>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</si>
  <si>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</si>
  <si>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</si>
  <si>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</si>
  <si>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</si>
  <si>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</si>
  <si>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</si>
  <si>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</si>
  <si>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</si>
  <si>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</si>
  <si>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</si>
  <si>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</si>
  <si>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</si>
  <si>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</si>
  <si>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</si>
  <si>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</si>
  <si>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</si>
  <si>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</si>
  <si>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</si>
  <si>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</si>
  <si>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</si>
  <si>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</si>
  <si>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</si>
  <si>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</si>
  <si>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</si>
  <si>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</si>
  <si>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</si>
  <si>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</si>
  <si>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</si>
  <si>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</si>
  <si>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</si>
  <si>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</si>
  <si>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</si>
  <si>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</si>
  <si>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</si>
  <si>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</si>
  <si>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</si>
  <si>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</si>
  <si>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</si>
  <si>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</si>
  <si>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</si>
  <si>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</si>
  <si>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</si>
  <si>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</si>
  <si>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</si>
  <si>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</si>
  <si>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</si>
  <si>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</si>
  <si>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</si>
  <si>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</si>
  <si>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</si>
  <si>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</si>
  <si>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</si>
  <si>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</si>
  <si>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</si>
  <si>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</si>
  <si>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</si>
  <si>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</si>
  <si>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</si>
  <si>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</si>
  <si>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</si>
  <si>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</si>
  <si>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</si>
  <si>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</si>
  <si>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</si>
  <si>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</si>
  <si>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</si>
  <si>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</si>
  <si>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</si>
  <si>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</si>
  <si>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</si>
  <si>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</si>
  <si>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</si>
  <si>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</si>
  <si>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</si>
  <si>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</si>
  <si>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</si>
  <si>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</si>
  <si>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</si>
  <si>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</si>
  <si>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</si>
  <si>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</si>
  <si>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</si>
  <si>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</si>
  <si>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</si>
  <si>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</si>
  <si>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</si>
  <si>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</si>
  <si>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</si>
  <si>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</si>
  <si>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</si>
  <si>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</si>
  <si>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</si>
  <si>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</si>
  <si>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</si>
  <si>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</si>
  <si>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</si>
  <si>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</si>
  <si>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</si>
  <si>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</si>
  <si>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</si>
  <si>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</si>
  <si>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</si>
  <si>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</si>
  <si>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</si>
  <si>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</si>
  <si>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</si>
  <si>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</si>
  <si>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</si>
  <si>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</si>
  <si>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</si>
  <si>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</si>
  <si>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</si>
  <si>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</si>
  <si>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</si>
  <si>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</si>
  <si>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</si>
  <si>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</si>
  <si>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</si>
  <si>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</si>
  <si>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</si>
  <si>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</si>
  <si>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</si>
  <si>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</si>
  <si>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</si>
  <si>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</si>
  <si>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</si>
  <si>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</si>
  <si>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</si>
  <si>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</si>
  <si>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</si>
  <si>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</si>
  <si>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</si>
  <si>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</si>
  <si>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</si>
  <si>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</si>
  <si>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</si>
  <si>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</si>
  <si>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</si>
  <si>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</si>
  <si>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</si>
  <si>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</si>
  <si>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</si>
  <si>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</si>
  <si>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</si>
  <si>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</si>
  <si>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</si>
  <si>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</si>
  <si>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</si>
  <si>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</si>
  <si>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</si>
  <si>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</si>
  <si>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</si>
  <si>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</si>
  <si>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</si>
  <si>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</si>
  <si>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</si>
  <si>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</si>
  <si>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</si>
  <si>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</si>
  <si>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</si>
  <si>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</si>
  <si>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</si>
  <si>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</si>
  <si>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</si>
  <si>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</si>
  <si>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</si>
  <si>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</si>
  <si>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</si>
  <si>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</si>
  <si>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</si>
  <si>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</si>
  <si>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</si>
  <si>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</si>
  <si>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</si>
  <si>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</si>
  <si>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</si>
  <si>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</si>
  <si>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</si>
  <si>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</si>
  <si>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</si>
  <si>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</si>
  <si>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</si>
  <si>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</si>
  <si>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</si>
  <si>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</si>
  <si>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</si>
  <si>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</si>
  <si>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</si>
  <si>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</si>
  <si>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</si>
  <si>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</si>
  <si>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</si>
  <si>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</si>
  <si>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</si>
  <si>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</si>
  <si>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</si>
  <si>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</si>
  <si>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</si>
  <si>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</si>
  <si>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</si>
  <si>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</si>
  <si>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</si>
  <si>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</si>
  <si>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</si>
  <si>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</si>
  <si>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</si>
  <si>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</si>
  <si>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</si>
  <si>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</si>
  <si>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</si>
  <si>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</si>
  <si>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</si>
  <si>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</si>
  <si>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</si>
  <si>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</si>
  <si>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</si>
  <si>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</si>
  <si>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</si>
  <si>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</si>
  <si>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</si>
  <si>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</si>
  <si>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</si>
  <si>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</si>
  <si>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</si>
  <si>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</si>
  <si>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</si>
  <si>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</si>
  <si>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</si>
  <si>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</si>
  <si>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</si>
  <si>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</si>
  <si>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</si>
  <si>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 xml:space="preserve"> </t>
  </si>
  <si>
    <t>Grand Total</t>
  </si>
  <si>
    <t>Sum of Profit</t>
  </si>
  <si>
    <t>Sum of Quantity</t>
  </si>
  <si>
    <t>Sum of Sales</t>
  </si>
  <si>
    <t>Month Ordered</t>
  </si>
  <si>
    <t>January</t>
  </si>
  <si>
    <t>February</t>
  </si>
  <si>
    <t>March</t>
  </si>
  <si>
    <t>April</t>
  </si>
  <si>
    <t>May</t>
  </si>
  <si>
    <t>June</t>
  </si>
  <si>
    <t>July</t>
  </si>
  <si>
    <t>August</t>
  </si>
  <si>
    <t>September</t>
  </si>
  <si>
    <t>October</t>
  </si>
  <si>
    <t>November</t>
  </si>
  <si>
    <t>December</t>
  </si>
  <si>
    <t>Count of Order ID</t>
  </si>
  <si>
    <t>Total Customer</t>
  </si>
  <si>
    <t>2016</t>
  </si>
  <si>
    <t>2018</t>
  </si>
  <si>
    <t>2014</t>
  </si>
  <si>
    <t>2015</t>
  </si>
  <si>
    <t>2017</t>
  </si>
  <si>
    <t>2019</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</si>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</sst>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71]\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0" borderId="0" xfId="0" applyNumberFormat="1" applyFon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Dashboard.xlsx]Pivot Table!Quantity_Per_Category</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3604730943902"/>
          <c:y val="0.11961722488038277"/>
          <c:w val="0.69135736922926128"/>
          <c:h val="0.72728654133544313"/>
        </c:manualLayout>
      </c:layout>
      <c:barChart>
        <c:barDir val="bar"/>
        <c:grouping val="clustered"/>
        <c:varyColors val="0"/>
        <c:ser>
          <c:idx val="0"/>
          <c:order val="0"/>
          <c:tx>
            <c:strRef>
              <c:f>'Pivot Table'!$E$9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Table'!$D$10:$D$12</c:f>
              <c:strCache>
                <c:ptCount val="3"/>
                <c:pt idx="0">
                  <c:v>Office Supplies</c:v>
                </c:pt>
                <c:pt idx="1">
                  <c:v>Furniture</c:v>
                </c:pt>
                <c:pt idx="2">
                  <c:v>Technology</c:v>
                </c:pt>
              </c:strCache>
            </c:strRef>
          </c:cat>
          <c:val>
            <c:numRef>
              <c:f>'Pivot Table'!$E$10:$E$12</c:f>
              <c:numCache>
                <c:formatCode>General</c:formatCode>
                <c:ptCount val="3"/>
                <c:pt idx="0">
                  <c:v>2272</c:v>
                </c:pt>
                <c:pt idx="1">
                  <c:v>798</c:v>
                </c:pt>
                <c:pt idx="2">
                  <c:v>734</c:v>
                </c:pt>
              </c:numCache>
            </c:numRef>
          </c:val>
          <c:extLst>
            <c:ext xmlns:c16="http://schemas.microsoft.com/office/drawing/2014/chart" uri="{C3380CC4-5D6E-409C-BE32-E72D297353CC}">
              <c16:uniqueId val="{00000002-679A-45A8-9C5D-4554228BF6F8}"/>
            </c:ext>
          </c:extLst>
        </c:ser>
        <c:dLbls>
          <c:dLblPos val="outEnd"/>
          <c:showLegendKey val="0"/>
          <c:showVal val="1"/>
          <c:showCatName val="0"/>
          <c:showSerName val="0"/>
          <c:showPercent val="0"/>
          <c:showBubbleSize val="0"/>
        </c:dLbls>
        <c:gapWidth val="182"/>
        <c:axId val="115436655"/>
        <c:axId val="115427535"/>
      </c:barChart>
      <c:catAx>
        <c:axId val="11543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7535"/>
        <c:crosses val="autoZero"/>
        <c:auto val="1"/>
        <c:lblAlgn val="ctr"/>
        <c:lblOffset val="100"/>
        <c:noMultiLvlLbl val="0"/>
      </c:catAx>
      <c:valAx>
        <c:axId val="115427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3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Dashboard.xlsx]Pivot Table!Month_Ordered</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c:v>
                </c:pt>
              </c:strCache>
            </c:strRef>
          </c:tx>
          <c:spPr>
            <a:ln w="28575" cap="rnd">
              <a:solidFill>
                <a:schemeClr val="accent1"/>
              </a:solidFill>
              <a:round/>
            </a:ln>
            <a:effectLst/>
          </c:spPr>
          <c:marker>
            <c:symbol val="none"/>
          </c:marker>
          <c:cat>
            <c:strRef>
              <c:f>'Pivot Table'!$A$10:$A$21</c:f>
              <c:strCache>
                <c:ptCount val="12"/>
                <c:pt idx="0">
                  <c:v>January</c:v>
                </c:pt>
                <c:pt idx="1">
                  <c:v>April</c:v>
                </c:pt>
                <c:pt idx="2">
                  <c:v>March</c:v>
                </c:pt>
                <c:pt idx="3">
                  <c:v>May</c:v>
                </c:pt>
                <c:pt idx="4">
                  <c:v>September</c:v>
                </c:pt>
                <c:pt idx="5">
                  <c:v>August</c:v>
                </c:pt>
                <c:pt idx="6">
                  <c:v>February</c:v>
                </c:pt>
                <c:pt idx="7">
                  <c:v>June</c:v>
                </c:pt>
                <c:pt idx="8">
                  <c:v>July</c:v>
                </c:pt>
                <c:pt idx="9">
                  <c:v>December</c:v>
                </c:pt>
                <c:pt idx="10">
                  <c:v>November</c:v>
                </c:pt>
                <c:pt idx="11">
                  <c:v>October</c:v>
                </c:pt>
              </c:strCache>
            </c:strRef>
          </c:cat>
          <c:val>
            <c:numRef>
              <c:f>'Pivot Table'!$B$10:$B$21</c:f>
              <c:numCache>
                <c:formatCode>General</c:formatCode>
                <c:ptCount val="12"/>
                <c:pt idx="0">
                  <c:v>111</c:v>
                </c:pt>
                <c:pt idx="1">
                  <c:v>103</c:v>
                </c:pt>
                <c:pt idx="2">
                  <c:v>101</c:v>
                </c:pt>
                <c:pt idx="3">
                  <c:v>97</c:v>
                </c:pt>
                <c:pt idx="4">
                  <c:v>94</c:v>
                </c:pt>
                <c:pt idx="5">
                  <c:v>94</c:v>
                </c:pt>
                <c:pt idx="6">
                  <c:v>90</c:v>
                </c:pt>
                <c:pt idx="7">
                  <c:v>73</c:v>
                </c:pt>
                <c:pt idx="8">
                  <c:v>68</c:v>
                </c:pt>
                <c:pt idx="9">
                  <c:v>61</c:v>
                </c:pt>
                <c:pt idx="10">
                  <c:v>56</c:v>
                </c:pt>
                <c:pt idx="11">
                  <c:v>52</c:v>
                </c:pt>
              </c:numCache>
            </c:numRef>
          </c:val>
          <c:smooth val="0"/>
          <c:extLst>
            <c:ext xmlns:c16="http://schemas.microsoft.com/office/drawing/2014/chart" uri="{C3380CC4-5D6E-409C-BE32-E72D297353CC}">
              <c16:uniqueId val="{00000003-5317-4C63-AFEE-94906E67C117}"/>
            </c:ext>
          </c:extLst>
        </c:ser>
        <c:dLbls>
          <c:showLegendKey val="0"/>
          <c:showVal val="0"/>
          <c:showCatName val="0"/>
          <c:showSerName val="0"/>
          <c:showPercent val="0"/>
          <c:showBubbleSize val="0"/>
        </c:dLbls>
        <c:smooth val="0"/>
        <c:axId val="1867025807"/>
        <c:axId val="1867030607"/>
      </c:lineChart>
      <c:catAx>
        <c:axId val="186702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030607"/>
        <c:crosses val="autoZero"/>
        <c:auto val="1"/>
        <c:lblAlgn val="ctr"/>
        <c:lblOffset val="100"/>
        <c:noMultiLvlLbl val="0"/>
      </c:catAx>
      <c:valAx>
        <c:axId val="1867030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02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Dashboard.xlsx]Pivot Table!Regional_Sales_and_Profit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Table'!$D$2</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Table'!$C$3:$C$7</c:f>
              <c:strCache>
                <c:ptCount val="4"/>
                <c:pt idx="0">
                  <c:v>Central</c:v>
                </c:pt>
                <c:pt idx="1">
                  <c:v>East</c:v>
                </c:pt>
                <c:pt idx="2">
                  <c:v>South</c:v>
                </c:pt>
                <c:pt idx="3">
                  <c:v>West</c:v>
                </c:pt>
              </c:strCache>
            </c:strRef>
          </c:cat>
          <c:val>
            <c:numRef>
              <c:f>'Pivot Table'!$D$3:$D$7</c:f>
              <c:numCache>
                <c:formatCode>[$₦-471]\ #,##0.00</c:formatCode>
                <c:ptCount val="4"/>
                <c:pt idx="0">
                  <c:v>67009.848399999988</c:v>
                </c:pt>
                <c:pt idx="1">
                  <c:v>59491.641000000025</c:v>
                </c:pt>
                <c:pt idx="2">
                  <c:v>43563.958499999979</c:v>
                </c:pt>
                <c:pt idx="3">
                  <c:v>71065.319999999963</c:v>
                </c:pt>
              </c:numCache>
            </c:numRef>
          </c:val>
          <c:extLst>
            <c:ext xmlns:c16="http://schemas.microsoft.com/office/drawing/2014/chart" uri="{C3380CC4-5D6E-409C-BE32-E72D297353CC}">
              <c16:uniqueId val="{00000000-2E6A-4C9B-A9DE-C76A2E0CFE27}"/>
            </c:ext>
          </c:extLst>
        </c:ser>
        <c:ser>
          <c:idx val="1"/>
          <c:order val="1"/>
          <c:tx>
            <c:strRef>
              <c:f>'Pivot Table'!$E$2</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Table'!$C$3:$C$7</c:f>
              <c:strCache>
                <c:ptCount val="4"/>
                <c:pt idx="0">
                  <c:v>Central</c:v>
                </c:pt>
                <c:pt idx="1">
                  <c:v>East</c:v>
                </c:pt>
                <c:pt idx="2">
                  <c:v>South</c:v>
                </c:pt>
                <c:pt idx="3">
                  <c:v>West</c:v>
                </c:pt>
              </c:strCache>
            </c:strRef>
          </c:cat>
          <c:val>
            <c:numRef>
              <c:f>'Pivot Table'!$E$3:$E$7</c:f>
              <c:numCache>
                <c:formatCode>[$₦-471]\ #,##0.00</c:formatCode>
                <c:ptCount val="4"/>
                <c:pt idx="0">
                  <c:v>2169.6442000000002</c:v>
                </c:pt>
                <c:pt idx="1">
                  <c:v>2790.3042999999993</c:v>
                </c:pt>
                <c:pt idx="2">
                  <c:v>2860.7752</c:v>
                </c:pt>
                <c:pt idx="3">
                  <c:v>10925.455499999998</c:v>
                </c:pt>
              </c:numCache>
            </c:numRef>
          </c:val>
          <c:extLst>
            <c:ext xmlns:c16="http://schemas.microsoft.com/office/drawing/2014/chart" uri="{C3380CC4-5D6E-409C-BE32-E72D297353CC}">
              <c16:uniqueId val="{00000001-2E6A-4C9B-A9DE-C76A2E0CFE27}"/>
            </c:ext>
          </c:extLst>
        </c:ser>
        <c:dLbls>
          <c:dLblPos val="inBase"/>
          <c:showLegendKey val="0"/>
          <c:showVal val="1"/>
          <c:showCatName val="0"/>
          <c:showSerName val="0"/>
          <c:showPercent val="0"/>
          <c:showBubbleSize val="0"/>
        </c:dLbls>
        <c:gapWidth val="150"/>
        <c:overlap val="100"/>
        <c:axId val="115428015"/>
        <c:axId val="115424175"/>
      </c:barChart>
      <c:catAx>
        <c:axId val="11542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4175"/>
        <c:crosses val="autoZero"/>
        <c:auto val="1"/>
        <c:lblAlgn val="ctr"/>
        <c:lblOffset val="100"/>
        <c:noMultiLvlLbl val="0"/>
      </c:catAx>
      <c:valAx>
        <c:axId val="115424175"/>
        <c:scaling>
          <c:orientation val="minMax"/>
        </c:scaling>
        <c:delete val="1"/>
        <c:axPos val="l"/>
        <c:numFmt formatCode="[$₦-471]\ #,##0.00" sourceLinked="1"/>
        <c:majorTickMark val="none"/>
        <c:minorTickMark val="none"/>
        <c:tickLblPos val="nextTo"/>
        <c:crossAx val="11542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502920</xdr:colOff>
      <xdr:row>0</xdr:row>
      <xdr:rowOff>60960</xdr:rowOff>
    </xdr:from>
    <xdr:to>
      <xdr:col>27</xdr:col>
      <xdr:colOff>15240</xdr:colOff>
      <xdr:row>35</xdr:row>
      <xdr:rowOff>137160</xdr:rowOff>
    </xdr:to>
    <xdr:sp macro="" textlink="">
      <xdr:nvSpPr>
        <xdr:cNvPr id="4" name="Rectangle 3">
          <a:extLst>
            <a:ext uri="{FF2B5EF4-FFF2-40B4-BE49-F238E27FC236}">
              <a16:creationId xmlns:a16="http://schemas.microsoft.com/office/drawing/2014/main" id="{02803187-072D-12AF-8455-47BD641BB73C}"/>
            </a:ext>
          </a:extLst>
        </xdr:cNvPr>
        <xdr:cNvSpPr/>
      </xdr:nvSpPr>
      <xdr:spPr>
        <a:xfrm>
          <a:off x="1112520" y="60960"/>
          <a:ext cx="15361920" cy="6477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137160</xdr:colOff>
      <xdr:row>1</xdr:row>
      <xdr:rowOff>106680</xdr:rowOff>
    </xdr:from>
    <xdr:to>
      <xdr:col>17</xdr:col>
      <xdr:colOff>320040</xdr:colOff>
      <xdr:row>6</xdr:row>
      <xdr:rowOff>15240</xdr:rowOff>
    </xdr:to>
    <xdr:sp macro="" textlink="">
      <xdr:nvSpPr>
        <xdr:cNvPr id="2" name="Rectangle: Rounded Corners 1">
          <a:extLst>
            <a:ext uri="{FF2B5EF4-FFF2-40B4-BE49-F238E27FC236}">
              <a16:creationId xmlns:a16="http://schemas.microsoft.com/office/drawing/2014/main" id="{28941EF5-29F9-E225-1765-ECBCFFA7AEAE}"/>
            </a:ext>
          </a:extLst>
        </xdr:cNvPr>
        <xdr:cNvSpPr/>
      </xdr:nvSpPr>
      <xdr:spPr>
        <a:xfrm>
          <a:off x="1356360" y="289560"/>
          <a:ext cx="9326880" cy="8229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accent1"/>
              </a:solidFill>
            </a:rPr>
            <a:t>Shopping Mall Sales</a:t>
          </a:r>
          <a:r>
            <a:rPr lang="en-US" sz="2800" baseline="0">
              <a:solidFill>
                <a:schemeClr val="accent1"/>
              </a:solidFill>
            </a:rPr>
            <a:t> Dashboard</a:t>
          </a:r>
          <a:endParaRPr lang="en-US" sz="2800">
            <a:solidFill>
              <a:schemeClr val="accent1"/>
            </a:solidFill>
          </a:endParaRPr>
        </a:p>
      </xdr:txBody>
    </xdr:sp>
    <xdr:clientData/>
  </xdr:twoCellAnchor>
  <xdr:twoCellAnchor>
    <xdr:from>
      <xdr:col>2</xdr:col>
      <xdr:colOff>137160</xdr:colOff>
      <xdr:row>1</xdr:row>
      <xdr:rowOff>137160</xdr:rowOff>
    </xdr:from>
    <xdr:to>
      <xdr:col>17</xdr:col>
      <xdr:colOff>320040</xdr:colOff>
      <xdr:row>6</xdr:row>
      <xdr:rowOff>45720</xdr:rowOff>
    </xdr:to>
    <xdr:sp macro="" textlink="">
      <xdr:nvSpPr>
        <xdr:cNvPr id="3" name="Rectangle: Rounded Corners 2">
          <a:extLst>
            <a:ext uri="{FF2B5EF4-FFF2-40B4-BE49-F238E27FC236}">
              <a16:creationId xmlns:a16="http://schemas.microsoft.com/office/drawing/2014/main" id="{C85C6722-3C77-3991-1C19-8E17EF9BD2E5}"/>
            </a:ext>
          </a:extLst>
        </xdr:cNvPr>
        <xdr:cNvSpPr/>
      </xdr:nvSpPr>
      <xdr:spPr>
        <a:xfrm>
          <a:off x="1356360" y="320040"/>
          <a:ext cx="9326880" cy="8229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accent1"/>
              </a:solidFill>
            </a:rPr>
            <a:t>Shopping Mall Sales</a:t>
          </a:r>
          <a:r>
            <a:rPr lang="en-US" sz="2800" baseline="0">
              <a:solidFill>
                <a:schemeClr val="accent1"/>
              </a:solidFill>
            </a:rPr>
            <a:t> Dashboard</a:t>
          </a:r>
          <a:endParaRPr lang="en-US" sz="2800">
            <a:solidFill>
              <a:schemeClr val="accent1"/>
            </a:solidFill>
          </a:endParaRPr>
        </a:p>
      </xdr:txBody>
    </xdr:sp>
    <xdr:clientData/>
  </xdr:twoCellAnchor>
  <xdr:twoCellAnchor>
    <xdr:from>
      <xdr:col>2</xdr:col>
      <xdr:colOff>251460</xdr:colOff>
      <xdr:row>7</xdr:row>
      <xdr:rowOff>106680</xdr:rowOff>
    </xdr:from>
    <xdr:to>
      <xdr:col>6</xdr:col>
      <xdr:colOff>396240</xdr:colOff>
      <xdr:row>11</xdr:row>
      <xdr:rowOff>76200</xdr:rowOff>
    </xdr:to>
    <xdr:sp macro="" textlink="">
      <xdr:nvSpPr>
        <xdr:cNvPr id="11" name="Rectangle: Rounded Corners 10">
          <a:extLst>
            <a:ext uri="{FF2B5EF4-FFF2-40B4-BE49-F238E27FC236}">
              <a16:creationId xmlns:a16="http://schemas.microsoft.com/office/drawing/2014/main" id="{074B25D9-1CB7-44A9-8E6F-2BDCC21BE09A}"/>
            </a:ext>
          </a:extLst>
        </xdr:cNvPr>
        <xdr:cNvSpPr/>
      </xdr:nvSpPr>
      <xdr:spPr>
        <a:xfrm>
          <a:off x="1470660" y="1386840"/>
          <a:ext cx="2583180" cy="7010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solidFill>
            </a:rPr>
            <a:t># of Customers</a:t>
          </a:r>
        </a:p>
      </xdr:txBody>
    </xdr:sp>
    <xdr:clientData/>
  </xdr:twoCellAnchor>
  <xdr:twoCellAnchor>
    <xdr:from>
      <xdr:col>7</xdr:col>
      <xdr:colOff>556260</xdr:colOff>
      <xdr:row>7</xdr:row>
      <xdr:rowOff>114300</xdr:rowOff>
    </xdr:from>
    <xdr:to>
      <xdr:col>12</xdr:col>
      <xdr:colOff>91440</xdr:colOff>
      <xdr:row>11</xdr:row>
      <xdr:rowOff>83820</xdr:rowOff>
    </xdr:to>
    <xdr:sp macro="" textlink="">
      <xdr:nvSpPr>
        <xdr:cNvPr id="12" name="Rectangle: Rounded Corners 11">
          <a:extLst>
            <a:ext uri="{FF2B5EF4-FFF2-40B4-BE49-F238E27FC236}">
              <a16:creationId xmlns:a16="http://schemas.microsoft.com/office/drawing/2014/main" id="{B6C5C165-1040-4CC1-8B8C-05716604C7F7}"/>
            </a:ext>
          </a:extLst>
        </xdr:cNvPr>
        <xdr:cNvSpPr/>
      </xdr:nvSpPr>
      <xdr:spPr>
        <a:xfrm>
          <a:off x="4823460" y="1394460"/>
          <a:ext cx="2583180" cy="7010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solidFill>
            </a:rPr>
            <a:t>Total</a:t>
          </a:r>
          <a:r>
            <a:rPr lang="en-US" sz="1600" baseline="0">
              <a:solidFill>
                <a:schemeClr val="accent1"/>
              </a:solidFill>
            </a:rPr>
            <a:t> sales</a:t>
          </a:r>
          <a:endParaRPr lang="en-US" sz="1600">
            <a:solidFill>
              <a:schemeClr val="accent1"/>
            </a:solidFill>
          </a:endParaRPr>
        </a:p>
      </xdr:txBody>
    </xdr:sp>
    <xdr:clientData/>
  </xdr:twoCellAnchor>
  <xdr:twoCellAnchor>
    <xdr:from>
      <xdr:col>13</xdr:col>
      <xdr:colOff>160020</xdr:colOff>
      <xdr:row>7</xdr:row>
      <xdr:rowOff>91440</xdr:rowOff>
    </xdr:from>
    <xdr:to>
      <xdr:col>17</xdr:col>
      <xdr:colOff>304800</xdr:colOff>
      <xdr:row>11</xdr:row>
      <xdr:rowOff>60960</xdr:rowOff>
    </xdr:to>
    <xdr:sp macro="" textlink="">
      <xdr:nvSpPr>
        <xdr:cNvPr id="13" name="Rectangle: Rounded Corners 12">
          <a:extLst>
            <a:ext uri="{FF2B5EF4-FFF2-40B4-BE49-F238E27FC236}">
              <a16:creationId xmlns:a16="http://schemas.microsoft.com/office/drawing/2014/main" id="{0654A7A1-0A65-4AC9-A984-23FB622B6884}"/>
            </a:ext>
          </a:extLst>
        </xdr:cNvPr>
        <xdr:cNvSpPr/>
      </xdr:nvSpPr>
      <xdr:spPr>
        <a:xfrm>
          <a:off x="8084820" y="1371600"/>
          <a:ext cx="2583180" cy="7010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solidFill>
            </a:rPr>
            <a:t>Total</a:t>
          </a:r>
          <a:r>
            <a:rPr lang="en-US" sz="1600" baseline="0">
              <a:solidFill>
                <a:schemeClr val="accent1"/>
              </a:solidFill>
            </a:rPr>
            <a:t> Profit</a:t>
          </a:r>
          <a:endParaRPr lang="en-US" sz="1600">
            <a:solidFill>
              <a:schemeClr val="accent1"/>
            </a:solidFill>
          </a:endParaRPr>
        </a:p>
      </xdr:txBody>
    </xdr:sp>
    <xdr:clientData/>
  </xdr:twoCellAnchor>
  <xdr:twoCellAnchor>
    <xdr:from>
      <xdr:col>7</xdr:col>
      <xdr:colOff>220980</xdr:colOff>
      <xdr:row>12</xdr:row>
      <xdr:rowOff>121920</xdr:rowOff>
    </xdr:from>
    <xdr:to>
      <xdr:col>17</xdr:col>
      <xdr:colOff>45720</xdr:colOff>
      <xdr:row>25</xdr:row>
      <xdr:rowOff>160020</xdr:rowOff>
    </xdr:to>
    <xdr:sp macro="" textlink="">
      <xdr:nvSpPr>
        <xdr:cNvPr id="15" name="Rectangle: Rounded Corners 14">
          <a:extLst>
            <a:ext uri="{FF2B5EF4-FFF2-40B4-BE49-F238E27FC236}">
              <a16:creationId xmlns:a16="http://schemas.microsoft.com/office/drawing/2014/main" id="{5945FF0E-533F-44ED-8B9E-41FA53BAAD29}"/>
            </a:ext>
          </a:extLst>
        </xdr:cNvPr>
        <xdr:cNvSpPr/>
      </xdr:nvSpPr>
      <xdr:spPr>
        <a:xfrm>
          <a:off x="4488180" y="2316480"/>
          <a:ext cx="5920740" cy="24155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solidFill>
            </a:rPr>
            <a:t>Quantity</a:t>
          </a:r>
          <a:r>
            <a:rPr lang="en-US" sz="1600" baseline="0">
              <a:solidFill>
                <a:schemeClr val="accent1"/>
              </a:solidFill>
            </a:rPr>
            <a:t> Per Category</a:t>
          </a:r>
          <a:endParaRPr lang="en-US" sz="1600">
            <a:solidFill>
              <a:schemeClr val="accent1"/>
            </a:solidFill>
          </a:endParaRPr>
        </a:p>
      </xdr:txBody>
    </xdr:sp>
    <xdr:clientData/>
  </xdr:twoCellAnchor>
  <xdr:twoCellAnchor>
    <xdr:from>
      <xdr:col>2</xdr:col>
      <xdr:colOff>320040</xdr:colOff>
      <xdr:row>12</xdr:row>
      <xdr:rowOff>175260</xdr:rowOff>
    </xdr:from>
    <xdr:to>
      <xdr:col>6</xdr:col>
      <xdr:colOff>243840</xdr:colOff>
      <xdr:row>29</xdr:row>
      <xdr:rowOff>30480</xdr:rowOff>
    </xdr:to>
    <xdr:sp macro="" textlink="">
      <xdr:nvSpPr>
        <xdr:cNvPr id="16" name="Rectangle: Rounded Corners 15">
          <a:extLst>
            <a:ext uri="{FF2B5EF4-FFF2-40B4-BE49-F238E27FC236}">
              <a16:creationId xmlns:a16="http://schemas.microsoft.com/office/drawing/2014/main" id="{11B8EB6E-4A63-4B30-8EC2-245F0CED8F8A}"/>
            </a:ext>
          </a:extLst>
        </xdr:cNvPr>
        <xdr:cNvSpPr/>
      </xdr:nvSpPr>
      <xdr:spPr>
        <a:xfrm>
          <a:off x="1539240" y="2369820"/>
          <a:ext cx="2362200" cy="29641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solidFill>
            </a:rPr>
            <a:t>Slicer</a:t>
          </a:r>
        </a:p>
      </xdr:txBody>
    </xdr:sp>
    <xdr:clientData/>
  </xdr:twoCellAnchor>
  <xdr:twoCellAnchor>
    <xdr:from>
      <xdr:col>3</xdr:col>
      <xdr:colOff>198120</xdr:colOff>
      <xdr:row>9</xdr:row>
      <xdr:rowOff>30480</xdr:rowOff>
    </xdr:from>
    <xdr:to>
      <xdr:col>5</xdr:col>
      <xdr:colOff>259080</xdr:colOff>
      <xdr:row>11</xdr:row>
      <xdr:rowOff>76200</xdr:rowOff>
    </xdr:to>
    <xdr:sp macro="" textlink="">
      <xdr:nvSpPr>
        <xdr:cNvPr id="17" name="TextBox 16">
          <a:extLst>
            <a:ext uri="{FF2B5EF4-FFF2-40B4-BE49-F238E27FC236}">
              <a16:creationId xmlns:a16="http://schemas.microsoft.com/office/drawing/2014/main" id="{6F618669-3DA7-5038-EAC1-9DF09BFD6B3A}"/>
            </a:ext>
          </a:extLst>
        </xdr:cNvPr>
        <xdr:cNvSpPr txBox="1"/>
      </xdr:nvSpPr>
      <xdr:spPr>
        <a:xfrm>
          <a:off x="2026920" y="1676400"/>
          <a:ext cx="128016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lumMod val="75000"/>
                </a:schemeClr>
              </a:solidFill>
            </a:rPr>
            <a:t>1000</a:t>
          </a:r>
        </a:p>
      </xdr:txBody>
    </xdr:sp>
    <xdr:clientData/>
  </xdr:twoCellAnchor>
  <xdr:twoCellAnchor>
    <xdr:from>
      <xdr:col>8</xdr:col>
      <xdr:colOff>297180</xdr:colOff>
      <xdr:row>9</xdr:row>
      <xdr:rowOff>15240</xdr:rowOff>
    </xdr:from>
    <xdr:to>
      <xdr:col>11</xdr:col>
      <xdr:colOff>327660</xdr:colOff>
      <xdr:row>11</xdr:row>
      <xdr:rowOff>38100</xdr:rowOff>
    </xdr:to>
    <xdr:sp macro="" textlink="">
      <xdr:nvSpPr>
        <xdr:cNvPr id="19" name="TextBox 18">
          <a:extLst>
            <a:ext uri="{FF2B5EF4-FFF2-40B4-BE49-F238E27FC236}">
              <a16:creationId xmlns:a16="http://schemas.microsoft.com/office/drawing/2014/main" id="{B5662A03-B95C-4D34-9796-E664F277281D}"/>
            </a:ext>
          </a:extLst>
        </xdr:cNvPr>
        <xdr:cNvSpPr txBox="1"/>
      </xdr:nvSpPr>
      <xdr:spPr>
        <a:xfrm>
          <a:off x="5173980" y="1661160"/>
          <a:ext cx="185928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accent1">
                  <a:lumMod val="75000"/>
                </a:schemeClr>
              </a:solidFill>
              <a:effectLst/>
              <a:latin typeface="+mn-lt"/>
              <a:ea typeface="+mn-ea"/>
              <a:cs typeface="+mn-cs"/>
            </a:rPr>
            <a:t>₦ 241,130.77</a:t>
          </a:r>
          <a:r>
            <a:rPr lang="en-US" sz="2000" b="1">
              <a:solidFill>
                <a:schemeClr val="accent1">
                  <a:lumMod val="75000"/>
                </a:schemeClr>
              </a:solidFill>
              <a:effectLst/>
            </a:rPr>
            <a:t> </a:t>
          </a:r>
          <a:endParaRPr lang="en-US" sz="2000" b="1">
            <a:solidFill>
              <a:schemeClr val="accent1">
                <a:lumMod val="75000"/>
              </a:schemeClr>
            </a:solidFill>
          </a:endParaRPr>
        </a:p>
      </xdr:txBody>
    </xdr:sp>
    <xdr:clientData/>
  </xdr:twoCellAnchor>
  <xdr:twoCellAnchor>
    <xdr:from>
      <xdr:col>13</xdr:col>
      <xdr:colOff>571500</xdr:colOff>
      <xdr:row>9</xdr:row>
      <xdr:rowOff>30480</xdr:rowOff>
    </xdr:from>
    <xdr:to>
      <xdr:col>16</xdr:col>
      <xdr:colOff>434340</xdr:colOff>
      <xdr:row>11</xdr:row>
      <xdr:rowOff>7620</xdr:rowOff>
    </xdr:to>
    <xdr:sp macro="" textlink="">
      <xdr:nvSpPr>
        <xdr:cNvPr id="20" name="TextBox 19">
          <a:extLst>
            <a:ext uri="{FF2B5EF4-FFF2-40B4-BE49-F238E27FC236}">
              <a16:creationId xmlns:a16="http://schemas.microsoft.com/office/drawing/2014/main" id="{0EC4518F-A759-4A2E-ACED-630C2CEF1CD7}"/>
            </a:ext>
          </a:extLst>
        </xdr:cNvPr>
        <xdr:cNvSpPr txBox="1"/>
      </xdr:nvSpPr>
      <xdr:spPr>
        <a:xfrm>
          <a:off x="8496300" y="1676400"/>
          <a:ext cx="16916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accent1">
                  <a:lumMod val="75000"/>
                </a:schemeClr>
              </a:solidFill>
              <a:effectLst/>
              <a:latin typeface="+mn-lt"/>
              <a:ea typeface="+mn-ea"/>
              <a:cs typeface="+mn-cs"/>
            </a:rPr>
            <a:t>₦ 18,746.18</a:t>
          </a:r>
          <a:endParaRPr lang="en-US" sz="4000" b="1">
            <a:solidFill>
              <a:schemeClr val="accent1">
                <a:lumMod val="75000"/>
              </a:schemeClr>
            </a:solidFill>
          </a:endParaRPr>
        </a:p>
      </xdr:txBody>
    </xdr:sp>
    <xdr:clientData/>
  </xdr:twoCellAnchor>
  <xdr:twoCellAnchor>
    <xdr:from>
      <xdr:col>9</xdr:col>
      <xdr:colOff>76200</xdr:colOff>
      <xdr:row>16</xdr:row>
      <xdr:rowOff>60960</xdr:rowOff>
    </xdr:from>
    <xdr:to>
      <xdr:col>15</xdr:col>
      <xdr:colOff>91440</xdr:colOff>
      <xdr:row>25</xdr:row>
      <xdr:rowOff>7620</xdr:rowOff>
    </xdr:to>
    <xdr:graphicFrame macro="">
      <xdr:nvGraphicFramePr>
        <xdr:cNvPr id="24" name="Chart 23">
          <a:extLst>
            <a:ext uri="{FF2B5EF4-FFF2-40B4-BE49-F238E27FC236}">
              <a16:creationId xmlns:a16="http://schemas.microsoft.com/office/drawing/2014/main" id="{1C72CE70-D4BE-4E37-AB82-9F1A2908A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533400</xdr:colOff>
      <xdr:row>1</xdr:row>
      <xdr:rowOff>7620</xdr:rowOff>
    </xdr:from>
    <xdr:to>
      <xdr:col>26</xdr:col>
      <xdr:colOff>358140</xdr:colOff>
      <xdr:row>16</xdr:row>
      <xdr:rowOff>144780</xdr:rowOff>
    </xdr:to>
    <xdr:sp macro="" textlink="">
      <xdr:nvSpPr>
        <xdr:cNvPr id="6" name="Rectangle: Rounded Corners 5">
          <a:extLst>
            <a:ext uri="{FF2B5EF4-FFF2-40B4-BE49-F238E27FC236}">
              <a16:creationId xmlns:a16="http://schemas.microsoft.com/office/drawing/2014/main" id="{0F9E693F-7E4F-44DD-AC3B-3FD9E06FA627}"/>
            </a:ext>
          </a:extLst>
        </xdr:cNvPr>
        <xdr:cNvSpPr/>
      </xdr:nvSpPr>
      <xdr:spPr>
        <a:xfrm>
          <a:off x="10896600" y="190500"/>
          <a:ext cx="5311140" cy="2880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solidFill>
            </a:rPr>
            <a:t>Month</a:t>
          </a:r>
          <a:r>
            <a:rPr lang="en-US" sz="1600" baseline="0">
              <a:solidFill>
                <a:schemeClr val="accent1"/>
              </a:solidFill>
            </a:rPr>
            <a:t> Ordered</a:t>
          </a:r>
          <a:endParaRPr lang="en-US" sz="1600">
            <a:solidFill>
              <a:schemeClr val="accent1"/>
            </a:solidFill>
          </a:endParaRPr>
        </a:p>
      </xdr:txBody>
    </xdr:sp>
    <xdr:clientData/>
  </xdr:twoCellAnchor>
  <xdr:twoCellAnchor>
    <xdr:from>
      <xdr:col>18</xdr:col>
      <xdr:colOff>403860</xdr:colOff>
      <xdr:row>4</xdr:row>
      <xdr:rowOff>22860</xdr:rowOff>
    </xdr:from>
    <xdr:to>
      <xdr:col>25</xdr:col>
      <xdr:colOff>388620</xdr:colOff>
      <xdr:row>15</xdr:row>
      <xdr:rowOff>129540</xdr:rowOff>
    </xdr:to>
    <xdr:graphicFrame macro="">
      <xdr:nvGraphicFramePr>
        <xdr:cNvPr id="7" name="Chart 6">
          <a:extLst>
            <a:ext uri="{FF2B5EF4-FFF2-40B4-BE49-F238E27FC236}">
              <a16:creationId xmlns:a16="http://schemas.microsoft.com/office/drawing/2014/main" id="{9E75FAA5-2B4E-431E-9C1A-172974A79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541020</xdr:colOff>
      <xdr:row>17</xdr:row>
      <xdr:rowOff>60960</xdr:rowOff>
    </xdr:from>
    <xdr:to>
      <xdr:col>26</xdr:col>
      <xdr:colOff>365760</xdr:colOff>
      <xdr:row>31</xdr:row>
      <xdr:rowOff>167640</xdr:rowOff>
    </xdr:to>
    <xdr:sp macro="" textlink="">
      <xdr:nvSpPr>
        <xdr:cNvPr id="8" name="Rectangle: Rounded Corners 7">
          <a:extLst>
            <a:ext uri="{FF2B5EF4-FFF2-40B4-BE49-F238E27FC236}">
              <a16:creationId xmlns:a16="http://schemas.microsoft.com/office/drawing/2014/main" id="{EE0678C8-34C7-4ABA-A414-8FB15DBADC80}"/>
            </a:ext>
          </a:extLst>
        </xdr:cNvPr>
        <xdr:cNvSpPr/>
      </xdr:nvSpPr>
      <xdr:spPr>
        <a:xfrm>
          <a:off x="10904220" y="3169920"/>
          <a:ext cx="5311140" cy="2667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solidFill>
            </a:rPr>
            <a:t>Regional</a:t>
          </a:r>
          <a:r>
            <a:rPr lang="en-US" sz="1600" baseline="0">
              <a:solidFill>
                <a:schemeClr val="accent1"/>
              </a:solidFill>
            </a:rPr>
            <a:t> Sales and Profit</a:t>
          </a:r>
          <a:endParaRPr lang="en-US" sz="1600">
            <a:solidFill>
              <a:schemeClr val="accent1"/>
            </a:solidFill>
          </a:endParaRPr>
        </a:p>
      </xdr:txBody>
    </xdr:sp>
    <xdr:clientData/>
  </xdr:twoCellAnchor>
  <xdr:twoCellAnchor>
    <xdr:from>
      <xdr:col>18</xdr:col>
      <xdr:colOff>502920</xdr:colOff>
      <xdr:row>20</xdr:row>
      <xdr:rowOff>22860</xdr:rowOff>
    </xdr:from>
    <xdr:to>
      <xdr:col>25</xdr:col>
      <xdr:colOff>320040</xdr:colOff>
      <xdr:row>30</xdr:row>
      <xdr:rowOff>144780</xdr:rowOff>
    </xdr:to>
    <xdr:graphicFrame macro="">
      <xdr:nvGraphicFramePr>
        <xdr:cNvPr id="9" name="Chart 8">
          <a:extLst>
            <a:ext uri="{FF2B5EF4-FFF2-40B4-BE49-F238E27FC236}">
              <a16:creationId xmlns:a16="http://schemas.microsoft.com/office/drawing/2014/main" id="{B71AF0BE-7568-4340-A1F4-E337B521A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556260</xdr:colOff>
      <xdr:row>15</xdr:row>
      <xdr:rowOff>68580</xdr:rowOff>
    </xdr:from>
    <xdr:to>
      <xdr:col>5</xdr:col>
      <xdr:colOff>556260</xdr:colOff>
      <xdr:row>28</xdr:row>
      <xdr:rowOff>158115</xdr:rowOff>
    </xdr:to>
    <mc:AlternateContent xmlns:mc="http://schemas.openxmlformats.org/markup-compatibility/2006" xmlns:a14="http://schemas.microsoft.com/office/drawing/2010/main">
      <mc:Choice Requires="a14">
        <xdr:graphicFrame macro="">
          <xdr:nvGraphicFramePr>
            <xdr:cNvPr id="10" name="State 1">
              <a:extLst>
                <a:ext uri="{FF2B5EF4-FFF2-40B4-BE49-F238E27FC236}">
                  <a16:creationId xmlns:a16="http://schemas.microsoft.com/office/drawing/2014/main" id="{F953EBAC-76C7-4355-8E0F-7D5397B37A2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775460" y="2811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388620</xdr:colOff>
      <xdr:row>26</xdr:row>
      <xdr:rowOff>53340</xdr:rowOff>
    </xdr:from>
    <xdr:to>
      <xdr:col>16</xdr:col>
      <xdr:colOff>213360</xdr:colOff>
      <xdr:row>35</xdr:row>
      <xdr:rowOff>15240</xdr:rowOff>
    </xdr:to>
    <xdr:sp macro="" textlink="">
      <xdr:nvSpPr>
        <xdr:cNvPr id="21" name="Rectangle: Rounded Corners 20">
          <a:extLst>
            <a:ext uri="{FF2B5EF4-FFF2-40B4-BE49-F238E27FC236}">
              <a16:creationId xmlns:a16="http://schemas.microsoft.com/office/drawing/2014/main" id="{6D338108-C1AB-4F85-BD22-EDD1F0DCE7C4}"/>
            </a:ext>
          </a:extLst>
        </xdr:cNvPr>
        <xdr:cNvSpPr/>
      </xdr:nvSpPr>
      <xdr:spPr>
        <a:xfrm>
          <a:off x="4655820" y="4808220"/>
          <a:ext cx="5311140" cy="1607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solidFill>
            </a:rPr>
            <a:t>Timeline</a:t>
          </a:r>
        </a:p>
      </xdr:txBody>
    </xdr:sp>
    <xdr:clientData/>
  </xdr:twoCellAnchor>
  <xdr:twoCellAnchor editAs="oneCell">
    <xdr:from>
      <xdr:col>9</xdr:col>
      <xdr:colOff>45720</xdr:colOff>
      <xdr:row>28</xdr:row>
      <xdr:rowOff>76200</xdr:rowOff>
    </xdr:from>
    <xdr:to>
      <xdr:col>14</xdr:col>
      <xdr:colOff>335280</xdr:colOff>
      <xdr:row>34</xdr:row>
      <xdr:rowOff>53340</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A16F1703-7898-4289-B878-B85EAE43846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532120" y="5196840"/>
              <a:ext cx="3337560" cy="10744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ERA" refreshedDate="46180.388170138889" createdVersion="8" refreshedVersion="8" minRefreshableVersion="3" recordCount="1000" xr:uid="{E5F7A3AD-DB8E-41E1-B28C-5D7BB8B32F8A}">
  <cacheSource type="worksheet">
    <worksheetSource ref="A1:W1001" sheet="Working Sheet"/>
  </cacheSource>
  <cacheFields count="27">
    <cacheField name="Row ID" numFmtId="0">
      <sharedItems containsSemiMixedTypes="0" containsString="0" containsNumber="1" containsInteger="1" minValue="1" maxValue="1000"/>
    </cacheField>
    <cacheField name="Order ID" numFmtId="0">
      <sharedItems count="47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haredItems>
    </cacheField>
    <cacheField name="Order Date" numFmtId="14">
      <sharedItems containsSemiMixedTypes="0" containsNonDate="0" containsDate="1" containsString="0" minDate="2014-01-02T00:00:00" maxDate="2019-07-04T00:00:00" count="326">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sharedItems>
      <fieldGroup par="26"/>
    </cacheField>
    <cacheField name="Month Ordered" numFmtId="1">
      <sharedItems count="12">
        <s v="August"/>
        <s v="December"/>
        <s v="November"/>
        <s v="September"/>
        <s v="March"/>
        <s v="May"/>
        <s v="October"/>
        <s v="January"/>
        <s v="April"/>
        <s v="July"/>
        <s v="June"/>
        <s v="February"/>
      </sharedItems>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9T00:00:00" maxDate="2019-07-11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haredItems>
    </cacheField>
    <cacheField name="Postal Code" numFmtId="0">
      <sharedItems containsMixedTypes="1" containsNumber="1" containsInteger="1" minValue="1841" maxValue="9866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1.08" maxValue="8159.95200000000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3839.9904000000001" maxValue="3177.4749999999999"/>
    </cacheField>
    <cacheField name="COST" numFmtId="0" formula="Sales-Profit" databaseField="0"/>
    <cacheField name="Months (Order Date)" numFmtId="0" databaseField="0">
      <fieldGroup base="2">
        <rangePr groupBy="months" startDate="2014-01-02T00:00:00" endDate="2019-07-04T00:00:00"/>
        <groupItems count="14">
          <s v="&lt;1/2/2014"/>
          <s v="Jan"/>
          <s v="Feb"/>
          <s v="Mar"/>
          <s v="Apr"/>
          <s v="May"/>
          <s v="Jun"/>
          <s v="Jul"/>
          <s v="Aug"/>
          <s v="Sep"/>
          <s v="Oct"/>
          <s v="Nov"/>
          <s v="Dec"/>
          <s v="&gt;7/4/2019"/>
        </groupItems>
      </fieldGroup>
    </cacheField>
    <cacheField name="Quarters (Order Date)" numFmtId="0" databaseField="0">
      <fieldGroup base="2">
        <rangePr groupBy="quarters" startDate="2014-01-02T00:00:00" endDate="2019-07-04T00:00:00"/>
        <groupItems count="6">
          <s v="&lt;1/2/2014"/>
          <s v="Qtr1"/>
          <s v="Qtr2"/>
          <s v="Qtr3"/>
          <s v="Qtr4"/>
          <s v="&gt;7/4/2019"/>
        </groupItems>
      </fieldGroup>
    </cacheField>
    <cacheField name="Years (Order Date)" numFmtId="0" databaseField="0">
      <fieldGroup base="2">
        <rangePr groupBy="years" startDate="2014-01-02T00:00:00" endDate="2019-07-04T00:00:00"/>
        <groupItems count="8">
          <s v="&lt;1/2/2014"/>
          <s v="2014"/>
          <s v="2015"/>
          <s v="2016"/>
          <s v="2017"/>
          <s v="2018"/>
          <s v="2019"/>
          <s v="&gt;7/4/2019"/>
        </groupItems>
      </fieldGroup>
    </cacheField>
  </cacheFields>
  <extLst>
    <ext xmlns:x14="http://schemas.microsoft.com/office/spreadsheetml/2009/9/main" uri="{725AE2AE-9491-48be-B2B4-4EB974FC3084}">
      <x14:pivotCacheDefinition pivotCacheId="1375594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d v="2016-08-31T00:00:00"/>
    <d v="2016-11-11T00:00:00"/>
    <s v="Second Class"/>
    <s v="CG-12520"/>
    <s v="Claire Gute"/>
    <s v="Consumer"/>
    <s v="United States"/>
    <s v="Henderson"/>
    <x v="0"/>
    <n v="42420"/>
    <x v="0"/>
    <s v="FUR-BO-10001798"/>
    <x v="0"/>
    <s v="Bookcases"/>
    <s v="Bush Somerset Collection Bookcase"/>
    <n v="261.95999999999998"/>
    <n v="2"/>
    <n v="0"/>
    <n v="41.913600000000002"/>
  </r>
  <r>
    <n v="2"/>
    <x v="0"/>
    <x v="0"/>
    <x v="0"/>
    <d v="2016-08-31T00:00:00"/>
    <d v="2016-11-11T00:00:00"/>
    <s v="Second Class"/>
    <s v="CG-12520"/>
    <s v="Claire Gute"/>
    <s v="Consumer"/>
    <s v="United States"/>
    <s v="Henderson"/>
    <x v="0"/>
    <s v=" "/>
    <x v="0"/>
    <s v="FUR-CH-10000454"/>
    <x v="0"/>
    <s v="Chairs"/>
    <s v="Hon Deluxe Fabric Upholstered Stacking Chairs, Rounded Back"/>
    <n v="731.94"/>
    <n v="3"/>
    <n v="0"/>
    <n v="219.58199999999999"/>
  </r>
  <r>
    <n v="3"/>
    <x v="1"/>
    <x v="1"/>
    <x v="1"/>
    <d v="2016-12-31T00:00:00"/>
    <d v="2017-04-06T00:00:00"/>
    <s v="Second Class"/>
    <s v="DV-13045"/>
    <s v="Darrin Van Huff"/>
    <s v="Corporate"/>
    <s v="United States"/>
    <s v="Los Angeles"/>
    <x v="1"/>
    <n v="90036"/>
    <x v="1"/>
    <s v="OFF-LA-10000240"/>
    <x v="1"/>
    <s v="Labels"/>
    <s v="Self-Adhesive Address Labels for Typewriters by Universal"/>
    <n v="14.62"/>
    <n v="2"/>
    <n v="0"/>
    <n v="6.8714000000000004"/>
  </r>
  <r>
    <n v="4"/>
    <x v="2"/>
    <x v="2"/>
    <x v="2"/>
    <d v="2015-11-30T00:00:00"/>
    <d v="2016-06-10T00:00:00"/>
    <s v="Standard Class"/>
    <s v="SO-20335"/>
    <s v="Sean O'Donnell"/>
    <s v="Consumer"/>
    <s v="United States"/>
    <s v="Fort Lauderdale"/>
    <x v="2"/>
    <n v="33311"/>
    <x v="0"/>
    <s v="FUR-TA-10000577"/>
    <x v="0"/>
    <s v="Tables"/>
    <s v="Bretford CR4500 Series Slim Rectangular Table"/>
    <n v="957.57749999999999"/>
    <n v="5"/>
    <n v="0.45"/>
    <n v="-383.03100000000001"/>
  </r>
  <r>
    <n v="5"/>
    <x v="2"/>
    <x v="2"/>
    <x v="2"/>
    <d v="2015-11-30T00:00:00"/>
    <d v="2016-06-10T00:00:00"/>
    <s v="Standard Class"/>
    <s v="SO-20335"/>
    <s v="Sean O'Donnell"/>
    <s v="Consumer"/>
    <s v="United States"/>
    <s v="Fort Lauderdale"/>
    <x v="2"/>
    <n v="33311"/>
    <x v="0"/>
    <s v="OFF-ST-10000760"/>
    <x v="1"/>
    <s v="Storage"/>
    <s v="Eldon Fold 'N Roll Cart System"/>
    <n v="22.367999999999999"/>
    <n v="2"/>
    <n v="0.2"/>
    <n v="2.5164"/>
  </r>
  <r>
    <n v="6"/>
    <x v="3"/>
    <x v="3"/>
    <x v="3"/>
    <d v="2014-09-30T00:00:00"/>
    <d v="2015-02-06T00:00:00"/>
    <s v="Standard Class"/>
    <s v="BH-11710"/>
    <s v="Brosina Hoffman"/>
    <s v="Consumer"/>
    <s v="United States"/>
    <s v="Los Angeles"/>
    <x v="1"/>
    <n v="90032"/>
    <x v="1"/>
    <s v="FUR-FU-10001487"/>
    <x v="0"/>
    <s v="Furnishings"/>
    <s v="Eldon Expressions Wood and Plastic Desk Accessories, Cherry Wood"/>
    <n v="48.86"/>
    <n v="7"/>
    <n v="0"/>
    <n v="14.1694"/>
  </r>
  <r>
    <n v="7"/>
    <x v="3"/>
    <x v="3"/>
    <x v="3"/>
    <d v="2014-09-30T00:00:00"/>
    <d v="2015-02-06T00:00:00"/>
    <s v="Standard Class"/>
    <s v="BH-11710"/>
    <s v="Brosina Hoffman"/>
    <s v="Consumer"/>
    <s v="United States"/>
    <s v="Los Angeles"/>
    <x v="1"/>
    <n v="90032"/>
    <x v="1"/>
    <s v="OFF-AR-10002833"/>
    <x v="1"/>
    <s v="Art"/>
    <s v="Newell 322"/>
    <n v="7.28"/>
    <n v="4"/>
    <n v="0"/>
    <n v="1.9656"/>
  </r>
  <r>
    <n v="8"/>
    <x v="3"/>
    <x v="3"/>
    <x v="3"/>
    <d v="2014-09-30T00:00:00"/>
    <d v="2015-02-06T00:00:00"/>
    <s v="Standard Class"/>
    <s v="BH-11710"/>
    <s v="Brosina Hoffman"/>
    <s v="Consumer"/>
    <s v="United States"/>
    <s v="Los Angeles"/>
    <x v="1"/>
    <n v="90032"/>
    <x v="1"/>
    <s v="TEC-PH-10002275"/>
    <x v="2"/>
    <s v="Phones"/>
    <s v="Mitel 5320 IP Phone VoIP phone"/>
    <n v="907.15200000000004"/>
    <n v="6"/>
    <n v="0.2"/>
    <n v="90.715199999999996"/>
  </r>
  <r>
    <n v="9"/>
    <x v="3"/>
    <x v="3"/>
    <x v="3"/>
    <d v="2014-09-30T00:00:00"/>
    <d v="2015-02-06T00:00:00"/>
    <s v="Standard Class"/>
    <s v="BH-11710"/>
    <s v="Brosina Hoffman"/>
    <s v="Consumer"/>
    <s v="United States"/>
    <s v="Los Angeles"/>
    <x v="1"/>
    <n v="90032"/>
    <x v="1"/>
    <s v="OFF-BI-10003910"/>
    <x v="1"/>
    <s v="Binders"/>
    <s v="DXL Angle-View Binders with Locking Rings by Samsill"/>
    <n v="18.504000000000001"/>
    <n v="3"/>
    <n v="0.2"/>
    <n v="5.7824999999999998"/>
  </r>
  <r>
    <n v="10"/>
    <x v="3"/>
    <x v="3"/>
    <x v="3"/>
    <d v="2014-09-30T00:00:00"/>
    <d v="2015-02-06T00:00:00"/>
    <s v="Standard Class"/>
    <s v="BH-11710"/>
    <s v="Brosina Hoffman"/>
    <s v="Consumer"/>
    <s v="United States"/>
    <s v="Los Angeles"/>
    <x v="1"/>
    <n v="90032"/>
    <x v="1"/>
    <s v="OFF-AP-10002892"/>
    <x v="1"/>
    <s v="Appliances"/>
    <s v="Belkin F5C206VTEL 6 Outlet Surge"/>
    <n v="114.9"/>
    <n v="5"/>
    <n v="0"/>
    <n v="34.47"/>
  </r>
  <r>
    <n v="11"/>
    <x v="3"/>
    <x v="3"/>
    <x v="3"/>
    <d v="2014-09-30T00:00:00"/>
    <d v="2015-02-06T00:00:00"/>
    <s v="Standard Class"/>
    <s v="BH-11710"/>
    <s v="Brosina Hoffman"/>
    <s v="Consumer"/>
    <s v="United States"/>
    <s v="Los Angeles"/>
    <x v="1"/>
    <n v="90032"/>
    <x v="1"/>
    <s v="FUR-TA-10001539"/>
    <x v="0"/>
    <s v="Tables"/>
    <s v="Chromcraft Rectangular Conference Tables"/>
    <n v="1706.184"/>
    <n v="9"/>
    <n v="0.2"/>
    <n v="85.309200000000004"/>
  </r>
  <r>
    <n v="12"/>
    <x v="3"/>
    <x v="3"/>
    <x v="3"/>
    <d v="2014-09-30T00:00:00"/>
    <d v="2015-02-06T00:00:00"/>
    <s v="Standard Class"/>
    <s v="BH-11710"/>
    <s v="Brosina Hoffman"/>
    <s v="Consumer"/>
    <s v="United States"/>
    <s v="Los Angeles"/>
    <x v="1"/>
    <n v="90032"/>
    <x v="1"/>
    <s v="TEC-PH-10002033"/>
    <x v="2"/>
    <s v="Phones"/>
    <s v="Konftel 250 Conference phone - Charcoal black"/>
    <n v="911.42399999999998"/>
    <n v="4"/>
    <n v="0.2"/>
    <n v="68.356800000000007"/>
  </r>
  <r>
    <n v="13"/>
    <x v="4"/>
    <x v="4"/>
    <x v="4"/>
    <d v="2018-03-31T00:00:00"/>
    <d v="2018-08-04T00:00:00"/>
    <s v="Standard Class"/>
    <s v="AA-10480"/>
    <s v="Andrew Allen"/>
    <s v="Consumer"/>
    <s v="United States"/>
    <s v="Concord"/>
    <x v="3"/>
    <n v="28027"/>
    <x v="0"/>
    <s v="OFF-PA-10002365"/>
    <x v="1"/>
    <s v="Paper"/>
    <s v="Xerox 1967"/>
    <n v="15.552"/>
    <n v="3"/>
    <n v="0.2"/>
    <n v="5.4432"/>
  </r>
  <r>
    <n v="14"/>
    <x v="5"/>
    <x v="5"/>
    <x v="5"/>
    <d v="2016-05-31T00:00:00"/>
    <d v="2016-10-12T00:00:00"/>
    <s v="Standard Class"/>
    <s v="IM-15070"/>
    <s v="Irene Maddox"/>
    <s v="Consumer"/>
    <s v="United States"/>
    <s v="Seattle"/>
    <x v="4"/>
    <n v="98103"/>
    <x v="1"/>
    <s v="OFF-BI-10003656"/>
    <x v="1"/>
    <s v="Binders"/>
    <s v="Fellowes PB200 Plastic Comb Binding Machine"/>
    <n v="407.976"/>
    <n v="3"/>
    <n v="0.2"/>
    <n v="132.59219999999999"/>
  </r>
  <r>
    <n v="15"/>
    <x v="6"/>
    <x v="6"/>
    <x v="6"/>
    <d v="2016-10-31T00:00:00"/>
    <d v="2017-02-11T00:00:00"/>
    <s v="Standard Class"/>
    <s v="HP-14815"/>
    <s v="Harold Pawlan"/>
    <s v="Home Office"/>
    <s v="United States"/>
    <s v="Fort Worth"/>
    <x v="5"/>
    <n v="76106"/>
    <x v="2"/>
    <s v="OFF-AP-10002311"/>
    <x v="1"/>
    <s v="Appliances"/>
    <s v="Holmes Replacement Filter for HEPA Air Cleaner, Very Large Room, HEPA Filter"/>
    <n v="68.81"/>
    <n v="5"/>
    <n v="0.8"/>
    <n v="-123.858"/>
  </r>
  <r>
    <n v="16"/>
    <x v="6"/>
    <x v="6"/>
    <x v="6"/>
    <d v="2016-10-31T00:00:00"/>
    <d v="2017-02-11T00:00:00"/>
    <s v="Standard Class"/>
    <s v="HP-14815"/>
    <s v="Harold Pawlan"/>
    <s v="Home Office"/>
    <s v="United States"/>
    <s v="Fort Worth"/>
    <x v="5"/>
    <n v="76106"/>
    <x v="2"/>
    <s v="OFF-BI-10000756"/>
    <x v="1"/>
    <s v="Binders"/>
    <s v="Storex DuraTech Recycled Plastic Frosted Binders"/>
    <n v="2.544"/>
    <n v="3"/>
    <n v="0.8"/>
    <n v="-3.8159999999999998"/>
  </r>
  <r>
    <n v="17"/>
    <x v="7"/>
    <x v="7"/>
    <x v="2"/>
    <d v="2014-11-30T00:00:00"/>
    <d v="2015-06-11T00:00:00"/>
    <s v="Standard Class"/>
    <s v="PK-19075"/>
    <s v="Pete Kriz"/>
    <s v="Consumer"/>
    <s v="United States"/>
    <s v="Madison"/>
    <x v="6"/>
    <n v="53711"/>
    <x v="2"/>
    <s v="OFF-ST-10004186"/>
    <x v="1"/>
    <s v="Storage"/>
    <s v="Stur-D-Stor Shelving, Vertical 5-Shelf: 72&quot;H x 36&quot;W x 18 1/2&quot;D"/>
    <n v="665.88"/>
    <n v="6"/>
    <n v="0"/>
    <n v="13.317600000000001"/>
  </r>
  <r>
    <n v="18"/>
    <x v="8"/>
    <x v="8"/>
    <x v="7"/>
    <d v="2015-01-31T00:00:00"/>
    <d v="2015-03-05T00:00:00"/>
    <s v="Second Class"/>
    <s v="AG-10270"/>
    <s v="Alejandro Grove"/>
    <s v="Consumer"/>
    <s v="United States"/>
    <s v="West Jordan"/>
    <x v="7"/>
    <n v="84084"/>
    <x v="1"/>
    <s v="OFF-ST-10000107"/>
    <x v="1"/>
    <s v="Storage"/>
    <s v="Fellowes Super Stor/Drawer"/>
    <n v="55.5"/>
    <n v="2"/>
    <n v="0"/>
    <n v="9.99"/>
  </r>
  <r>
    <n v="19"/>
    <x v="9"/>
    <x v="9"/>
    <x v="4"/>
    <d v="2016-03-31T00:00:00"/>
    <d v="2014-01-09T00:00:00"/>
    <s v="Second Class"/>
    <s v="ZD-21925"/>
    <s v="Zuschuss Donatelli"/>
    <s v="Consumer"/>
    <s v="United States"/>
    <s v="San Francisco"/>
    <x v="1"/>
    <n v="94109"/>
    <x v="1"/>
    <s v="OFF-AR-10003056"/>
    <x v="1"/>
    <s v="Art"/>
    <s v="Newell 341"/>
    <n v="8.56"/>
    <n v="2"/>
    <n v="0"/>
    <n v="2.4824000000000002"/>
  </r>
  <r>
    <n v="20"/>
    <x v="9"/>
    <x v="9"/>
    <x v="4"/>
    <d v="2016-03-31T00:00:00"/>
    <d v="2014-01-09T00:00:00"/>
    <s v="Second Class"/>
    <s v="ZD-21925"/>
    <s v="Zuschuss Donatelli"/>
    <s v="Consumer"/>
    <s v="United States"/>
    <s v="San Francisco"/>
    <x v="1"/>
    <n v="94109"/>
    <x v="1"/>
    <s v="TEC-PH-10001949"/>
    <x v="2"/>
    <s v="Phones"/>
    <s v="Cisco SPA 501G IP Phone"/>
    <n v="213.48"/>
    <n v="3"/>
    <n v="0.2"/>
    <n v="16.010999999999999"/>
  </r>
  <r>
    <n v="21"/>
    <x v="9"/>
    <x v="9"/>
    <x v="4"/>
    <d v="2016-03-31T00:00:00"/>
    <d v="2014-01-09T00:00:00"/>
    <s v="Second Class"/>
    <s v="ZD-21925"/>
    <s v="Zuschuss Donatelli"/>
    <s v="Consumer"/>
    <s v="United States"/>
    <s v="San Francisco"/>
    <x v="1"/>
    <n v="94109"/>
    <x v="1"/>
    <s v="OFF-BI-10002215"/>
    <x v="1"/>
    <s v="Binders"/>
    <s v="Wilson Jones Hanging View Binder, White, 1&quot;"/>
    <n v="22.72"/>
    <n v="4"/>
    <n v="0.2"/>
    <n v="7.3840000000000003"/>
  </r>
  <r>
    <n v="22"/>
    <x v="10"/>
    <x v="10"/>
    <x v="3"/>
    <d v="2016-09-30T00:00:00"/>
    <d v="2017-01-12T00:00:00"/>
    <s v="Standard Class"/>
    <s v="KB-16585"/>
    <s v="Ken Black"/>
    <s v="Corporate"/>
    <s v="United States"/>
    <s v="Fremont"/>
    <x v="8"/>
    <n v="68025"/>
    <x v="2"/>
    <s v="OFF-AR-10000246"/>
    <x v="1"/>
    <s v="Art"/>
    <s v="Newell 318"/>
    <n v="19.46"/>
    <n v="7"/>
    <n v="0"/>
    <n v="5.0595999999999997"/>
  </r>
  <r>
    <n v="23"/>
    <x v="10"/>
    <x v="10"/>
    <x v="3"/>
    <d v="2016-09-30T00:00:00"/>
    <d v="2017-01-12T00:00:00"/>
    <s v="Standard Class"/>
    <s v="KB-16585"/>
    <s v="Ken Black"/>
    <s v="Corporate"/>
    <s v="United States"/>
    <s v="Fremont"/>
    <x v="8"/>
    <n v="68025"/>
    <x v="2"/>
    <s v="OFF-AP-10001492"/>
    <x v="1"/>
    <s v="Appliances"/>
    <s v="Acco Six-Outlet Power Strip, 4' Cord Length"/>
    <n v="60.34"/>
    <n v="7"/>
    <n v="0"/>
    <n v="15.6884"/>
  </r>
  <r>
    <n v="24"/>
    <x v="11"/>
    <x v="11"/>
    <x v="8"/>
    <d v="2018-04-30T00:00:00"/>
    <d v="2018-06-07T00:00:00"/>
    <s v="Second Class"/>
    <s v="SF-20065"/>
    <s v="Sandra Flanagan"/>
    <s v="Consumer"/>
    <s v="United States"/>
    <s v="Philadelphia"/>
    <x v="9"/>
    <n v="19140"/>
    <x v="3"/>
    <s v="FUR-CH-10002774"/>
    <x v="0"/>
    <s v="Chairs"/>
    <s v="Global Deluxe Stacking Chair, Gray"/>
    <n v="71.372"/>
    <n v="2"/>
    <n v="0.3"/>
    <n v="-1.0196000000000001"/>
  </r>
  <r>
    <n v="25"/>
    <x v="12"/>
    <x v="12"/>
    <x v="7"/>
    <d v="2017-01-31T00:00:00"/>
    <d v="2017-06-09T00:00:00"/>
    <s v="Standard Class"/>
    <s v="EB-13870"/>
    <s v="Emily Burns"/>
    <s v="Consumer"/>
    <s v="United States"/>
    <s v="Orem"/>
    <x v="7"/>
    <n v="84057"/>
    <x v="1"/>
    <s v="FUR-TA-10000577"/>
    <x v="0"/>
    <s v="Tables"/>
    <s v="Bretford CR4500 Series Slim Rectangular Table"/>
    <n v="1044.6300000000001"/>
    <n v="3"/>
    <n v="0"/>
    <n v="240.26490000000001"/>
  </r>
  <r>
    <n v="26"/>
    <x v="13"/>
    <x v="13"/>
    <x v="8"/>
    <d v="2017-04-30T00:00:00"/>
    <d v="2017-08-01T00:00:00"/>
    <s v="Second Class"/>
    <s v="EH-13945"/>
    <s v="Eric Hoffmann"/>
    <s v="Consumer"/>
    <s v="United States"/>
    <s v="Los Angeles"/>
    <x v="1"/>
    <n v="90049"/>
    <x v="1"/>
    <s v="OFF-BI-10001634"/>
    <x v="1"/>
    <s v="Binders"/>
    <s v="Wilson Jones Active Use Binders"/>
    <n v="11.648"/>
    <n v="2"/>
    <n v="0.2"/>
    <n v="4.2224000000000004"/>
  </r>
  <r>
    <n v="27"/>
    <x v="13"/>
    <x v="13"/>
    <x v="8"/>
    <d v="2017-04-30T00:00:00"/>
    <d v="2017-08-01T00:00:00"/>
    <s v="Second Class"/>
    <s v="EH-13945"/>
    <s v="Eric Hoffmann"/>
    <s v="Consumer"/>
    <s v="United States"/>
    <s v="Los Angeles"/>
    <x v="1"/>
    <n v="90049"/>
    <x v="1"/>
    <s v="TEC-AC-10003027"/>
    <x v="2"/>
    <s v="Accessories"/>
    <s v="Imation 8GB Mini TravelDrive USB 2.0 Flash Drive"/>
    <n v="90.57"/>
    <n v="3"/>
    <n v="0"/>
    <n v="11.774100000000001"/>
  </r>
  <r>
    <n v="28"/>
    <x v="14"/>
    <x v="14"/>
    <x v="5"/>
    <d v="2016-05-31T00:00:00"/>
    <d v="2016-09-09T00:00:00"/>
    <s v="Standard Class"/>
    <s v="TB-21520"/>
    <s v="Tracy Blumstein"/>
    <s v="Consumer"/>
    <s v="United States"/>
    <s v="Philadelphia"/>
    <x v="9"/>
    <n v="19140"/>
    <x v="3"/>
    <s v="FUR-BO-10004834"/>
    <x v="0"/>
    <s v="Bookcases"/>
    <s v="Riverside Palais Royal Lawyers Bookcase, Royale Cherry Finish"/>
    <n v="3083.43"/>
    <n v="7"/>
    <n v="0.5"/>
    <n v="-1665.0522000000001"/>
  </r>
  <r>
    <n v="29"/>
    <x v="14"/>
    <x v="14"/>
    <x v="5"/>
    <d v="2016-05-31T00:00:00"/>
    <d v="2016-09-09T00:00:00"/>
    <s v="Standard Class"/>
    <s v="TB-21520"/>
    <s v="Tracy Blumstein"/>
    <s v="Consumer"/>
    <s v="United States"/>
    <s v="Philadelphia"/>
    <x v="9"/>
    <n v="19140"/>
    <x v="3"/>
    <s v="OFF-BI-10000474"/>
    <x v="1"/>
    <s v="Binders"/>
    <s v="Avery Recycled Flexi-View Covers for Binding Systems"/>
    <n v="9.6180000000000003"/>
    <n v="2"/>
    <n v="0.7"/>
    <n v="-7.0532000000000004"/>
  </r>
  <r>
    <n v="30"/>
    <x v="14"/>
    <x v="14"/>
    <x v="5"/>
    <d v="2016-05-31T00:00:00"/>
    <d v="2016-09-09T00:00:00"/>
    <s v="Standard Class"/>
    <s v="TB-21520"/>
    <s v="Tracy Blumstein"/>
    <s v="Consumer"/>
    <s v="United States"/>
    <s v="Philadelphia"/>
    <x v="9"/>
    <n v="19140"/>
    <x v="3"/>
    <s v="FUR-FU-10004848"/>
    <x v="0"/>
    <s v="Furnishings"/>
    <s v="Howard Miller 13-3/4&quot; Diameter Brushed Chrome Round Wall Clock"/>
    <n v="124.2"/>
    <n v="3"/>
    <n v="0.2"/>
    <n v="15.525"/>
  </r>
  <r>
    <n v="31"/>
    <x v="14"/>
    <x v="14"/>
    <x v="5"/>
    <d v="2016-05-31T00:00:00"/>
    <d v="2016-09-09T00:00:00"/>
    <s v="Standard Class"/>
    <s v="TB-21520"/>
    <s v="Tracy Blumstein"/>
    <s v="Consumer"/>
    <s v="United States"/>
    <s v="Philadelphia"/>
    <x v="9"/>
    <n v="19140"/>
    <x v="3"/>
    <s v="OFF-EN-10001509"/>
    <x v="1"/>
    <s v="Envelopes"/>
    <s v="Poly String Tie Envelopes"/>
    <n v="3.2639999999999998"/>
    <n v="2"/>
    <n v="0.2"/>
    <n v="1.1015999999999999"/>
  </r>
  <r>
    <n v="32"/>
    <x v="14"/>
    <x v="14"/>
    <x v="5"/>
    <d v="2016-05-31T00:00:00"/>
    <d v="2016-09-09T00:00:00"/>
    <s v="Standard Class"/>
    <s v="TB-21520"/>
    <s v="Tracy Blumstein"/>
    <s v="Consumer"/>
    <s v="United States"/>
    <s v="Philadelphia"/>
    <x v="9"/>
    <n v="19140"/>
    <x v="3"/>
    <s v="OFF-AR-10004042"/>
    <x v="1"/>
    <s v="Art"/>
    <s v="BOSTON Model 1800 Electric Pencil Sharpeners, Putty/Woodgrain"/>
    <n v="86.304000000000002"/>
    <n v="6"/>
    <n v="0.2"/>
    <n v="9.7091999999999992"/>
  </r>
  <r>
    <n v="33"/>
    <x v="14"/>
    <x v="14"/>
    <x v="5"/>
    <d v="2016-05-31T00:00:00"/>
    <d v="2016-09-09T00:00:00"/>
    <s v="Standard Class"/>
    <s v="TB-21520"/>
    <s v="Tracy Blumstein"/>
    <s v="Consumer"/>
    <s v="United States"/>
    <s v="Philadelphia"/>
    <x v="9"/>
    <n v="19140"/>
    <x v="3"/>
    <s v="OFF-BI-10001525"/>
    <x v="1"/>
    <s v="Binders"/>
    <s v="Acco Pressboard Covers with Storage Hooks, 14 7/8&quot; x 11&quot;, Executive Red"/>
    <n v="6.8579999999999997"/>
    <n v="6"/>
    <n v="0.7"/>
    <n v="-5.7149999999999999"/>
  </r>
  <r>
    <n v="34"/>
    <x v="14"/>
    <x v="14"/>
    <x v="5"/>
    <d v="2016-05-31T00:00:00"/>
    <d v="2016-09-09T00:00:00"/>
    <s v="Standard Class"/>
    <s v="TB-21520"/>
    <s v="Tracy Blumstein"/>
    <s v="Consumer"/>
    <s v="United States"/>
    <s v="Philadelphia"/>
    <x v="9"/>
    <n v="19140"/>
    <x v="3"/>
    <s v="OFF-AR-10001683"/>
    <x v="1"/>
    <s v="Art"/>
    <s v="Lumber Crayons"/>
    <n v="15.76"/>
    <n v="2"/>
    <n v="0.2"/>
    <n v="3.5459999999999998"/>
  </r>
  <r>
    <n v="35"/>
    <x v="15"/>
    <x v="15"/>
    <x v="9"/>
    <d v="2018-07-31T00:00:00"/>
    <d v="2018-11-10T00:00:00"/>
    <s v="Second Class"/>
    <s v="MA-17560"/>
    <s v="Matt Abelman"/>
    <s v="Home Office"/>
    <s v="United States"/>
    <s v="Houston"/>
    <x v="5"/>
    <n v="77095"/>
    <x v="2"/>
    <s v="OFF-PA-10000249"/>
    <x v="1"/>
    <s v="Paper"/>
    <s v="Easy-staple paper"/>
    <n v="29.472000000000001"/>
    <n v="3"/>
    <n v="0.2"/>
    <n v="9.9467999999999996"/>
  </r>
  <r>
    <n v="36"/>
    <x v="16"/>
    <x v="16"/>
    <x v="0"/>
    <d v="2016-08-31T00:00:00"/>
    <d v="2016-10-12T00:00:00"/>
    <s v="First Class"/>
    <s v="GH-14485"/>
    <s v="Gene Hale"/>
    <s v="Corporate"/>
    <s v="United States"/>
    <s v="Richardson"/>
    <x v="5"/>
    <n v="75080"/>
    <x v="2"/>
    <s v="TEC-PH-10004977"/>
    <x v="2"/>
    <s v="Phones"/>
    <s v="GE 30524EE4"/>
    <n v="1097.5440000000001"/>
    <n v="7"/>
    <n v="0.2"/>
    <n v="123.47369999999999"/>
  </r>
  <r>
    <n v="37"/>
    <x v="16"/>
    <x v="16"/>
    <x v="0"/>
    <d v="2016-08-31T00:00:00"/>
    <d v="2016-10-12T00:00:00"/>
    <s v="First Class"/>
    <s v="GH-14485"/>
    <s v="Gene Hale"/>
    <s v="Corporate"/>
    <s v="United States"/>
    <s v="Richardson"/>
    <x v="5"/>
    <n v="75080"/>
    <x v="2"/>
    <s v="FUR-FU-10003664"/>
    <x v="0"/>
    <s v="Furnishings"/>
    <s v="Electrix Architect's Clamp-On Swing Arm Lamp, Black"/>
    <n v="190.92"/>
    <n v="5"/>
    <n v="0.6"/>
    <n v="-147.96299999999999"/>
  </r>
  <r>
    <n v="38"/>
    <x v="17"/>
    <x v="17"/>
    <x v="4"/>
    <d v="2017-03-31T00:00:00"/>
    <d v="2017-07-12T00:00:00"/>
    <s v="Standard Class"/>
    <s v="SN-20710"/>
    <s v="Steve Nguyen"/>
    <s v="Home Office"/>
    <s v="United States"/>
    <s v="Houston"/>
    <x v="5"/>
    <n v="77041"/>
    <x v="2"/>
    <s v="OFF-EN-10002986"/>
    <x v="1"/>
    <s v="Envelopes"/>
    <s v="#10-4 1/8&quot; x 9 1/2&quot; Premium Diagonal Seam Envelopes"/>
    <n v="113.328"/>
    <n v="9"/>
    <n v="0.2"/>
    <n v="35.414999999999999"/>
  </r>
  <r>
    <n v="39"/>
    <x v="17"/>
    <x v="17"/>
    <x v="4"/>
    <d v="2017-03-31T00:00:00"/>
    <d v="2017-07-12T00:00:00"/>
    <s v="Standard Class"/>
    <s v="SN-20710"/>
    <s v="Steve Nguyen"/>
    <s v="Home Office"/>
    <s v="United States"/>
    <s v="Houston"/>
    <x v="5"/>
    <n v="77041"/>
    <x v="2"/>
    <s v="FUR-BO-10002545"/>
    <x v="0"/>
    <s v="Bookcases"/>
    <s v="Atlantic Metals Mobile 3-Shelf Bookcases, Custom Colors"/>
    <n v="532.39919999999995"/>
    <n v="3"/>
    <n v="0.32"/>
    <n v="-46.976399999999998"/>
  </r>
  <r>
    <n v="40"/>
    <x v="17"/>
    <x v="17"/>
    <x v="4"/>
    <d v="2017-03-31T00:00:00"/>
    <d v="2017-07-12T00:00:00"/>
    <s v="Standard Class"/>
    <s v="SN-20710"/>
    <s v="Steve Nguyen"/>
    <s v="Home Office"/>
    <s v="United States"/>
    <s v="Houston"/>
    <x v="5"/>
    <n v="77041"/>
    <x v="2"/>
    <s v="FUR-CH-10004218"/>
    <x v="0"/>
    <s v="Chairs"/>
    <s v="Global Fabric Manager's Chair, Dark Gray"/>
    <n v="212.05799999999999"/>
    <n v="3"/>
    <n v="0.3"/>
    <n v="-15.147"/>
  </r>
  <r>
    <n v="41"/>
    <x v="17"/>
    <x v="17"/>
    <x v="4"/>
    <d v="2017-03-31T00:00:00"/>
    <d v="2017-07-12T00:00:00"/>
    <s v="Standard Class"/>
    <s v="SN-20710"/>
    <s v="Steve Nguyen"/>
    <s v="Home Office"/>
    <s v="United States"/>
    <s v="Houston"/>
    <x v="5"/>
    <n v="77041"/>
    <x v="2"/>
    <s v="TEC-PH-10000486"/>
    <x v="2"/>
    <s v="Phones"/>
    <s v="Plantronics HL10 Handset Lifter"/>
    <n v="371.16800000000001"/>
    <n v="4"/>
    <n v="0.2"/>
    <n v="41.756399999999999"/>
  </r>
  <r>
    <n v="42"/>
    <x v="18"/>
    <x v="18"/>
    <x v="6"/>
    <d v="2017-10-31T00:00:00"/>
    <d v="2018-03-09T00:00:00"/>
    <s v="Standard Class"/>
    <s v="LC-16930"/>
    <s v="Linda Cazamias"/>
    <s v="Corporate"/>
    <s v="United States"/>
    <s v="Naperville"/>
    <x v="10"/>
    <n v="60540"/>
    <x v="2"/>
    <s v="TEC-PH-10004093"/>
    <x v="2"/>
    <s v="Phones"/>
    <s v="Panasonic Kx-TS550"/>
    <n v="147.16800000000001"/>
    <n v="4"/>
    <n v="0.2"/>
    <n v="16.5564"/>
  </r>
  <r>
    <n v="43"/>
    <x v="19"/>
    <x v="19"/>
    <x v="5"/>
    <d v="2017-05-31T00:00:00"/>
    <d v="2017-10-07T00:00:00"/>
    <s v="Standard Class"/>
    <s v="RA-19885"/>
    <s v="Ruben Ausman"/>
    <s v="Corporate"/>
    <s v="United States"/>
    <s v="Los Angeles"/>
    <x v="1"/>
    <n v="90049"/>
    <x v="1"/>
    <s v="OFF-ST-10003479"/>
    <x v="1"/>
    <s v="Storage"/>
    <s v="Eldon Base for stackable storage shelf, platinum"/>
    <n v="77.88"/>
    <n v="2"/>
    <n v="0"/>
    <n v="3.8940000000000001"/>
  </r>
  <r>
    <n v="44"/>
    <x v="20"/>
    <x v="20"/>
    <x v="9"/>
    <d v="2018-07-31T00:00:00"/>
    <d v="2018-11-09T00:00:00"/>
    <s v="Standard Class"/>
    <s v="ES-14080"/>
    <s v="Erin Smith"/>
    <s v="Corporate"/>
    <s v="United States"/>
    <s v="Melbourne"/>
    <x v="2"/>
    <n v="32935"/>
    <x v="0"/>
    <s v="OFF-ST-10003282"/>
    <x v="1"/>
    <s v="Storage"/>
    <s v="Advantus 10-Drawer Portable Organizer, Chrome Metal Frame, Smoke Drawers"/>
    <n v="95.616"/>
    <n v="2"/>
    <n v="0.2"/>
    <n v="9.5616000000000003"/>
  </r>
  <r>
    <n v="45"/>
    <x v="21"/>
    <x v="21"/>
    <x v="2"/>
    <d v="2016-11-30T00:00:00"/>
    <d v="2017-01-03T00:00:00"/>
    <s v="First Class"/>
    <s v="ON-18715"/>
    <s v="Odella Nelson"/>
    <s v="Corporate"/>
    <s v="United States"/>
    <s v="Eagan"/>
    <x v="11"/>
    <n v="55122"/>
    <x v="2"/>
    <s v="TEC-AC-10000171"/>
    <x v="2"/>
    <s v="Accessories"/>
    <s v="Verbatim 25 GB 6x Blu-ray Single Layer Recordable Disc, 25/Pack"/>
    <n v="45.98"/>
    <n v="2"/>
    <n v="0"/>
    <n v="19.7714"/>
  </r>
  <r>
    <n v="46"/>
    <x v="21"/>
    <x v="21"/>
    <x v="2"/>
    <d v="2016-11-30T00:00:00"/>
    <d v="2017-01-03T00:00:00"/>
    <s v="First Class"/>
    <s v="ON-18715"/>
    <s v="Odella Nelson"/>
    <s v="Corporate"/>
    <s v="United States"/>
    <s v="Eagan"/>
    <x v="11"/>
    <n v="55122"/>
    <x v="2"/>
    <s v="OFF-BI-10003291"/>
    <x v="1"/>
    <s v="Binders"/>
    <s v="Wilson Jones Leather-Like Binders with DublLock Round Rings"/>
    <n v="17.46"/>
    <n v="2"/>
    <n v="0"/>
    <n v="8.2062000000000008"/>
  </r>
  <r>
    <n v="47"/>
    <x v="22"/>
    <x v="22"/>
    <x v="0"/>
    <d v="2015-08-31T00:00:00"/>
    <d v="2016-01-10T00:00:00"/>
    <s v="Second Class"/>
    <s v="PO-18865"/>
    <s v="Patrick O'Donnell"/>
    <s v="Consumer"/>
    <s v="United States"/>
    <s v="Westland"/>
    <x v="12"/>
    <n v="48185"/>
    <x v="2"/>
    <s v="OFF-ST-10001713"/>
    <x v="1"/>
    <s v="Storage"/>
    <s v="Gould Plastics 9-Pocket Panel Bin, 18-3/8w x 5-1/4d x 20-1/2h, Black"/>
    <n v="211.96"/>
    <n v="4"/>
    <n v="0"/>
    <n v="8.4784000000000006"/>
  </r>
  <r>
    <n v="48"/>
    <x v="23"/>
    <x v="23"/>
    <x v="0"/>
    <d v="2017-08-31T00:00:00"/>
    <d v="2018-01-06T00:00:00"/>
    <s v="Standard Class"/>
    <s v="LH-16900"/>
    <s v="Lena Hernandez"/>
    <s v="Consumer"/>
    <s v="United States"/>
    <s v="Dover"/>
    <x v="13"/>
    <n v="19901"/>
    <x v="3"/>
    <s v="TEC-AC-10002167"/>
    <x v="2"/>
    <s v="Accessories"/>
    <s v="Imation 8gb Micro Traveldrive Usb 2.0 Flash Drive"/>
    <n v="45"/>
    <n v="3"/>
    <n v="0"/>
    <n v="4.95"/>
  </r>
  <r>
    <n v="49"/>
    <x v="23"/>
    <x v="23"/>
    <x v="0"/>
    <d v="2017-08-31T00:00:00"/>
    <d v="2018-01-06T00:00:00"/>
    <s v="Standard Class"/>
    <s v="LH-16900"/>
    <s v="Lena Hernandez"/>
    <s v="Consumer"/>
    <s v="United States"/>
    <s v="Dover"/>
    <x v="13"/>
    <n v="19901"/>
    <x v="3"/>
    <s v="TEC-PH-10003988"/>
    <x v="2"/>
    <s v="Phones"/>
    <s v="LF Elite 3D Dazzle Designer Hard Case Cover, Lf Stylus Pen and Wiper For Apple Iphone 5c Mini Lite"/>
    <n v="21.8"/>
    <n v="2"/>
    <n v="0"/>
    <n v="6.1040000000000001"/>
  </r>
  <r>
    <n v="50"/>
    <x v="24"/>
    <x v="24"/>
    <x v="10"/>
    <d v="2016-06-30T00:00:00"/>
    <d v="2016-10-04T00:00:00"/>
    <s v="Standard Class"/>
    <s v="DP-13000"/>
    <s v="Darren Powers"/>
    <s v="Consumer"/>
    <s v="United States"/>
    <s v="New Albany"/>
    <x v="14"/>
    <n v="47150"/>
    <x v="2"/>
    <s v="OFF-BI-10004410"/>
    <x v="1"/>
    <s v="Binders"/>
    <s v="C-Line Peel &amp; Stick Add-On Filing Pockets, 8-3/4 x 5-1/8, 10/Pack"/>
    <n v="38.22"/>
    <n v="6"/>
    <n v="0"/>
    <n v="17.9634"/>
  </r>
  <r>
    <n v="51"/>
    <x v="24"/>
    <x v="24"/>
    <x v="10"/>
    <d v="2016-06-30T00:00:00"/>
    <d v="2016-10-04T00:00:00"/>
    <s v="Standard Class"/>
    <s v="DP-13000"/>
    <s v="Darren Powers"/>
    <s v="Consumer"/>
    <s v="United States"/>
    <s v="New Albany"/>
    <x v="14"/>
    <n v="47150"/>
    <x v="2"/>
    <s v="OFF-LA-10002762"/>
    <x v="1"/>
    <s v="Labels"/>
    <s v="Avery 485"/>
    <n v="75.180000000000007"/>
    <n v="6"/>
    <n v="0"/>
    <n v="35.334600000000002"/>
  </r>
  <r>
    <n v="52"/>
    <x v="24"/>
    <x v="24"/>
    <x v="10"/>
    <d v="2016-06-30T00:00:00"/>
    <d v="2016-10-04T00:00:00"/>
    <s v="Standard Class"/>
    <s v="DP-13000"/>
    <s v="Darren Powers"/>
    <s v="Consumer"/>
    <s v="United States"/>
    <s v="New Albany"/>
    <x v="14"/>
    <n v="47150"/>
    <x v="2"/>
    <s v="FUR-FU-10001706"/>
    <x v="0"/>
    <s v="Furnishings"/>
    <s v="Longer-Life Soft White Bulbs"/>
    <n v="6.16"/>
    <n v="2"/>
    <n v="0"/>
    <n v="2.9567999999999999"/>
  </r>
  <r>
    <n v="53"/>
    <x v="24"/>
    <x v="24"/>
    <x v="10"/>
    <d v="2016-06-30T00:00:00"/>
    <d v="2016-10-04T00:00:00"/>
    <s v="Standard Class"/>
    <s v="DP-13000"/>
    <s v="Darren Powers"/>
    <s v="Consumer"/>
    <s v="United States"/>
    <s v="New Albany"/>
    <x v="14"/>
    <n v="47150"/>
    <x v="2"/>
    <s v="FUR-CH-10003061"/>
    <x v="0"/>
    <s v="Chairs"/>
    <s v="Global Leather Task Chair, Black"/>
    <n v="89.99"/>
    <n v="1"/>
    <n v="0"/>
    <n v="17.098099999999999"/>
  </r>
  <r>
    <n v="54"/>
    <x v="25"/>
    <x v="25"/>
    <x v="2"/>
    <d v="2016-11-30T00:00:00"/>
    <d v="2017-05-12T00:00:00"/>
    <s v="Standard Class"/>
    <s v="JM-15265"/>
    <s v="Janet Molinari"/>
    <s v="Corporate"/>
    <s v="United States"/>
    <s v="New York City"/>
    <x v="15"/>
    <n v="10024"/>
    <x v="3"/>
    <s v="OFF-FA-10000304"/>
    <x v="1"/>
    <s v="Fasteners"/>
    <s v="Advantus Push Pins"/>
    <n v="15.26"/>
    <n v="7"/>
    <n v="0"/>
    <n v="6.2565999999999997"/>
  </r>
  <r>
    <n v="55"/>
    <x v="25"/>
    <x v="25"/>
    <x v="2"/>
    <d v="2016-11-30T00:00:00"/>
    <d v="2017-05-12T00:00:00"/>
    <s v="Standard Class"/>
    <s v="JM-15265"/>
    <s v="Janet Molinari"/>
    <s v="Corporate"/>
    <s v="United States"/>
    <s v="New York City"/>
    <x v="15"/>
    <n v="10024"/>
    <x v="3"/>
    <s v="TEC-PH-10002447"/>
    <x v="2"/>
    <s v="Phones"/>
    <s v="AT&amp;T CL83451 4-Handset Telephone"/>
    <n v="1029.95"/>
    <n v="5"/>
    <n v="0"/>
    <n v="298.68549999999999"/>
  </r>
  <r>
    <n v="56"/>
    <x v="26"/>
    <x v="26"/>
    <x v="5"/>
    <d v="2017-05-31T00:00:00"/>
    <d v="2017-06-06T00:00:00"/>
    <s v="First Class"/>
    <s v="TB-21055"/>
    <s v="Ted Butterfield"/>
    <s v="Consumer"/>
    <s v="United States"/>
    <s v="Troy"/>
    <x v="15"/>
    <n v="12180"/>
    <x v="3"/>
    <s v="OFF-ST-10000604"/>
    <x v="1"/>
    <s v="Storage"/>
    <s v="Home/Office Personal File Carts"/>
    <n v="208.56"/>
    <n v="6"/>
    <n v="0"/>
    <n v="52.14"/>
  </r>
  <r>
    <n v="57"/>
    <x v="26"/>
    <x v="26"/>
    <x v="5"/>
    <d v="2017-05-31T00:00:00"/>
    <d v="2017-06-06T00:00:00"/>
    <s v="First Class"/>
    <s v="TB-21055"/>
    <s v="Ted Butterfield"/>
    <s v="Consumer"/>
    <s v="United States"/>
    <s v="Troy"/>
    <x v="15"/>
    <n v="12180"/>
    <x v="3"/>
    <s v="OFF-PA-10001569"/>
    <x v="1"/>
    <s v="Paper"/>
    <s v="Xerox 232"/>
    <n v="32.4"/>
    <n v="5"/>
    <n v="0"/>
    <n v="15.552"/>
  </r>
  <r>
    <n v="58"/>
    <x v="26"/>
    <x v="26"/>
    <x v="5"/>
    <d v="2017-05-31T00:00:00"/>
    <d v="2017-06-06T00:00:00"/>
    <s v="First Class"/>
    <s v="TB-21055"/>
    <s v="Ted Butterfield"/>
    <s v="Consumer"/>
    <s v="United States"/>
    <s v="Troy"/>
    <x v="15"/>
    <n v="12180"/>
    <x v="3"/>
    <s v="FUR-CH-10003968"/>
    <x v="0"/>
    <s v="Chairs"/>
    <s v="Novimex Turbo Task Chair"/>
    <n v="319.41000000000003"/>
    <n v="5"/>
    <n v="0.1"/>
    <n v="7.0979999999999999"/>
  </r>
  <r>
    <n v="59"/>
    <x v="26"/>
    <x v="26"/>
    <x v="5"/>
    <d v="2017-05-31T00:00:00"/>
    <d v="2017-06-06T00:00:00"/>
    <s v="First Class"/>
    <s v="TB-21055"/>
    <s v="Ted Butterfield"/>
    <s v="Consumer"/>
    <s v="United States"/>
    <s v="Troy"/>
    <x v="15"/>
    <n v="12180"/>
    <x v="3"/>
    <s v="OFF-PA-10000587"/>
    <x v="1"/>
    <s v="Paper"/>
    <s v="Array Parchment Paper, Assorted Colors"/>
    <n v="14.56"/>
    <n v="2"/>
    <n v="0"/>
    <n v="6.9888000000000003"/>
  </r>
  <r>
    <n v="60"/>
    <x v="26"/>
    <x v="26"/>
    <x v="5"/>
    <d v="2017-05-31T00:00:00"/>
    <d v="2017-06-06T00:00:00"/>
    <s v="First Class"/>
    <s v="TB-21055"/>
    <s v="Ted Butterfield"/>
    <s v="Consumer"/>
    <s v="United States"/>
    <s v="Troy"/>
    <x v="15"/>
    <n v="12180"/>
    <x v="3"/>
    <s v="TEC-AC-10002167"/>
    <x v="2"/>
    <s v="Accessories"/>
    <s v="Imation 8gb Micro Traveldrive Usb 2.0 Flash Drive"/>
    <n v="30"/>
    <n v="2"/>
    <n v="0"/>
    <n v="3.3"/>
  </r>
  <r>
    <n v="61"/>
    <x v="26"/>
    <x v="26"/>
    <x v="5"/>
    <d v="2017-05-31T00:00:00"/>
    <d v="2017-06-06T00:00:00"/>
    <s v="First Class"/>
    <s v="TB-21055"/>
    <s v="Ted Butterfield"/>
    <s v="Consumer"/>
    <s v="United States"/>
    <s v="Troy"/>
    <x v="15"/>
    <n v="12180"/>
    <x v="3"/>
    <s v="OFF-BI-10001460"/>
    <x v="1"/>
    <s v="Binders"/>
    <s v="Plastic Binding Combs"/>
    <n v="48.48"/>
    <n v="4"/>
    <n v="0.2"/>
    <n v="16.361999999999998"/>
  </r>
  <r>
    <n v="62"/>
    <x v="26"/>
    <x v="26"/>
    <x v="5"/>
    <d v="2017-05-31T00:00:00"/>
    <d v="2017-06-06T00:00:00"/>
    <s v="First Class"/>
    <s v="TB-21055"/>
    <s v="Ted Butterfield"/>
    <s v="Consumer"/>
    <s v="United States"/>
    <s v="Troy"/>
    <x v="15"/>
    <n v="12180"/>
    <x v="3"/>
    <s v="OFF-AR-10001868"/>
    <x v="1"/>
    <s v="Art"/>
    <s v="Prang Dustless Chalk Sticks"/>
    <n v="1.68"/>
    <n v="1"/>
    <n v="0"/>
    <n v="0.84"/>
  </r>
  <r>
    <n v="63"/>
    <x v="27"/>
    <x v="27"/>
    <x v="1"/>
    <d v="2016-12-31T00:00:00"/>
    <d v="2017-06-11T00:00:00"/>
    <s v="Standard Class"/>
    <s v="KM-16720"/>
    <s v="Kunst Miller"/>
    <s v="Consumer"/>
    <s v="United States"/>
    <s v="Los Angeles"/>
    <x v="1"/>
    <n v="90004"/>
    <x v="1"/>
    <s v="TEC-AC-10004633"/>
    <x v="2"/>
    <s v="Accessories"/>
    <s v="Verbatim 25 GB 6x Blu-ray Single Layer Recordable Disc, 3/Pack"/>
    <n v="13.98"/>
    <n v="2"/>
    <n v="0"/>
    <n v="6.1512000000000002"/>
  </r>
  <r>
    <n v="64"/>
    <x v="27"/>
    <x v="27"/>
    <x v="1"/>
    <d v="2016-12-31T00:00:00"/>
    <d v="2017-06-11T00:00:00"/>
    <s v="Standard Class"/>
    <s v="KM-16720"/>
    <s v="Kunst Miller"/>
    <s v="Consumer"/>
    <s v="United States"/>
    <s v="Los Angeles"/>
    <x v="1"/>
    <n v="90004"/>
    <x v="1"/>
    <s v="OFF-BI-10001078"/>
    <x v="1"/>
    <s v="Binders"/>
    <s v="Acco PRESSTEX Data Binder with Storage Hooks, Dark Blue, 14 7/8&quot; X 11&quot;"/>
    <n v="25.824000000000002"/>
    <n v="6"/>
    <n v="0.2"/>
    <n v="9.3612000000000002"/>
  </r>
  <r>
    <n v="65"/>
    <x v="27"/>
    <x v="27"/>
    <x v="1"/>
    <d v="2016-12-31T00:00:00"/>
    <d v="2017-06-11T00:00:00"/>
    <s v="Standard Class"/>
    <s v="KM-16720"/>
    <s v="Kunst Miller"/>
    <s v="Consumer"/>
    <s v="United States"/>
    <s v="Los Angeles"/>
    <x v="1"/>
    <n v="90004"/>
    <x v="1"/>
    <s v="OFF-PA-10003892"/>
    <x v="1"/>
    <s v="Paper"/>
    <s v="Xerox 1943"/>
    <n v="146.72999999999999"/>
    <n v="3"/>
    <n v="0"/>
    <n v="68.963099999999997"/>
  </r>
  <r>
    <n v="66"/>
    <x v="27"/>
    <x v="27"/>
    <x v="1"/>
    <d v="2016-12-31T00:00:00"/>
    <d v="2017-06-11T00:00:00"/>
    <s v="Standard Class"/>
    <s v="KM-16720"/>
    <s v="Kunst Miller"/>
    <s v="Consumer"/>
    <s v="United States"/>
    <s v="Los Angeles"/>
    <x v="1"/>
    <n v="90004"/>
    <x v="1"/>
    <s v="FUR-FU-10000397"/>
    <x v="0"/>
    <s v="Furnishings"/>
    <s v="Luxo Economy Swing Arm Lamp"/>
    <n v="79.760000000000005"/>
    <n v="4"/>
    <n v="0"/>
    <n v="22.332799999999999"/>
  </r>
  <r>
    <n v="67"/>
    <x v="28"/>
    <x v="28"/>
    <x v="10"/>
    <d v="2017-06-30T00:00:00"/>
    <d v="2015-05-05T00:00:00"/>
    <s v="Standard Class"/>
    <s v="PS-18970"/>
    <s v="Paul Stevenson"/>
    <s v="Home Office"/>
    <s v="United States"/>
    <s v="Chicago"/>
    <x v="10"/>
    <n v="60610"/>
    <x v="2"/>
    <s v="FUR-CH-10001146"/>
    <x v="0"/>
    <s v="Chairs"/>
    <s v="Global Value Mid-Back Manager's Chair, Gray"/>
    <n v="213.11500000000001"/>
    <n v="5"/>
    <n v="0.3"/>
    <n v="-15.2225"/>
  </r>
  <r>
    <n v="68"/>
    <x v="29"/>
    <x v="29"/>
    <x v="5"/>
    <d v="2014-05-31T00:00:00"/>
    <d v="2014-10-12T00:00:00"/>
    <s v="Standard Class"/>
    <s v="BS-11590"/>
    <s v="Brendan Sweed"/>
    <s v="Corporate"/>
    <s v="United States"/>
    <s v="Gilbert"/>
    <x v="16"/>
    <n v="85234"/>
    <x v="1"/>
    <s v="OFF-AR-10002671"/>
    <x v="1"/>
    <s v="Art"/>
    <s v="Hunt BOSTON Model 1606 High-Volume Electric Pencil Sharpener, Beige"/>
    <n v="1113.0239999999999"/>
    <n v="8"/>
    <n v="0.2"/>
    <n v="111.30240000000001"/>
  </r>
  <r>
    <n v="69"/>
    <x v="29"/>
    <x v="29"/>
    <x v="5"/>
    <d v="2014-05-31T00:00:00"/>
    <d v="2014-10-12T00:00:00"/>
    <s v="Standard Class"/>
    <s v="BS-11590"/>
    <s v="Brendan Sweed"/>
    <s v="Corporate"/>
    <s v="United States"/>
    <s v="Gilbert"/>
    <x v="16"/>
    <n v="85234"/>
    <x v="1"/>
    <s v="TEC-PH-10002726"/>
    <x v="2"/>
    <s v="Phones"/>
    <s v="netTALK DUO VoIP Telephone Service"/>
    <n v="167.96799999999999"/>
    <n v="4"/>
    <n v="0.2"/>
    <n v="62.988"/>
  </r>
  <r>
    <n v="70"/>
    <x v="30"/>
    <x v="30"/>
    <x v="8"/>
    <d v="2016-04-30T00:00:00"/>
    <d v="2016-06-06T00:00:00"/>
    <s v="First Class"/>
    <s v="KD-16270"/>
    <s v="Karen Daniels"/>
    <s v="Consumer"/>
    <s v="United States"/>
    <s v="Springfield"/>
    <x v="17"/>
    <n v="22153"/>
    <x v="0"/>
    <s v="OFF-PA-10000482"/>
    <x v="1"/>
    <s v="Paper"/>
    <s v="Snap-A-Way Black Print Carbonless Ruled Speed Letter, Triplicate"/>
    <n v="75.88"/>
    <n v="2"/>
    <n v="0"/>
    <n v="35.663600000000002"/>
  </r>
  <r>
    <n v="71"/>
    <x v="31"/>
    <x v="31"/>
    <x v="10"/>
    <d v="2017-06-30T00:00:00"/>
    <d v="2017-11-09T00:00:00"/>
    <s v="Standard Class"/>
    <s v="HM-14980"/>
    <s v="Henry MacAllister"/>
    <s v="Consumer"/>
    <s v="United States"/>
    <s v="New York City"/>
    <x v="15"/>
    <n v="10009"/>
    <x v="3"/>
    <s v="OFF-BI-10004654"/>
    <x v="1"/>
    <s v="Binders"/>
    <s v="Avery Binding System Hidden Tab Executive Style Index Sets"/>
    <n v="4.6159999999999997"/>
    <n v="1"/>
    <n v="0.2"/>
    <n v="1.7310000000000001"/>
  </r>
  <r>
    <n v="72"/>
    <x v="32"/>
    <x v="32"/>
    <x v="11"/>
    <d v="2018-02-28T00:00:00"/>
    <d v="2018-05-09T00:00:00"/>
    <s v="Second Class"/>
    <s v="TB-21520"/>
    <s v="Tracy Blumstein"/>
    <s v="Consumer"/>
    <s v="United States"/>
    <s v="Jackson"/>
    <x v="12"/>
    <n v="49201"/>
    <x v="2"/>
    <s v="OFF-PA-10004675"/>
    <x v="1"/>
    <s v="Paper"/>
    <s v="Telephone Message Books with Fax/Mobile Section, 5 1/2&quot; x 3 3/16&quot;"/>
    <n v="19.05"/>
    <n v="3"/>
    <n v="0"/>
    <n v="8.7629999999999999"/>
  </r>
  <r>
    <n v="73"/>
    <x v="33"/>
    <x v="33"/>
    <x v="11"/>
    <d v="2017-02-28T00:00:00"/>
    <d v="2015-02-05T00:00:00"/>
    <s v="Standard Class"/>
    <s v="JE-15745"/>
    <s v="Joel Eaton"/>
    <s v="Consumer"/>
    <s v="United States"/>
    <s v="Memphis"/>
    <x v="18"/>
    <n v="38109"/>
    <x v="0"/>
    <s v="FUR-CH-10000513"/>
    <x v="0"/>
    <s v="Chairs"/>
    <s v="High-Back Leather Manager's Chair"/>
    <n v="831.93600000000004"/>
    <n v="8"/>
    <n v="0.2"/>
    <n v="-114.3912"/>
  </r>
  <r>
    <n v="74"/>
    <x v="33"/>
    <x v="33"/>
    <x v="11"/>
    <d v="2017-02-28T00:00:00"/>
    <d v="2015-02-05T00:00:00"/>
    <s v="Standard Class"/>
    <s v="JE-15745"/>
    <s v="Joel Eaton"/>
    <s v="Consumer"/>
    <s v="United States"/>
    <s v="Memphis"/>
    <x v="18"/>
    <n v="38109"/>
    <x v="0"/>
    <s v="FUR-FU-10003708"/>
    <x v="0"/>
    <s v="Furnishings"/>
    <s v="Tenex Traditional Chairmats for Medium Pile Carpet, Standard Lip, 36&quot; x 48&quot;"/>
    <n v="97.04"/>
    <n v="2"/>
    <n v="0.2"/>
    <n v="1.2130000000000001"/>
  </r>
  <r>
    <n v="75"/>
    <x v="33"/>
    <x v="33"/>
    <x v="11"/>
    <d v="2017-02-28T00:00:00"/>
    <d v="2015-02-05T00:00:00"/>
    <s v="Standard Class"/>
    <s v="JE-15745"/>
    <s v="Joel Eaton"/>
    <s v="Consumer"/>
    <s v="United States"/>
    <s v="Memphis"/>
    <x v="18"/>
    <n v="38109"/>
    <x v="0"/>
    <s v="OFF-ST-10004123"/>
    <x v="1"/>
    <s v="Storage"/>
    <s v="Safco Industrial Wire Shelving System"/>
    <n v="72.784000000000006"/>
    <n v="1"/>
    <n v="0.2"/>
    <n v="-18.196000000000002"/>
  </r>
  <r>
    <n v="76"/>
    <x v="34"/>
    <x v="34"/>
    <x v="3"/>
    <d v="2017-09-30T00:00:00"/>
    <d v="2017-11-12T00:00:00"/>
    <s v="First Class"/>
    <s v="KB-16600"/>
    <s v="Ken Brennan"/>
    <s v="Corporate"/>
    <s v="United States"/>
    <s v="Houston"/>
    <x v="5"/>
    <n v="77041"/>
    <x v="2"/>
    <s v="OFF-BI-10004182"/>
    <x v="1"/>
    <s v="Binders"/>
    <s v="Economy Binders"/>
    <n v="1.248"/>
    <n v="3"/>
    <n v="0.8"/>
    <n v="-1.9343999999999999"/>
  </r>
  <r>
    <n v="77"/>
    <x v="34"/>
    <x v="34"/>
    <x v="3"/>
    <d v="2017-09-30T00:00:00"/>
    <d v="2017-11-12T00:00:00"/>
    <s v="First Class"/>
    <s v="KB-16600"/>
    <s v="Ken Brennan"/>
    <s v="Corporate"/>
    <s v="United States"/>
    <s v="Houston"/>
    <x v="5"/>
    <n v="77041"/>
    <x v="2"/>
    <s v="FUR-FU-10000260"/>
    <x v="0"/>
    <s v="Furnishings"/>
    <s v="6&quot; Cubicle Wall Clock, Black"/>
    <n v="9.7080000000000002"/>
    <n v="3"/>
    <n v="0.6"/>
    <n v="-5.8247999999999998"/>
  </r>
  <r>
    <n v="78"/>
    <x v="34"/>
    <x v="34"/>
    <x v="3"/>
    <d v="2017-09-30T00:00:00"/>
    <d v="2017-11-12T00:00:00"/>
    <s v="First Class"/>
    <s v="KB-16600"/>
    <s v="Ken Brennan"/>
    <s v="Corporate"/>
    <s v="United States"/>
    <s v="Houston"/>
    <x v="5"/>
    <n v="77041"/>
    <x v="2"/>
    <s v="OFF-ST-10000615"/>
    <x v="1"/>
    <s v="Storage"/>
    <s v="SimpliFile Personal File, Black Granite, 15w x 6-15/16d x 11-1/4h"/>
    <n v="27.24"/>
    <n v="3"/>
    <n v="0.2"/>
    <n v="2.7240000000000002"/>
  </r>
  <r>
    <n v="79"/>
    <x v="35"/>
    <x v="35"/>
    <x v="11"/>
    <d v="2016-02-29T00:00:00"/>
    <d v="2014-01-12T00:00:00"/>
    <s v="Second Class"/>
    <s v="JE-15745"/>
    <s v="Joel Eaton"/>
    <s v="Consumer"/>
    <s v="United States"/>
    <s v="Houston"/>
    <x v="5"/>
    <n v="77070"/>
    <x v="2"/>
    <s v="FUR-FU-10003194"/>
    <x v="0"/>
    <s v="Furnishings"/>
    <s v="Eldon Expressions Desk Accessory, Wood Pencil Holder, Oak"/>
    <n v="19.3"/>
    <n v="5"/>
    <n v="0.6"/>
    <n v="-14.475"/>
  </r>
  <r>
    <n v="80"/>
    <x v="36"/>
    <x v="1"/>
    <x v="1"/>
    <d v="2016-12-31T00:00:00"/>
    <d v="2017-03-06T00:00:00"/>
    <s v="First Class"/>
    <s v="SC-20770"/>
    <s v="Stewart Carmichael"/>
    <s v="Corporate"/>
    <s v="United States"/>
    <s v="Decatur"/>
    <x v="19"/>
    <n v="35601"/>
    <x v="0"/>
    <s v="OFF-AP-10002118"/>
    <x v="1"/>
    <s v="Appliances"/>
    <s v="1.7 Cubic Foot Compact &quot;Cube&quot; Office Refrigerators"/>
    <n v="208.16"/>
    <n v="1"/>
    <n v="0"/>
    <n v="56.203200000000002"/>
  </r>
  <r>
    <n v="81"/>
    <x v="36"/>
    <x v="1"/>
    <x v="1"/>
    <d v="2016-12-31T00:00:00"/>
    <d v="2017-03-06T00:00:00"/>
    <s v="First Class"/>
    <s v="SC-20770"/>
    <s v="Stewart Carmichael"/>
    <s v="Corporate"/>
    <s v="United States"/>
    <s v="Decatur"/>
    <x v="19"/>
    <n v="35601"/>
    <x v="0"/>
    <s v="OFF-BI-10002309"/>
    <x v="1"/>
    <s v="Binders"/>
    <s v="Avery Heavy-Duty EZD  Binder With Locking Rings"/>
    <n v="16.739999999999998"/>
    <n v="3"/>
    <n v="0"/>
    <n v="8.0351999999999997"/>
  </r>
  <r>
    <n v="82"/>
    <x v="37"/>
    <x v="36"/>
    <x v="1"/>
    <d v="2014-12-31T00:00:00"/>
    <d v="2015-04-10T00:00:00"/>
    <s v="Standard Class"/>
    <s v="DN-13690"/>
    <s v="Duane Noonan"/>
    <s v="Consumer"/>
    <s v="United States"/>
    <s v="San Francisco"/>
    <x v="1"/>
    <n v="94122"/>
    <x v="1"/>
    <s v="OFF-AR-10002053"/>
    <x v="1"/>
    <s v="Art"/>
    <s v="Premium Writing Pencils, Soft, #2 by Central Association for the Blind"/>
    <n v="14.9"/>
    <n v="5"/>
    <n v="0"/>
    <n v="4.1719999999999997"/>
  </r>
  <r>
    <n v="83"/>
    <x v="37"/>
    <x v="36"/>
    <x v="1"/>
    <d v="2014-12-31T00:00:00"/>
    <d v="2015-04-10T00:00:00"/>
    <s v="Standard Class"/>
    <s v="DN-13690"/>
    <s v="Duane Noonan"/>
    <s v="Consumer"/>
    <s v="United States"/>
    <s v="San Francisco"/>
    <x v="1"/>
    <n v="94122"/>
    <x v="1"/>
    <s v="OFF-ST-10002370"/>
    <x v="1"/>
    <s v="Storage"/>
    <s v="Sortfiler Multipurpose Personal File Organizer, Black"/>
    <n v="21.39"/>
    <n v="1"/>
    <n v="0"/>
    <n v="6.2031000000000001"/>
  </r>
  <r>
    <n v="84"/>
    <x v="38"/>
    <x v="37"/>
    <x v="4"/>
    <d v="2015-03-31T00:00:00"/>
    <d v="2015-08-09T00:00:00"/>
    <s v="Standard Class"/>
    <s v="JC-16105"/>
    <s v="Julie Creighton"/>
    <s v="Corporate"/>
    <s v="United States"/>
    <s v="Durham"/>
    <x v="3"/>
    <n v="27707"/>
    <x v="0"/>
    <s v="OFF-EN-10000927"/>
    <x v="1"/>
    <s v="Envelopes"/>
    <s v="Jet-Pak Recycled Peel 'N' Seal Padded Mailers"/>
    <n v="200.98400000000001"/>
    <n v="7"/>
    <n v="0.2"/>
    <n v="62.807499999999997"/>
  </r>
  <r>
    <n v="85"/>
    <x v="39"/>
    <x v="38"/>
    <x v="7"/>
    <d v="2018-01-31T00:00:00"/>
    <d v="2018-04-11T00:00:00"/>
    <s v="First Class"/>
    <s v="CS-12400"/>
    <s v="Christopher Schild"/>
    <s v="Home Office"/>
    <s v="United States"/>
    <s v="Chicago"/>
    <x v="10"/>
    <n v="60623"/>
    <x v="2"/>
    <s v="OFF-ST-10003656"/>
    <x v="1"/>
    <s v="Storage"/>
    <s v="Safco Industrial Wire Shelving"/>
    <n v="230.376"/>
    <n v="3"/>
    <n v="0.2"/>
    <n v="-48.954900000000002"/>
  </r>
  <r>
    <n v="86"/>
    <x v="40"/>
    <x v="39"/>
    <x v="8"/>
    <d v="2019-04-30T00:00:00"/>
    <d v="2019-06-05T00:00:00"/>
    <s v="Second Class"/>
    <s v="PO-18865"/>
    <s v="Patrick O'Donnell"/>
    <s v="Consumer"/>
    <s v="United States"/>
    <s v="Columbia"/>
    <x v="20"/>
    <n v="29203"/>
    <x v="0"/>
    <s v="FUR-CH-10000863"/>
    <x v="0"/>
    <s v="Chairs"/>
    <s v="Novimex Swivel Fabric Task Chair"/>
    <n v="301.95999999999998"/>
    <n v="2"/>
    <n v="0"/>
    <n v="33.215600000000002"/>
  </r>
  <r>
    <n v="87"/>
    <x v="41"/>
    <x v="40"/>
    <x v="11"/>
    <d v="2019-02-28T00:00:00"/>
    <d v="2017-02-11T00:00:00"/>
    <s v="Standard Class"/>
    <s v="PG-18895"/>
    <s v="Paul Gonzalez"/>
    <s v="Consumer"/>
    <s v="United States"/>
    <s v="Rochester"/>
    <x v="11"/>
    <n v="55901"/>
    <x v="2"/>
    <s v="TEC-AC-10001998"/>
    <x v="2"/>
    <s v="Accessories"/>
    <s v="Logitech LS21 Speaker System - PC Multimedia - 2.1-CH - Wired"/>
    <n v="19.989999999999998"/>
    <n v="1"/>
    <n v="0"/>
    <n v="6.7965999999999998"/>
  </r>
  <r>
    <n v="88"/>
    <x v="41"/>
    <x v="40"/>
    <x v="11"/>
    <d v="2019-02-28T00:00:00"/>
    <d v="2017-02-11T00:00:00"/>
    <s v="Standard Class"/>
    <s v="PG-18895"/>
    <s v="Paul Gonzalez"/>
    <s v="Consumer"/>
    <s v="United States"/>
    <s v="Rochester"/>
    <x v="11"/>
    <n v="55901"/>
    <x v="2"/>
    <s v="OFF-LA-10000134"/>
    <x v="1"/>
    <s v="Labels"/>
    <s v="Avery 511"/>
    <n v="6.16"/>
    <n v="2"/>
    <n v="0"/>
    <n v="2.9567999999999999"/>
  </r>
  <r>
    <n v="89"/>
    <x v="42"/>
    <x v="41"/>
    <x v="5"/>
    <d v="2016-05-31T00:00:00"/>
    <d v="2016-10-04T00:00:00"/>
    <s v="Second Class"/>
    <s v="GM-14455"/>
    <s v="Gary Mitchum"/>
    <s v="Home Office"/>
    <s v="United States"/>
    <s v="Houston"/>
    <x v="5"/>
    <n v="77095"/>
    <x v="2"/>
    <s v="OFF-ST-10003442"/>
    <x v="1"/>
    <s v="Storage"/>
    <s v="Eldon Portable Mobile Manager"/>
    <n v="158.36799999999999"/>
    <n v="7"/>
    <n v="0.2"/>
    <n v="13.857200000000001"/>
  </r>
  <r>
    <n v="90"/>
    <x v="43"/>
    <x v="42"/>
    <x v="5"/>
    <d v="2017-05-31T00:00:00"/>
    <d v="2017-10-09T00:00:00"/>
    <s v="Standard Class"/>
    <s v="JS-15685"/>
    <s v="Jim Sink"/>
    <s v="Corporate"/>
    <s v="United States"/>
    <s v="Los Angeles"/>
    <x v="1"/>
    <n v="90036"/>
    <x v="1"/>
    <s v="OFF-AR-10004930"/>
    <x v="1"/>
    <s v="Art"/>
    <s v="Turquoise Lead Holder with Pocket Clip"/>
    <n v="20.100000000000001"/>
    <n v="3"/>
    <n v="0"/>
    <n v="6.633"/>
  </r>
  <r>
    <n v="91"/>
    <x v="43"/>
    <x v="42"/>
    <x v="5"/>
    <d v="2017-05-31T00:00:00"/>
    <d v="2017-10-09T00:00:00"/>
    <s v="Standard Class"/>
    <s v="JS-15685"/>
    <s v="Jim Sink"/>
    <s v="Corporate"/>
    <s v="United States"/>
    <s v="Los Angeles"/>
    <x v="1"/>
    <n v="90036"/>
    <x v="1"/>
    <s v="TEC-PH-10004093"/>
    <x v="2"/>
    <s v="Phones"/>
    <s v="Panasonic Kx-TS550"/>
    <n v="73.584000000000003"/>
    <n v="2"/>
    <n v="0.2"/>
    <n v="8.2782"/>
  </r>
  <r>
    <n v="92"/>
    <x v="43"/>
    <x v="42"/>
    <x v="5"/>
    <d v="2017-05-31T00:00:00"/>
    <d v="2017-10-09T00:00:00"/>
    <s v="Standard Class"/>
    <s v="JS-15685"/>
    <s v="Jim Sink"/>
    <s v="Corporate"/>
    <s v="United States"/>
    <s v="Los Angeles"/>
    <x v="1"/>
    <n v="90036"/>
    <x v="1"/>
    <s v="OFF-PA-10000304"/>
    <x v="1"/>
    <s v="Paper"/>
    <s v="Xerox 1995"/>
    <n v="6.48"/>
    <n v="1"/>
    <n v="0"/>
    <n v="3.1103999999999998"/>
  </r>
  <r>
    <n v="93"/>
    <x v="44"/>
    <x v="43"/>
    <x v="9"/>
    <d v="2017-07-31T00:00:00"/>
    <d v="2015-05-02T00:00:00"/>
    <s v="Second Class"/>
    <s v="KB-16315"/>
    <s v="Karl Braun"/>
    <s v="Consumer"/>
    <s v="United States"/>
    <s v="Minneapolis"/>
    <x v="11"/>
    <n v="55407"/>
    <x v="2"/>
    <s v="OFF-PA-10003177"/>
    <x v="1"/>
    <s v="Paper"/>
    <s v="Xerox 1999"/>
    <n v="12.96"/>
    <n v="2"/>
    <n v="0"/>
    <n v="6.2207999999999997"/>
  </r>
  <r>
    <n v="94"/>
    <x v="44"/>
    <x v="43"/>
    <x v="9"/>
    <d v="2017-07-31T00:00:00"/>
    <d v="2015-05-02T00:00:00"/>
    <s v="Second Class"/>
    <s v="KB-16315"/>
    <s v="Karl Braun"/>
    <s v="Consumer"/>
    <s v="United States"/>
    <s v="Minneapolis"/>
    <x v="11"/>
    <n v="55407"/>
    <x v="2"/>
    <s v="FUR-FU-10003799"/>
    <x v="0"/>
    <s v="Furnishings"/>
    <s v="Seth Thomas 13 1/2&quot; Wall Clock"/>
    <n v="53.34"/>
    <n v="3"/>
    <n v="0"/>
    <n v="16.535399999999999"/>
  </r>
  <r>
    <n v="95"/>
    <x v="44"/>
    <x v="43"/>
    <x v="9"/>
    <d v="2017-07-31T00:00:00"/>
    <d v="2015-05-02T00:00:00"/>
    <s v="Second Class"/>
    <s v="KB-16315"/>
    <s v="Karl Braun"/>
    <s v="Consumer"/>
    <s v="United States"/>
    <s v="Minneapolis"/>
    <x v="11"/>
    <n v="55407"/>
    <x v="2"/>
    <s v="OFF-BI-10002852"/>
    <x v="1"/>
    <s v="Binders"/>
    <s v="Ibico Standard Transparent Covers"/>
    <n v="32.96"/>
    <n v="2"/>
    <n v="0"/>
    <n v="16.150400000000001"/>
  </r>
  <r>
    <n v="96"/>
    <x v="45"/>
    <x v="44"/>
    <x v="10"/>
    <d v="2017-06-30T00:00:00"/>
    <d v="2017-12-11T00:00:00"/>
    <s v="Standard Class"/>
    <s v="RB-19705"/>
    <s v="Roger Barcio"/>
    <s v="Home Office"/>
    <s v="United States"/>
    <s v="Portland"/>
    <x v="21"/>
    <n v="97206"/>
    <x v="1"/>
    <s v="OFF-BI-10004738"/>
    <x v="1"/>
    <s v="Binders"/>
    <s v="Flexible Leather- Look Classic Collection Ring Binder"/>
    <n v="5.6820000000000004"/>
    <n v="1"/>
    <n v="0.7"/>
    <n v="-3.7879999999999998"/>
  </r>
  <r>
    <n v="97"/>
    <x v="46"/>
    <x v="45"/>
    <x v="3"/>
    <d v="2017-09-30T00:00:00"/>
    <d v="2017-11-11T00:00:00"/>
    <s v="Second Class"/>
    <s v="PN-18775"/>
    <s v="Parhena Norris"/>
    <s v="Home Office"/>
    <s v="United States"/>
    <s v="New York City"/>
    <x v="15"/>
    <n v="10009"/>
    <x v="3"/>
    <s v="FUR-FU-10000629"/>
    <x v="0"/>
    <s v="Furnishings"/>
    <s v="9-3/4 Diameter Round Wall Clock"/>
    <n v="96.53"/>
    <n v="7"/>
    <n v="0"/>
    <n v="40.5426"/>
  </r>
  <r>
    <n v="98"/>
    <x v="47"/>
    <x v="46"/>
    <x v="5"/>
    <d v="2018-05-31T00:00:00"/>
    <d v="2018-08-06T00:00:00"/>
    <s v="First Class"/>
    <s v="KD-16345"/>
    <s v="Katherine Ducich"/>
    <s v="Consumer"/>
    <s v="United States"/>
    <s v="San Francisco"/>
    <x v="1"/>
    <n v="94122"/>
    <x v="1"/>
    <s v="OFF-BI-10001721"/>
    <x v="1"/>
    <s v="Binders"/>
    <s v="Trimflex Flexible Post Binders"/>
    <n v="51.311999999999998"/>
    <n v="3"/>
    <n v="0.2"/>
    <n v="17.959199999999999"/>
  </r>
  <r>
    <n v="99"/>
    <x v="48"/>
    <x v="47"/>
    <x v="10"/>
    <d v="2016-06-30T00:00:00"/>
    <d v="2016-11-09T00:00:00"/>
    <s v="Standard Class"/>
    <s v="ER-13855"/>
    <s v="Elpida Rittenbach"/>
    <s v="Corporate"/>
    <s v="United States"/>
    <s v="Saint Paul"/>
    <x v="11"/>
    <n v="55106"/>
    <x v="2"/>
    <s v="OFF-AP-10000358"/>
    <x v="1"/>
    <s v="Appliances"/>
    <s v="Fellowes Basic Home/Office Series Surge Protectors"/>
    <n v="77.88"/>
    <n v="6"/>
    <n v="0"/>
    <n v="22.5852"/>
  </r>
  <r>
    <n v="100"/>
    <x v="49"/>
    <x v="48"/>
    <x v="5"/>
    <d v="2018-05-31T00:00:00"/>
    <d v="2016-02-09T00:00:00"/>
    <s v="Standard Class"/>
    <s v="RB-19465"/>
    <s v="Rick Bensley"/>
    <s v="Home Office"/>
    <s v="United States"/>
    <s v="Chicago"/>
    <x v="10"/>
    <n v="60610"/>
    <x v="2"/>
    <s v="OFF-PA-10003256"/>
    <x v="1"/>
    <s v="Paper"/>
    <s v="Avery Personal Creations Heavyweight Cards"/>
    <n v="64.623999999999995"/>
    <n v="7"/>
    <n v="0.2"/>
    <n v="22.618400000000001"/>
  </r>
  <r>
    <n v="101"/>
    <x v="49"/>
    <x v="48"/>
    <x v="5"/>
    <d v="2018-05-31T00:00:00"/>
    <d v="2016-02-09T00:00:00"/>
    <s v="Standard Class"/>
    <s v="RB-19465"/>
    <s v="Rick Bensley"/>
    <s v="Home Office"/>
    <s v="United States"/>
    <s v="Chicago"/>
    <x v="10"/>
    <n v="60610"/>
    <x v="2"/>
    <s v="TEC-AC-10001767"/>
    <x v="2"/>
    <s v="Accessories"/>
    <s v="SanDisk Ultra 64 GB MicroSDHC Class 10 Memory Card"/>
    <n v="95.975999999999999"/>
    <n v="3"/>
    <n v="0.2"/>
    <n v="-10.7973"/>
  </r>
  <r>
    <n v="102"/>
    <x v="49"/>
    <x v="48"/>
    <x v="5"/>
    <d v="2018-05-31T00:00:00"/>
    <d v="2016-02-09T00:00:00"/>
    <s v="Standard Class"/>
    <s v="RB-19465"/>
    <s v="Rick Bensley"/>
    <s v="Home Office"/>
    <s v="United States"/>
    <s v="Chicago"/>
    <x v="10"/>
    <n v="60610"/>
    <x v="2"/>
    <s v="OFF-BI-10002609"/>
    <x v="1"/>
    <s v="Binders"/>
    <s v="Avery Hidden Tab Dividers for Binding Systems"/>
    <n v="1.788"/>
    <n v="3"/>
    <n v="0.8"/>
    <n v="-3.0396000000000001"/>
  </r>
  <r>
    <n v="103"/>
    <x v="50"/>
    <x v="49"/>
    <x v="7"/>
    <d v="2016-01-31T00:00:00"/>
    <d v="2016-04-12T00:00:00"/>
    <s v="Second Class"/>
    <s v="GZ-14470"/>
    <s v="Gary Zandusky"/>
    <s v="Consumer"/>
    <s v="United States"/>
    <s v="Rochester"/>
    <x v="11"/>
    <n v="55901"/>
    <x v="2"/>
    <s v="OFF-PA-10004040"/>
    <x v="1"/>
    <s v="Paper"/>
    <s v="Universal Premium White Copier/Laser Paper (20Lb. and 87 Bright)"/>
    <n v="23.92"/>
    <n v="4"/>
    <n v="0"/>
    <n v="11.720800000000001"/>
  </r>
  <r>
    <n v="104"/>
    <x v="51"/>
    <x v="50"/>
    <x v="7"/>
    <d v="2016-01-31T00:00:00"/>
    <d v="2016-05-11T00:00:00"/>
    <s v="Standard Class"/>
    <s v="LC-16870"/>
    <s v="Lena Cacioppo"/>
    <s v="Consumer"/>
    <s v="United States"/>
    <s v="Aurora"/>
    <x v="22"/>
    <n v="80013"/>
    <x v="1"/>
    <s v="TEC-AC-10001552"/>
    <x v="2"/>
    <s v="Accessories"/>
    <s v="Logitech K350 2.4Ghz Wireless Keyboard"/>
    <n v="238.89599999999999"/>
    <n v="6"/>
    <n v="0.2"/>
    <n v="-26.875800000000002"/>
  </r>
  <r>
    <n v="105"/>
    <x v="51"/>
    <x v="50"/>
    <x v="7"/>
    <d v="2016-01-31T00:00:00"/>
    <d v="2016-05-11T00:00:00"/>
    <s v="Standard Class"/>
    <s v="LC-16870"/>
    <s v="Lena Cacioppo"/>
    <s v="Consumer"/>
    <s v="United States"/>
    <s v="Aurora"/>
    <x v="22"/>
    <n v="80013"/>
    <x v="1"/>
    <s v="FUR-FU-10004006"/>
    <x v="0"/>
    <s v="Furnishings"/>
    <s v="Deflect-o DuraMat Lighweight, Studded, Beveled Mat for Low Pile Carpeting"/>
    <n v="102.36"/>
    <n v="3"/>
    <n v="0.2"/>
    <n v="-3.8384999999999998"/>
  </r>
  <r>
    <n v="106"/>
    <x v="51"/>
    <x v="50"/>
    <x v="7"/>
    <d v="2016-01-31T00:00:00"/>
    <d v="2016-05-11T00:00:00"/>
    <s v="Standard Class"/>
    <s v="LC-16870"/>
    <s v="Lena Cacioppo"/>
    <s v="Consumer"/>
    <s v="United States"/>
    <s v="Aurora"/>
    <x v="22"/>
    <n v="80013"/>
    <x v="1"/>
    <s v="OFF-BI-10002794"/>
    <x v="1"/>
    <s v="Binders"/>
    <s v="Avery Trapezoid Ring Binder, 3&quot; Capacity, Black, 1040 sheets"/>
    <n v="36.881999999999998"/>
    <n v="3"/>
    <n v="0.7"/>
    <n v="-25.817399999999999"/>
  </r>
  <r>
    <n v="107"/>
    <x v="52"/>
    <x v="51"/>
    <x v="2"/>
    <d v="2018-11-30T00:00:00"/>
    <d v="2019-04-11T00:00:00"/>
    <s v="Standard Class"/>
    <s v="JM-15250"/>
    <s v="Janet Martin"/>
    <s v="Consumer"/>
    <s v="United States"/>
    <s v="Charlotte"/>
    <x v="3"/>
    <n v="28205"/>
    <x v="0"/>
    <s v="TEC-AC-10003499"/>
    <x v="2"/>
    <s v="Accessories"/>
    <s v="Memorex Mini Travel Drive 8 GB USB 2.0 Flash Drive"/>
    <n v="74.111999999999995"/>
    <n v="8"/>
    <n v="0.2"/>
    <n v="17.601600000000001"/>
  </r>
  <r>
    <n v="108"/>
    <x v="52"/>
    <x v="51"/>
    <x v="2"/>
    <d v="2018-11-30T00:00:00"/>
    <d v="2019-04-11T00:00:00"/>
    <s v="Standard Class"/>
    <s v="JM-15250"/>
    <s v="Janet Martin"/>
    <s v="Consumer"/>
    <s v="United States"/>
    <s v="Charlotte"/>
    <x v="3"/>
    <n v="28205"/>
    <x v="0"/>
    <s v="TEC-PH-10002844"/>
    <x v="2"/>
    <s v="Phones"/>
    <s v="Speck Products Candyshell Flip Case"/>
    <n v="27.992000000000001"/>
    <n v="1"/>
    <n v="0.2"/>
    <n v="2.0994000000000002"/>
  </r>
  <r>
    <n v="109"/>
    <x v="52"/>
    <x v="51"/>
    <x v="2"/>
    <d v="2018-11-30T00:00:00"/>
    <d v="2019-04-11T00:00:00"/>
    <s v="Standard Class"/>
    <s v="JM-15250"/>
    <s v="Janet Martin"/>
    <s v="Consumer"/>
    <s v="United States"/>
    <s v="Charlotte"/>
    <x v="3"/>
    <n v="28205"/>
    <x v="0"/>
    <s v="OFF-AR-10000390"/>
    <x v="1"/>
    <s v="Art"/>
    <s v="Newell Chalk Holder"/>
    <n v="3.3039999999999998"/>
    <n v="1"/>
    <n v="0.2"/>
    <n v="1.0738000000000001"/>
  </r>
  <r>
    <n v="110"/>
    <x v="53"/>
    <x v="52"/>
    <x v="4"/>
    <d v="2016-03-31T00:00:00"/>
    <d v="2016-08-10T00:00:00"/>
    <s v="Standard Class"/>
    <s v="PA-19060"/>
    <s v="Pete Armstrong"/>
    <s v="Home Office"/>
    <s v="United States"/>
    <s v="Orland Park"/>
    <x v="10"/>
    <n v="60462"/>
    <x v="2"/>
    <s v="TEC-AC-10000844"/>
    <x v="2"/>
    <s v="Accessories"/>
    <s v="Logitech Gaming G510s - Keyboard"/>
    <n v="339.96"/>
    <n v="5"/>
    <n v="0.2"/>
    <n v="67.992000000000004"/>
  </r>
  <r>
    <n v="111"/>
    <x v="54"/>
    <x v="53"/>
    <x v="7"/>
    <d v="2019-01-31T00:00:00"/>
    <d v="2019-06-12T00:00:00"/>
    <s v="Standard Class"/>
    <s v="CV-12805"/>
    <s v="Cynthia Voltz"/>
    <s v="Corporate"/>
    <s v="United States"/>
    <s v="New York City"/>
    <x v="15"/>
    <n v="10035"/>
    <x v="3"/>
    <s v="FUR-FU-10001934"/>
    <x v="0"/>
    <s v="Furnishings"/>
    <s v="Magnifier Swing Arm Lamp"/>
    <n v="41.96"/>
    <n v="2"/>
    <n v="0"/>
    <n v="10.909599999999999"/>
  </r>
  <r>
    <n v="112"/>
    <x v="55"/>
    <x v="54"/>
    <x v="4"/>
    <d v="2016-03-31T00:00:00"/>
    <d v="2016-10-11T00:00:00"/>
    <s v="Standard Class"/>
    <s v="CL-12565"/>
    <s v="Clay Ludtke"/>
    <s v="Consumer"/>
    <s v="United States"/>
    <s v="Urbandale"/>
    <x v="23"/>
    <n v="50322"/>
    <x v="2"/>
    <s v="OFF-AR-10000380"/>
    <x v="1"/>
    <s v="Art"/>
    <s v="Hunt PowerHouse Electric Pencil Sharpener, Blue"/>
    <n v="75.959999999999994"/>
    <n v="2"/>
    <n v="0"/>
    <n v="22.788"/>
  </r>
  <r>
    <n v="113"/>
    <x v="55"/>
    <x v="54"/>
    <x v="4"/>
    <d v="2016-03-31T00:00:00"/>
    <d v="2016-10-11T00:00:00"/>
    <s v="Standard Class"/>
    <s v="CL-12565"/>
    <s v="Clay Ludtke"/>
    <s v="Consumer"/>
    <s v="United States"/>
    <s v="Urbandale"/>
    <x v="23"/>
    <n v="50322"/>
    <x v="2"/>
    <s v="OFF-BI-10003981"/>
    <x v="1"/>
    <s v="Binders"/>
    <s v="Avery Durable Plastic 1&quot; Binders"/>
    <n v="27.24"/>
    <n v="6"/>
    <n v="0"/>
    <n v="13.3476"/>
  </r>
  <r>
    <n v="114"/>
    <x v="56"/>
    <x v="55"/>
    <x v="7"/>
    <d v="2016-01-31T00:00:00"/>
    <d v="2016-03-08T00:00:00"/>
    <s v="Second Class"/>
    <s v="RC-19960"/>
    <s v="Ryan Crowe"/>
    <s v="Consumer"/>
    <s v="United States"/>
    <s v="Columbus"/>
    <x v="24"/>
    <n v="43229"/>
    <x v="3"/>
    <s v="OFF-FA-10000621"/>
    <x v="1"/>
    <s v="Fasteners"/>
    <s v="OIC Colored Binder Clips, Assorted Sizes"/>
    <n v="40.095999999999997"/>
    <n v="14"/>
    <n v="0.2"/>
    <n v="14.534800000000001"/>
  </r>
  <r>
    <n v="115"/>
    <x v="56"/>
    <x v="55"/>
    <x v="7"/>
    <d v="2016-01-31T00:00:00"/>
    <d v="2016-03-08T00:00:00"/>
    <s v="Second Class"/>
    <s v="RC-19960"/>
    <s v="Ryan Crowe"/>
    <s v="Consumer"/>
    <s v="United States"/>
    <s v="Columbus"/>
    <x v="24"/>
    <n v="43229"/>
    <x v="3"/>
    <s v="OFF-EN-10002600"/>
    <x v="1"/>
    <s v="Envelopes"/>
    <s v="Redi-Strip #10 Envelopes, 4 1/8 x 9 1/2"/>
    <n v="4.72"/>
    <n v="2"/>
    <n v="0.2"/>
    <n v="1.6519999999999999"/>
  </r>
  <r>
    <n v="116"/>
    <x v="56"/>
    <x v="55"/>
    <x v="7"/>
    <d v="2016-01-31T00:00:00"/>
    <d v="2016-03-08T00:00:00"/>
    <s v="Second Class"/>
    <s v="RC-19960"/>
    <s v="Ryan Crowe"/>
    <s v="Consumer"/>
    <s v="United States"/>
    <s v="Columbus"/>
    <x v="24"/>
    <n v="43229"/>
    <x v="3"/>
    <s v="OFF-PA-10004965"/>
    <x v="1"/>
    <s v="Paper"/>
    <s v="Xerox 1921"/>
    <n v="23.975999999999999"/>
    <n v="3"/>
    <n v="0.2"/>
    <n v="7.4924999999999997"/>
  </r>
  <r>
    <n v="117"/>
    <x v="56"/>
    <x v="55"/>
    <x v="7"/>
    <d v="2016-01-31T00:00:00"/>
    <d v="2016-03-08T00:00:00"/>
    <s v="Second Class"/>
    <s v="RC-19960"/>
    <s v="Ryan Crowe"/>
    <s v="Consumer"/>
    <s v="United States"/>
    <s v="Columbus"/>
    <x v="24"/>
    <n v="43229"/>
    <x v="3"/>
    <s v="OFF-EN-10002504"/>
    <x v="1"/>
    <s v="Envelopes"/>
    <s v="Tyvek  Top-Opening Peel &amp; Seel Envelopes, Plain White"/>
    <n v="130.464"/>
    <n v="6"/>
    <n v="0.2"/>
    <n v="44.031599999999997"/>
  </r>
  <r>
    <n v="118"/>
    <x v="57"/>
    <x v="56"/>
    <x v="11"/>
    <d v="2015-02-28T00:00:00"/>
    <d v="2015-06-03T00:00:00"/>
    <s v="Standard Class"/>
    <s v="DK-13090"/>
    <s v="Dave Kipp"/>
    <s v="Consumer"/>
    <s v="United States"/>
    <s v="Seattle"/>
    <x v="4"/>
    <n v="98103"/>
    <x v="1"/>
    <s v="FUR-TA-10001768"/>
    <x v="0"/>
    <s v="Tables"/>
    <s v="Hon Racetrack Conference Tables"/>
    <n v="787.53"/>
    <n v="3"/>
    <n v="0"/>
    <n v="165.38130000000001"/>
  </r>
  <r>
    <n v="119"/>
    <x v="58"/>
    <x v="57"/>
    <x v="5"/>
    <d v="2015-05-31T00:00:00"/>
    <d v="2015-10-04T00:00:00"/>
    <s v="Standard Class"/>
    <s v="GG-14650"/>
    <s v="Greg Guthrie"/>
    <s v="Corporate"/>
    <s v="United States"/>
    <s v="Bristol"/>
    <x v="18"/>
    <n v="37620"/>
    <x v="0"/>
    <s v="OFF-BI-10003650"/>
    <x v="1"/>
    <s v="Binders"/>
    <s v="GBC DocuBind 300 Electric Binding Machine"/>
    <n v="157.79400000000001"/>
    <n v="1"/>
    <n v="0.7"/>
    <n v="-115.71559999999999"/>
  </r>
  <r>
    <n v="120"/>
    <x v="59"/>
    <x v="1"/>
    <x v="1"/>
    <d v="2016-12-31T00:00:00"/>
    <d v="2017-03-06T00:00:00"/>
    <s v="First Class"/>
    <s v="SC-20725"/>
    <s v="Steven Cartwright"/>
    <s v="Consumer"/>
    <s v="United States"/>
    <s v="Wilmington"/>
    <x v="13"/>
    <n v="19805"/>
    <x v="3"/>
    <s v="FUR-FU-10002157"/>
    <x v="0"/>
    <s v="Furnishings"/>
    <s v="Artistic Insta-Plaque"/>
    <n v="47.04"/>
    <n v="3"/>
    <n v="0"/>
    <n v="18.345600000000001"/>
  </r>
  <r>
    <n v="121"/>
    <x v="59"/>
    <x v="1"/>
    <x v="1"/>
    <d v="2016-12-31T00:00:00"/>
    <d v="2017-03-06T00:00:00"/>
    <s v="First Class"/>
    <s v="SC-20725"/>
    <s v="Steven Cartwright"/>
    <s v="Consumer"/>
    <s v="United States"/>
    <s v="Wilmington"/>
    <x v="13"/>
    <n v="19805"/>
    <x v="3"/>
    <s v="OFF-BI-10003910"/>
    <x v="1"/>
    <s v="Binders"/>
    <s v="DXL Angle-View Binders with Locking Rings by Samsill"/>
    <n v="30.84"/>
    <n v="4"/>
    <n v="0"/>
    <n v="13.878"/>
  </r>
  <r>
    <n v="122"/>
    <x v="59"/>
    <x v="1"/>
    <x v="1"/>
    <d v="2016-12-31T00:00:00"/>
    <d v="2017-03-06T00:00:00"/>
    <s v="First Class"/>
    <s v="SC-20725"/>
    <s v="Steven Cartwright"/>
    <s v="Consumer"/>
    <s v="United States"/>
    <s v="Wilmington"/>
    <x v="13"/>
    <n v="19805"/>
    <x v="3"/>
    <s v="OFF-ST-10000777"/>
    <x v="1"/>
    <s v="Storage"/>
    <s v="Companion Letter/Legal File, Black"/>
    <n v="226.56"/>
    <n v="6"/>
    <n v="0"/>
    <n v="63.436799999999998"/>
  </r>
  <r>
    <n v="123"/>
    <x v="59"/>
    <x v="1"/>
    <x v="1"/>
    <d v="2016-12-31T00:00:00"/>
    <d v="2017-03-06T00:00:00"/>
    <s v="First Class"/>
    <s v="SC-20725"/>
    <s v="Steven Cartwright"/>
    <s v="Consumer"/>
    <s v="United States"/>
    <s v="Wilmington"/>
    <x v="13"/>
    <n v="19805"/>
    <x v="3"/>
    <s v="OFF-EN-10002500"/>
    <x v="1"/>
    <s v="Envelopes"/>
    <s v="Globe Weis Peel &amp; Seel First Class Envelopes"/>
    <n v="115.02"/>
    <n v="9"/>
    <n v="0"/>
    <n v="51.759"/>
  </r>
  <r>
    <n v="124"/>
    <x v="59"/>
    <x v="1"/>
    <x v="1"/>
    <d v="2016-12-31T00:00:00"/>
    <d v="2017-03-06T00:00:00"/>
    <s v="First Class"/>
    <s v="SC-20725"/>
    <s v="Steven Cartwright"/>
    <s v="Consumer"/>
    <s v="United States"/>
    <s v="Wilmington"/>
    <x v="13"/>
    <n v="19805"/>
    <x v="3"/>
    <s v="TEC-PH-10003875"/>
    <x v="2"/>
    <s v="Phones"/>
    <s v="KLD Oscar II Style Snap-on Ultra Thin Side Flip Synthetic Leather Cover Case for HTC One HTC M7"/>
    <n v="68.040000000000006"/>
    <n v="7"/>
    <n v="0"/>
    <n v="19.7316"/>
  </r>
  <r>
    <n v="125"/>
    <x v="60"/>
    <x v="58"/>
    <x v="11"/>
    <d v="2016-02-29T00:00:00"/>
    <d v="2016-04-12T00:00:00"/>
    <s v="Second Class"/>
    <s v="AD-10180"/>
    <s v="Alan Dominguez"/>
    <s v="Home Office"/>
    <s v="United States"/>
    <s v="Houston"/>
    <x v="5"/>
    <n v="77041"/>
    <x v="2"/>
    <s v="FUR-CH-10004063"/>
    <x v="0"/>
    <s v="Chairs"/>
    <s v="Global Deluxe High-Back Manager's Chair"/>
    <n v="600.55799999999999"/>
    <n v="3"/>
    <n v="0.3"/>
    <n v="-8.5793999999999997"/>
  </r>
  <r>
    <n v="126"/>
    <x v="61"/>
    <x v="59"/>
    <x v="0"/>
    <d v="2015-08-31T00:00:00"/>
    <d v="2016-01-09T00:00:00"/>
    <s v="Standard Class"/>
    <s v="PF-19165"/>
    <s v="Philip Fox"/>
    <s v="Consumer"/>
    <s v="United States"/>
    <s v="Bloomington"/>
    <x v="10"/>
    <n v="61701"/>
    <x v="2"/>
    <s v="FUR-TA-10004534"/>
    <x v="0"/>
    <s v="Tables"/>
    <s v="Bevis 44 x 96 Conference Tables"/>
    <n v="617.70000000000005"/>
    <n v="6"/>
    <n v="0.5"/>
    <n v="-407.68200000000002"/>
  </r>
  <r>
    <n v="127"/>
    <x v="62"/>
    <x v="60"/>
    <x v="5"/>
    <d v="2017-05-31T00:00:00"/>
    <d v="2017-12-11T00:00:00"/>
    <s v="Standard Class"/>
    <s v="TS-21610"/>
    <s v="Troy Staebel"/>
    <s v="Consumer"/>
    <s v="United States"/>
    <s v="Phoenix"/>
    <x v="16"/>
    <n v="85023"/>
    <x v="1"/>
    <s v="OFF-BI-10003274"/>
    <x v="1"/>
    <s v="Binders"/>
    <s v="Avery Durable Slant Ring Binders, No Labels"/>
    <n v="2.3879999999999999"/>
    <n v="2"/>
    <n v="0.7"/>
    <n v="-1.8308"/>
  </r>
  <r>
    <n v="128"/>
    <x v="62"/>
    <x v="60"/>
    <x v="5"/>
    <d v="2017-05-31T00:00:00"/>
    <d v="2017-12-11T00:00:00"/>
    <s v="Standard Class"/>
    <s v="TS-21610"/>
    <s v="Troy Staebel"/>
    <s v="Consumer"/>
    <s v="United States"/>
    <s v="Phoenix"/>
    <x v="16"/>
    <n v="85023"/>
    <x v="1"/>
    <s v="OFF-ST-10002974"/>
    <x v="1"/>
    <s v="Storage"/>
    <s v="Trav-L-File Heavy-Duty Shuttle II, Black"/>
    <n v="243.99199999999999"/>
    <n v="7"/>
    <n v="0.2"/>
    <n v="30.498999999999999"/>
  </r>
  <r>
    <n v="129"/>
    <x v="63"/>
    <x v="61"/>
    <x v="10"/>
    <d v="2016-06-30T00:00:00"/>
    <d v="2016-10-11T00:00:00"/>
    <s v="Second Class"/>
    <s v="LS-16975"/>
    <s v="Lindsay Shagiari"/>
    <s v="Home Office"/>
    <s v="United States"/>
    <s v="Los Angeles"/>
    <x v="1"/>
    <n v="90004"/>
    <x v="1"/>
    <s v="FUR-CH-10001146"/>
    <x v="0"/>
    <s v="Chairs"/>
    <s v="Global Task Chair, Black"/>
    <n v="81.424000000000007"/>
    <n v="2"/>
    <n v="0.2"/>
    <n v="-9.1601999999999997"/>
  </r>
  <r>
    <n v="130"/>
    <x v="63"/>
    <x v="61"/>
    <x v="10"/>
    <d v="2016-06-30T00:00:00"/>
    <d v="2016-10-11T00:00:00"/>
    <s v="Second Class"/>
    <s v="LS-16975"/>
    <s v="Lindsay Shagiari"/>
    <s v="Home Office"/>
    <s v="United States"/>
    <s v="Los Angeles"/>
    <x v="1"/>
    <n v="90004"/>
    <x v="1"/>
    <s v="FUR-FU-10003773"/>
    <x v="0"/>
    <s v="Furnishings"/>
    <s v="Eldon Cleatmat Plus Chair Mats for High Pile Carpets"/>
    <n v="238.56"/>
    <n v="3"/>
    <n v="0"/>
    <n v="26.241599999999998"/>
  </r>
  <r>
    <n v="131"/>
    <x v="64"/>
    <x v="62"/>
    <x v="11"/>
    <d v="2017-02-28T00:00:00"/>
    <d v="2017-05-02T00:00:00"/>
    <s v="First Class"/>
    <s v="DW-13585"/>
    <s v="Dorothy Wardle"/>
    <s v="Corporate"/>
    <s v="United States"/>
    <s v="Columbus"/>
    <x v="24"/>
    <n v="43229"/>
    <x v="3"/>
    <s v="TEC-PH-10002293"/>
    <x v="2"/>
    <s v="Phones"/>
    <s v="Anker 36W 4-Port USB Wall Charger Travel Power Adapter for iPhone 5s 5c 5"/>
    <n v="59.97"/>
    <n v="5"/>
    <n v="0.4"/>
    <n v="-11.994"/>
  </r>
  <r>
    <n v="132"/>
    <x v="64"/>
    <x v="62"/>
    <x v="11"/>
    <d v="2017-02-28T00:00:00"/>
    <d v="2017-05-02T00:00:00"/>
    <s v="First Class"/>
    <s v="DW-13585"/>
    <s v="Dorothy Wardle"/>
    <s v="Corporate"/>
    <s v="United States"/>
    <s v="Columbus"/>
    <x v="24"/>
    <n v="43229"/>
    <x v="3"/>
    <s v="OFF-PA-10002377"/>
    <x v="1"/>
    <s v="Paper"/>
    <s v="Xerox 1916"/>
    <n v="78.304000000000002"/>
    <n v="2"/>
    <n v="0.2"/>
    <n v="29.364000000000001"/>
  </r>
  <r>
    <n v="133"/>
    <x v="64"/>
    <x v="62"/>
    <x v="11"/>
    <d v="2017-02-28T00:00:00"/>
    <d v="2017-05-02T00:00:00"/>
    <s v="First Class"/>
    <s v="DW-13585"/>
    <s v="Dorothy Wardle"/>
    <s v="Corporate"/>
    <s v="United States"/>
    <s v="Columbus"/>
    <x v="24"/>
    <n v="43229"/>
    <x v="3"/>
    <s v="OFF-FA-10002780"/>
    <x v="1"/>
    <s v="Fasteners"/>
    <s v="Staples"/>
    <n v="21.456"/>
    <n v="9"/>
    <n v="0.2"/>
    <n v="6.9732000000000003"/>
  </r>
  <r>
    <n v="134"/>
    <x v="65"/>
    <x v="63"/>
    <x v="7"/>
    <d v="2017-01-31T00:00:00"/>
    <d v="2017-07-10T00:00:00"/>
    <s v="Standard Class"/>
    <s v="LC-16885"/>
    <s v="Lena Creighton"/>
    <s v="Consumer"/>
    <s v="United States"/>
    <s v="Roseville"/>
    <x v="1"/>
    <n v="95661"/>
    <x v="1"/>
    <s v="OFF-PA-10001804"/>
    <x v="1"/>
    <s v="Paper"/>
    <s v="Xerox 195"/>
    <n v="20.04"/>
    <n v="3"/>
    <n v="0"/>
    <n v="9.6191999999999993"/>
  </r>
  <r>
    <n v="135"/>
    <x v="65"/>
    <x v="63"/>
    <x v="7"/>
    <d v="2017-01-31T00:00:00"/>
    <d v="2017-07-10T00:00:00"/>
    <s v="Standard Class"/>
    <s v="LC-16885"/>
    <s v="Lena Creighton"/>
    <s v="Consumer"/>
    <s v="United States"/>
    <s v="Roseville"/>
    <x v="1"/>
    <n v="95661"/>
    <x v="1"/>
    <s v="OFF-PA-10001736"/>
    <x v="1"/>
    <s v="Paper"/>
    <s v="Xerox 1880"/>
    <n v="35.44"/>
    <n v="1"/>
    <n v="0"/>
    <n v="16.6568"/>
  </r>
  <r>
    <n v="136"/>
    <x v="65"/>
    <x v="63"/>
    <x v="7"/>
    <d v="2017-01-31T00:00:00"/>
    <d v="2017-07-10T00:00:00"/>
    <s v="Standard Class"/>
    <s v="LC-16885"/>
    <s v="Lena Creighton"/>
    <s v="Consumer"/>
    <s v="United States"/>
    <s v="Roseville"/>
    <x v="1"/>
    <n v="95661"/>
    <x v="1"/>
    <s v="OFF-AR-10001149"/>
    <x v="1"/>
    <s v="Art"/>
    <s v="Sanford Colorific Colored Pencils, 12/Box"/>
    <n v="11.52"/>
    <n v="4"/>
    <n v="0"/>
    <n v="3.456"/>
  </r>
  <r>
    <n v="137"/>
    <x v="65"/>
    <x v="63"/>
    <x v="7"/>
    <d v="2017-01-31T00:00:00"/>
    <d v="2017-07-10T00:00:00"/>
    <s v="Standard Class"/>
    <s v="LC-16885"/>
    <s v="Lena Creighton"/>
    <s v="Consumer"/>
    <s v="United States"/>
    <s v="Roseville"/>
    <x v="1"/>
    <n v="95661"/>
    <x v="1"/>
    <s v="OFF-FA-10002988"/>
    <x v="1"/>
    <s v="Fasteners"/>
    <s v="Ideal Clamps"/>
    <n v="4.0199999999999996"/>
    <n v="2"/>
    <n v="0"/>
    <n v="1.9698"/>
  </r>
  <r>
    <n v="138"/>
    <x v="65"/>
    <x v="63"/>
    <x v="7"/>
    <d v="2017-01-31T00:00:00"/>
    <d v="2017-07-10T00:00:00"/>
    <s v="Standard Class"/>
    <s v="LC-16885"/>
    <s v="Lena Creighton"/>
    <s v="Consumer"/>
    <s v="United States"/>
    <s v="Roseville"/>
    <x v="1"/>
    <n v="95661"/>
    <x v="1"/>
    <s v="OFF-BI-10004781"/>
    <x v="1"/>
    <s v="Binders"/>
    <s v="GBC Wire Binding Strips"/>
    <n v="76.176000000000002"/>
    <n v="3"/>
    <n v="0.2"/>
    <n v="26.6616"/>
  </r>
  <r>
    <n v="139"/>
    <x v="65"/>
    <x v="63"/>
    <x v="7"/>
    <d v="2017-01-31T00:00:00"/>
    <d v="2017-07-10T00:00:00"/>
    <s v="Standard Class"/>
    <s v="LC-16885"/>
    <s v="Lena Creighton"/>
    <s v="Consumer"/>
    <s v="United States"/>
    <s v="Roseville"/>
    <x v="1"/>
    <n v="95661"/>
    <x v="1"/>
    <s v="OFF-SU-10001218"/>
    <x v="1"/>
    <s v="Supplies"/>
    <s v="Fiskars Softgrip Scissors"/>
    <n v="65.88"/>
    <n v="6"/>
    <n v="0"/>
    <n v="18.446400000000001"/>
  </r>
  <r>
    <n v="140"/>
    <x v="65"/>
    <x v="63"/>
    <x v="7"/>
    <d v="2017-01-31T00:00:00"/>
    <d v="2017-07-10T00:00:00"/>
    <s v="Standard Class"/>
    <s v="LC-16885"/>
    <s v="Lena Creighton"/>
    <s v="Consumer"/>
    <s v="United States"/>
    <s v="Roseville"/>
    <x v="1"/>
    <n v="95661"/>
    <x v="1"/>
    <s v="FUR-FU-10001706"/>
    <x v="0"/>
    <s v="Furnishings"/>
    <s v="Longer-Life Soft White Bulbs"/>
    <n v="43.12"/>
    <n v="14"/>
    <n v="0"/>
    <n v="20.697600000000001"/>
  </r>
  <r>
    <n v="141"/>
    <x v="66"/>
    <x v="14"/>
    <x v="5"/>
    <d v="2016-05-31T00:00:00"/>
    <d v="2016-07-09T00:00:00"/>
    <s v="Second Class"/>
    <s v="JD-15895"/>
    <s v="Jonathan Doherty"/>
    <s v="Corporate"/>
    <s v="United States"/>
    <s v="Philadelphia"/>
    <x v="9"/>
    <n v="19140"/>
    <x v="3"/>
    <s v="FUR-FU-10004848"/>
    <x v="0"/>
    <s v="Furnishings"/>
    <s v="Howard Miller 13-3/4&quot; Diameter Brushed Chrome Round Wall Clock"/>
    <n v="82.8"/>
    <n v="2"/>
    <n v="0.2"/>
    <n v="10.35"/>
  </r>
  <r>
    <n v="142"/>
    <x v="67"/>
    <x v="64"/>
    <x v="10"/>
    <d v="2018-06-30T00:00:00"/>
    <d v="2018-11-09T00:00:00"/>
    <s v="Standard Class"/>
    <s v="SH-19975"/>
    <s v="Sally Hughsby"/>
    <s v="Corporate"/>
    <s v="United States"/>
    <s v="San Francisco"/>
    <x v="1"/>
    <n v="94122"/>
    <x v="1"/>
    <s v="OFF-AR-10000940"/>
    <x v="1"/>
    <s v="Art"/>
    <s v="Newell 343"/>
    <n v="8.82"/>
    <n v="3"/>
    <n v="0"/>
    <n v="2.3814000000000002"/>
  </r>
  <r>
    <n v="143"/>
    <x v="67"/>
    <x v="64"/>
    <x v="10"/>
    <d v="2018-06-30T00:00:00"/>
    <d v="2018-11-09T00:00:00"/>
    <s v="Standard Class"/>
    <s v="SH-19975"/>
    <s v="Sally Hughsby"/>
    <s v="Corporate"/>
    <s v="United States"/>
    <s v="San Francisco"/>
    <x v="1"/>
    <n v="94122"/>
    <x v="1"/>
    <s v="OFF-EN-10004030"/>
    <x v="1"/>
    <s v="Envelopes"/>
    <s v="Convenience Packs of Business Envelopes"/>
    <n v="10.86"/>
    <n v="3"/>
    <n v="0"/>
    <n v="5.1041999999999996"/>
  </r>
  <r>
    <n v="144"/>
    <x v="67"/>
    <x v="64"/>
    <x v="10"/>
    <d v="2018-06-30T00:00:00"/>
    <d v="2018-11-09T00:00:00"/>
    <s v="Standard Class"/>
    <s v="SH-19975"/>
    <s v="Sally Hughsby"/>
    <s v="Corporate"/>
    <s v="United States"/>
    <s v="San Francisco"/>
    <x v="1"/>
    <n v="94122"/>
    <x v="1"/>
    <s v="OFF-PA-10004327"/>
    <x v="1"/>
    <s v="Paper"/>
    <s v="Xerox 1911"/>
    <n v="143.69999999999999"/>
    <n v="3"/>
    <n v="0"/>
    <n v="68.975999999999999"/>
  </r>
  <r>
    <n v="145"/>
    <x v="68"/>
    <x v="65"/>
    <x v="6"/>
    <d v="2018-10-31T00:00:00"/>
    <d v="2019-03-12T00:00:00"/>
    <s v="Standard Class"/>
    <s v="SG-20080"/>
    <s v="Sandra Glassco"/>
    <s v="Consumer"/>
    <s v="United States"/>
    <s v="Independence"/>
    <x v="25"/>
    <n v="64055"/>
    <x v="2"/>
    <s v="OFF-AP-10001058"/>
    <x v="1"/>
    <s v="Appliances"/>
    <s v="Sanyo 2.5 Cubic Foot Mid-Size Office Refrigerators"/>
    <n v="839.43"/>
    <n v="3"/>
    <n v="0"/>
    <n v="218.2518"/>
  </r>
  <r>
    <n v="146"/>
    <x v="69"/>
    <x v="66"/>
    <x v="9"/>
    <d v="2015-07-31T00:00:00"/>
    <d v="2015-12-09T00:00:00"/>
    <s v="Standard Class"/>
    <s v="HA-14920"/>
    <s v="Helen Andreada"/>
    <s v="Consumer"/>
    <s v="United States"/>
    <s v="Pasadena"/>
    <x v="1"/>
    <n v="91104"/>
    <x v="1"/>
    <s v="OFF-ST-10003656"/>
    <x v="1"/>
    <s v="Storage"/>
    <s v="Safco Industrial Wire Shelving"/>
    <n v="671.93"/>
    <n v="7"/>
    <n v="0"/>
    <n v="20.157900000000001"/>
  </r>
  <r>
    <n v="147"/>
    <x v="70"/>
    <x v="67"/>
    <x v="6"/>
    <d v="2015-10-31T00:00:00"/>
    <d v="2016-04-10T00:00:00"/>
    <s v="Standard Class"/>
    <s v="MG-17680"/>
    <s v="Maureen Gastineau"/>
    <s v="Home Office"/>
    <s v="United States"/>
    <s v="Newark"/>
    <x v="24"/>
    <n v="43055"/>
    <x v="3"/>
    <s v="FUR-FU-10000521"/>
    <x v="0"/>
    <s v="Furnishings"/>
    <s v="Seth Thomas 14&quot; Putty-Colored Wall Clock"/>
    <n v="93.888000000000005"/>
    <n v="4"/>
    <n v="0.2"/>
    <n v="12.909599999999999"/>
  </r>
  <r>
    <n v="148"/>
    <x v="71"/>
    <x v="5"/>
    <x v="5"/>
    <d v="2016-05-31T00:00:00"/>
    <d v="2016-09-12T00:00:00"/>
    <s v="Standard Class"/>
    <s v="JE-16165"/>
    <s v="Justin Ellison"/>
    <s v="Corporate"/>
    <s v="United States"/>
    <s v="Franklin"/>
    <x v="6"/>
    <n v="53132"/>
    <x v="2"/>
    <s v="TEC-PH-10000215"/>
    <x v="2"/>
    <s v="Phones"/>
    <s v="Plantronics Cordless Phone Headset with In-line Volume - M214C"/>
    <n v="384.45"/>
    <n v="11"/>
    <n v="0"/>
    <n v="103.8015"/>
  </r>
  <r>
    <n v="149"/>
    <x v="71"/>
    <x v="5"/>
    <x v="5"/>
    <d v="2016-05-31T00:00:00"/>
    <d v="2016-09-12T00:00:00"/>
    <s v="Standard Class"/>
    <s v="JE-16165"/>
    <s v="Justin Ellison"/>
    <s v="Corporate"/>
    <s v="United States"/>
    <s v="Franklin"/>
    <x v="6"/>
    <n v="53132"/>
    <x v="2"/>
    <s v="TEC-PH-10001448"/>
    <x v="2"/>
    <s v="Phones"/>
    <s v="Anker Astro 15000mAh USB Portable Charger"/>
    <n v="149.97"/>
    <n v="3"/>
    <n v="0"/>
    <n v="5.9988000000000001"/>
  </r>
  <r>
    <n v="150"/>
    <x v="71"/>
    <x v="5"/>
    <x v="5"/>
    <d v="2016-05-31T00:00:00"/>
    <d v="2016-09-12T00:00:00"/>
    <s v="Standard Class"/>
    <s v="JE-16165"/>
    <s v="Justin Ellison"/>
    <s v="Corporate"/>
    <s v="United States"/>
    <s v="Franklin"/>
    <x v="6"/>
    <n v="53132"/>
    <x v="2"/>
    <s v="FUR-CH-10000454"/>
    <x v="0"/>
    <s v="Chairs"/>
    <s v="Hon Deluxe Fabric Upholstered Stacking Chairs, Rounded Back"/>
    <n v="1951.84"/>
    <n v="8"/>
    <n v="0"/>
    <n v="585.55200000000002"/>
  </r>
  <r>
    <n v="151"/>
    <x v="71"/>
    <x v="5"/>
    <x v="5"/>
    <d v="2016-05-31T00:00:00"/>
    <d v="2016-09-12T00:00:00"/>
    <s v="Standard Class"/>
    <s v="JE-16165"/>
    <s v="Justin Ellison"/>
    <s v="Corporate"/>
    <s v="United States"/>
    <s v="Franklin"/>
    <x v="6"/>
    <n v="53132"/>
    <x v="2"/>
    <s v="OFF-BI-10002735"/>
    <x v="1"/>
    <s v="Binders"/>
    <s v="GBC Prestige Therm-A-Bind Covers"/>
    <n v="171.55"/>
    <n v="5"/>
    <n v="0"/>
    <n v="80.628500000000003"/>
  </r>
  <r>
    <n v="152"/>
    <x v="72"/>
    <x v="68"/>
    <x v="7"/>
    <d v="2017-01-31T00:00:00"/>
    <d v="2017-04-03T00:00:00"/>
    <s v="First Class"/>
    <s v="TW-21025"/>
    <s v="Tamara Willingham"/>
    <s v="Home Office"/>
    <s v="United States"/>
    <s v="Scottsdale"/>
    <x v="16"/>
    <n v="85254"/>
    <x v="1"/>
    <s v="OFF-AP-10000326"/>
    <x v="1"/>
    <s v="Appliances"/>
    <s v="Belkin 7 Outlet SurgeMaster Surge Protector with Phone Protection"/>
    <n v="157.91999999999999"/>
    <n v="5"/>
    <n v="0.2"/>
    <n v="17.765999999999998"/>
  </r>
  <r>
    <n v="153"/>
    <x v="72"/>
    <x v="68"/>
    <x v="7"/>
    <d v="2017-01-31T00:00:00"/>
    <d v="2017-04-03T00:00:00"/>
    <s v="First Class"/>
    <s v="TW-21025"/>
    <s v="Tamara Willingham"/>
    <s v="Home Office"/>
    <s v="United States"/>
    <s v="Scottsdale"/>
    <x v="16"/>
    <n v="85254"/>
    <x v="1"/>
    <s v="TEC-PH-10001254"/>
    <x v="2"/>
    <s v="Phones"/>
    <s v="Jabra BIZ 2300 Duo QD Duo Corded Headset"/>
    <n v="203.184"/>
    <n v="2"/>
    <n v="0.2"/>
    <n v="15.238799999999999"/>
  </r>
  <r>
    <n v="154"/>
    <x v="73"/>
    <x v="69"/>
    <x v="9"/>
    <d v="2017-07-31T00:00:00"/>
    <d v="2015-02-06T00:00:00"/>
    <s v="First Class"/>
    <s v="SP-20650"/>
    <s v="Stephanie Phelps"/>
    <s v="Corporate"/>
    <s v="United States"/>
    <s v="San Jose"/>
    <x v="1"/>
    <n v="95123"/>
    <x v="1"/>
    <s v="OFF-PA-10001950"/>
    <x v="1"/>
    <s v="Paper"/>
    <s v="Southworth 25% Cotton Antique Laid Paper &amp; Envelopes"/>
    <n v="58.38"/>
    <n v="7"/>
    <n v="0"/>
    <n v="26.271000000000001"/>
  </r>
  <r>
    <n v="155"/>
    <x v="73"/>
    <x v="69"/>
    <x v="9"/>
    <d v="2017-07-31T00:00:00"/>
    <d v="2015-02-06T00:00:00"/>
    <s v="First Class"/>
    <s v="SP-20650"/>
    <s v="Stephanie Phelps"/>
    <s v="Corporate"/>
    <s v="United States"/>
    <s v="San Jose"/>
    <x v="1"/>
    <n v="95123"/>
    <x v="1"/>
    <s v="OFF-PA-10002254"/>
    <x v="1"/>
    <s v="Paper"/>
    <s v="Xerox 1883"/>
    <n v="105.52"/>
    <n v="4"/>
    <n v="0"/>
    <n v="48.539200000000001"/>
  </r>
  <r>
    <n v="156"/>
    <x v="73"/>
    <x v="69"/>
    <x v="9"/>
    <d v="2017-07-31T00:00:00"/>
    <d v="2015-02-06T00:00:00"/>
    <s v="First Class"/>
    <s v="SP-20650"/>
    <s v="Stephanie Phelps"/>
    <s v="Corporate"/>
    <s v="United States"/>
    <s v="San Jose"/>
    <x v="1"/>
    <n v="95123"/>
    <x v="1"/>
    <s v="OFF-ST-10001590"/>
    <x v="1"/>
    <s v="Storage"/>
    <s v="Tenex Personal Project File with Scoop Front Design, Black"/>
    <n v="80.88"/>
    <n v="6"/>
    <n v="0"/>
    <n v="21.0288"/>
  </r>
  <r>
    <n v="157"/>
    <x v="74"/>
    <x v="70"/>
    <x v="8"/>
    <d v="2017-04-30T00:00:00"/>
    <d v="2015-03-06T00:00:00"/>
    <s v="Standard Class"/>
    <s v="NK-18490"/>
    <s v="Neil Knudson"/>
    <s v="Home Office"/>
    <s v="United States"/>
    <s v="Seattle"/>
    <x v="4"/>
    <n v="98105"/>
    <x v="1"/>
    <s v="OFF-AR-10001547"/>
    <x v="1"/>
    <s v="Art"/>
    <s v="Newell 311"/>
    <n v="6.63"/>
    <n v="3"/>
    <n v="0"/>
    <n v="1.7901"/>
  </r>
  <r>
    <n v="158"/>
    <x v="75"/>
    <x v="71"/>
    <x v="7"/>
    <d v="2014-01-31T00:00:00"/>
    <d v="2014-06-03T00:00:00"/>
    <s v="Second Class"/>
    <s v="DB-13060"/>
    <s v="Dave Brooks"/>
    <s v="Consumer"/>
    <s v="United States"/>
    <s v="Seattle"/>
    <x v="4"/>
    <n v="98115"/>
    <x v="1"/>
    <s v="FUR-CH-10004063"/>
    <x v="0"/>
    <s v="Chairs"/>
    <s v="Global Deluxe High-Back Manager's Chair"/>
    <n v="457.56799999999998"/>
    <n v="2"/>
    <n v="0.2"/>
    <n v="51.476399999999998"/>
  </r>
  <r>
    <n v="159"/>
    <x v="76"/>
    <x v="72"/>
    <x v="0"/>
    <d v="2017-08-31T00:00:00"/>
    <d v="2017-12-11T00:00:00"/>
    <s v="Standard Class"/>
    <s v="NP-18670"/>
    <s v="Nora Paige"/>
    <s v="Consumer"/>
    <s v="United States"/>
    <s v="Edmond"/>
    <x v="26"/>
    <n v="73034"/>
    <x v="2"/>
    <s v="OFF-LA-10002475"/>
    <x v="1"/>
    <s v="Labels"/>
    <s v="Avery 519"/>
    <n v="14.62"/>
    <n v="2"/>
    <n v="0"/>
    <n v="6.8714000000000004"/>
  </r>
  <r>
    <n v="160"/>
    <x v="76"/>
    <x v="72"/>
    <x v="0"/>
    <d v="2017-08-31T00:00:00"/>
    <d v="2017-12-11T00:00:00"/>
    <s v="Standard Class"/>
    <s v="NP-18670"/>
    <s v="Nora Paige"/>
    <s v="Consumer"/>
    <s v="United States"/>
    <s v="Edmond"/>
    <x v="26"/>
    <n v="73034"/>
    <x v="2"/>
    <s v="TEC-PH-10004536"/>
    <x v="2"/>
    <s v="Phones"/>
    <s v="Avaya 5420 Digital phone"/>
    <n v="944.93"/>
    <n v="7"/>
    <n v="0"/>
    <n v="236.23249999999999"/>
  </r>
  <r>
    <n v="161"/>
    <x v="77"/>
    <x v="73"/>
    <x v="2"/>
    <d v="2016-11-30T00:00:00"/>
    <d v="2016-12-05T00:00:00"/>
    <s v="First Class"/>
    <s v="TT-21070"/>
    <s v="Ted Trevino"/>
    <s v="Consumer"/>
    <s v="United States"/>
    <s v="Los Angeles"/>
    <x v="1"/>
    <n v="90045"/>
    <x v="1"/>
    <s v="OFF-PA-10002751"/>
    <x v="1"/>
    <s v="Paper"/>
    <s v="Xerox 1920"/>
    <n v="5.98"/>
    <n v="1"/>
    <n v="0"/>
    <n v="2.6909999999999998"/>
  </r>
  <r>
    <n v="162"/>
    <x v="78"/>
    <x v="74"/>
    <x v="8"/>
    <d v="2017-04-30T00:00:00"/>
    <d v="2017-07-12T00:00:00"/>
    <s v="Second Class"/>
    <s v="EM-13960"/>
    <s v="Eric Murdock"/>
    <s v="Consumer"/>
    <s v="United States"/>
    <s v="Philadelphia"/>
    <x v="9"/>
    <n v="19134"/>
    <x v="3"/>
    <s v="TEC-AC-10003657"/>
    <x v="2"/>
    <s v="Accessories"/>
    <s v="Lenovo 17-Key USB Numeric Keypad"/>
    <n v="54.384"/>
    <n v="2"/>
    <n v="0.2"/>
    <n v="1.3595999999999999"/>
  </r>
  <r>
    <n v="163"/>
    <x v="79"/>
    <x v="75"/>
    <x v="8"/>
    <d v="2017-04-30T00:00:00"/>
    <d v="2017-08-11T00:00:00"/>
    <s v="Standard Class"/>
    <s v="RD-19900"/>
    <s v="Ruben Dartt"/>
    <s v="Consumer"/>
    <s v="United States"/>
    <s v="Carlsbad"/>
    <x v="27"/>
    <n v="88220"/>
    <x v="1"/>
    <s v="OFF-EN-10001990"/>
    <x v="1"/>
    <s v="Envelopes"/>
    <s v="Staple envelope"/>
    <n v="28.4"/>
    <n v="5"/>
    <n v="0"/>
    <n v="13.348000000000001"/>
  </r>
  <r>
    <n v="164"/>
    <x v="80"/>
    <x v="76"/>
    <x v="9"/>
    <d v="2016-07-31T00:00:00"/>
    <d v="2016-11-11T00:00:00"/>
    <s v="Standard Class"/>
    <s v="MJ-17740"/>
    <s v="Max Jones"/>
    <s v="Consumer"/>
    <s v="United States"/>
    <s v="Seattle"/>
    <x v="4"/>
    <n v="98115"/>
    <x v="1"/>
    <s v="OFF-BI-10004002"/>
    <x v="1"/>
    <s v="Binders"/>
    <s v="Wilson Jones International Size A4 Ring Binders"/>
    <n v="27.68"/>
    <n v="2"/>
    <n v="0.2"/>
    <n v="9.6880000000000006"/>
  </r>
  <r>
    <n v="165"/>
    <x v="81"/>
    <x v="77"/>
    <x v="0"/>
    <d v="2014-08-31T00:00:00"/>
    <d v="2014-12-09T00:00:00"/>
    <s v="Standard Class"/>
    <s v="BM-11140"/>
    <s v="Becky Martin"/>
    <s v="Consumer"/>
    <s v="United States"/>
    <s v="San Antonio"/>
    <x v="5"/>
    <n v="78207"/>
    <x v="2"/>
    <s v="OFF-AR-10004441"/>
    <x v="1"/>
    <s v="Art"/>
    <s v="BIC Brite Liner Highlighters"/>
    <n v="9.9359999999999999"/>
    <n v="3"/>
    <n v="0.2"/>
    <n v="2.7324000000000002"/>
  </r>
  <r>
    <n v="166"/>
    <x v="81"/>
    <x v="77"/>
    <x v="0"/>
    <d v="2014-08-31T00:00:00"/>
    <d v="2014-12-09T00:00:00"/>
    <s v="Standard Class"/>
    <s v="BM-11140"/>
    <s v="Becky Martin"/>
    <s v="Consumer"/>
    <s v="United States"/>
    <s v="San Antonio"/>
    <x v="5"/>
    <n v="78207"/>
    <x v="2"/>
    <s v="TEC-MA-10000822"/>
    <x v="2"/>
    <s v="Machines"/>
    <s v="Lexmark MX611dhe Monochrome Laser Printer"/>
    <n v="8159.9520000000002"/>
    <n v="8"/>
    <n v="0.4"/>
    <n v="-1359.992"/>
  </r>
  <r>
    <n v="167"/>
    <x v="81"/>
    <x v="77"/>
    <x v="0"/>
    <d v="2014-08-31T00:00:00"/>
    <d v="2014-12-09T00:00:00"/>
    <s v="Standard Class"/>
    <s v="BM-11140"/>
    <s v="Becky Martin"/>
    <s v="Consumer"/>
    <s v="United States"/>
    <s v="San Antonio"/>
    <x v="5"/>
    <n v="78207"/>
    <x v="2"/>
    <s v="OFF-ST-10000991"/>
    <x v="1"/>
    <s v="Storage"/>
    <s v="Space Solutions HD Industrial Steel Shelving."/>
    <n v="275.928"/>
    <n v="3"/>
    <n v="0.2"/>
    <n v="-58.634700000000002"/>
  </r>
  <r>
    <n v="168"/>
    <x v="81"/>
    <x v="77"/>
    <x v="0"/>
    <d v="2014-08-31T00:00:00"/>
    <d v="2014-12-09T00:00:00"/>
    <s v="Standard Class"/>
    <s v="BM-11140"/>
    <s v="Becky Martin"/>
    <s v="Consumer"/>
    <s v="United States"/>
    <s v="San Antonio"/>
    <x v="5"/>
    <n v="78207"/>
    <x v="2"/>
    <s v="FUR-CH-10004287"/>
    <x v="0"/>
    <s v="Chairs"/>
    <s v="SAFCO Arco Folding Chair"/>
    <n v="1740.06"/>
    <n v="9"/>
    <n v="0.3"/>
    <n v="-24.858000000000001"/>
  </r>
  <r>
    <n v="169"/>
    <x v="81"/>
    <x v="77"/>
    <x v="0"/>
    <d v="2014-08-31T00:00:00"/>
    <d v="2014-12-09T00:00:00"/>
    <s v="Standard Class"/>
    <s v="BM-11140"/>
    <s v="Becky Martin"/>
    <s v="Consumer"/>
    <s v="United States"/>
    <s v="San Antonio"/>
    <x v="5"/>
    <n v="78207"/>
    <x v="2"/>
    <s v="OFF-AR-10002656"/>
    <x v="1"/>
    <s v="Art"/>
    <s v="Sanford Liquid Accent Highlighters"/>
    <n v="32.064"/>
    <n v="6"/>
    <n v="0.2"/>
    <n v="6.8136000000000001"/>
  </r>
  <r>
    <n v="170"/>
    <x v="81"/>
    <x v="77"/>
    <x v="0"/>
    <d v="2014-08-31T00:00:00"/>
    <d v="2014-12-09T00:00:00"/>
    <s v="Standard Class"/>
    <s v="BM-11140"/>
    <s v="Becky Martin"/>
    <s v="Consumer"/>
    <s v="United States"/>
    <s v="San Antonio"/>
    <x v="5"/>
    <n v="78207"/>
    <x v="2"/>
    <s v="OFF-AP-10002518"/>
    <x v="1"/>
    <s v="Appliances"/>
    <s v="Kensington 7 Outlet MasterPiece Power Center"/>
    <n v="177.98"/>
    <n v="5"/>
    <n v="0.8"/>
    <n v="-453.84899999999999"/>
  </r>
  <r>
    <n v="171"/>
    <x v="81"/>
    <x v="77"/>
    <x v="0"/>
    <d v="2014-08-31T00:00:00"/>
    <d v="2014-12-09T00:00:00"/>
    <s v="Standard Class"/>
    <s v="BM-11140"/>
    <s v="Becky Martin"/>
    <s v="Consumer"/>
    <s v="United States"/>
    <s v="San Antonio"/>
    <x v="5"/>
    <n v="78207"/>
    <x v="2"/>
    <s v="TEC-PH-10003931"/>
    <x v="2"/>
    <s v="Phones"/>
    <s v="JBL Micro Wireless Portable Bluetooth Speaker"/>
    <n v="143.976"/>
    <n v="3"/>
    <n v="0.2"/>
    <n v="8.9984999999999999"/>
  </r>
  <r>
    <n v="172"/>
    <x v="82"/>
    <x v="78"/>
    <x v="5"/>
    <d v="2014-05-31T00:00:00"/>
    <d v="2014-09-08T00:00:00"/>
    <s v="Standard Class"/>
    <s v="CS-12130"/>
    <s v="Chad Sievert"/>
    <s v="Consumer"/>
    <s v="United States"/>
    <s v="Los Angeles"/>
    <x v="1"/>
    <n v="90004"/>
    <x v="1"/>
    <s v="OFF-PA-10000659"/>
    <x v="1"/>
    <s v="Paper"/>
    <s v="Adams Phone Message Book, Professional, 400 Message Capacity, 5 3/6” x 11”"/>
    <n v="20.94"/>
    <n v="3"/>
    <n v="0"/>
    <n v="9.8417999999999992"/>
  </r>
  <r>
    <n v="173"/>
    <x v="82"/>
    <x v="78"/>
    <x v="5"/>
    <d v="2014-05-31T00:00:00"/>
    <d v="2014-09-08T00:00:00"/>
    <s v="Standard Class"/>
    <s v="CS-12130"/>
    <s v="Chad Sievert"/>
    <s v="Consumer"/>
    <s v="United States"/>
    <s v="Los Angeles"/>
    <x v="1"/>
    <n v="90004"/>
    <x v="1"/>
    <s v="OFF-PA-10001144"/>
    <x v="1"/>
    <s v="Paper"/>
    <s v="Xerox 1913"/>
    <n v="110.96"/>
    <n v="2"/>
    <n v="0"/>
    <n v="53.260800000000003"/>
  </r>
  <r>
    <n v="174"/>
    <x v="82"/>
    <x v="78"/>
    <x v="5"/>
    <d v="2014-05-31T00:00:00"/>
    <d v="2014-09-08T00:00:00"/>
    <s v="Standard Class"/>
    <s v="CS-12130"/>
    <s v="Chad Sievert"/>
    <s v="Consumer"/>
    <s v="United States"/>
    <s v="Los Angeles"/>
    <x v="1"/>
    <n v="90004"/>
    <x v="1"/>
    <s v="FUR-CH-10003817"/>
    <x v="0"/>
    <s v="Chairs"/>
    <s v="Global Value Steno Chair, Gray"/>
    <n v="340.14400000000001"/>
    <n v="7"/>
    <n v="0.2"/>
    <n v="21.259"/>
  </r>
  <r>
    <n v="175"/>
    <x v="83"/>
    <x v="79"/>
    <x v="11"/>
    <d v="2015-02-28T00:00:00"/>
    <d v="2015-07-09T00:00:00"/>
    <s v="Standard Class"/>
    <s v="JB-15400"/>
    <s v="Jennifer Braxton"/>
    <s v="Corporate"/>
    <s v="United States"/>
    <s v="Chicago"/>
    <x v="10"/>
    <n v="60623"/>
    <x v="2"/>
    <s v="OFF-AP-10000891"/>
    <x v="1"/>
    <s v="Appliances"/>
    <s v="Kensington 7 Outlet MasterPiece HOMEOFFICE Power Control Center"/>
    <n v="52.448"/>
    <n v="2"/>
    <n v="0.8"/>
    <n v="-131.12"/>
  </r>
  <r>
    <n v="176"/>
    <x v="83"/>
    <x v="79"/>
    <x v="11"/>
    <d v="2015-02-28T00:00:00"/>
    <d v="2015-07-09T00:00:00"/>
    <s v="Standard Class"/>
    <s v="JB-15400"/>
    <s v="Jennifer Braxton"/>
    <s v="Corporate"/>
    <s v="United States"/>
    <s v="Chicago"/>
    <x v="10"/>
    <n v="60623"/>
    <x v="2"/>
    <s v="OFF-LA-10003148"/>
    <x v="1"/>
    <s v="Labels"/>
    <s v="Avery 51"/>
    <n v="20.16"/>
    <n v="4"/>
    <n v="0.2"/>
    <n v="6.5519999999999996"/>
  </r>
  <r>
    <n v="177"/>
    <x v="84"/>
    <x v="80"/>
    <x v="3"/>
    <d v="2018-09-30T00:00:00"/>
    <d v="2019-01-04T00:00:00"/>
    <s v="Second Class"/>
    <s v="SJ-20500"/>
    <s v="Shirley Jackson"/>
    <s v="Consumer"/>
    <s v="United States"/>
    <s v="Houston"/>
    <x v="5"/>
    <n v="77036"/>
    <x v="2"/>
    <s v="OFF-AP-10002684"/>
    <x v="1"/>
    <s v="Appliances"/>
    <s v="Acco 7-Outlet Masterpiece Power Center, Wihtout Fax/Phone Line Protection"/>
    <n v="97.263999999999996"/>
    <n v="4"/>
    <n v="0.8"/>
    <n v="-243.16"/>
  </r>
  <r>
    <n v="178"/>
    <x v="85"/>
    <x v="81"/>
    <x v="3"/>
    <d v="2016-09-30T00:00:00"/>
    <d v="2016-11-11T00:00:00"/>
    <s v="Second Class"/>
    <s v="JE-15745"/>
    <s v="Joel Eaton"/>
    <s v="Consumer"/>
    <s v="United States"/>
    <s v="Newark"/>
    <x v="24"/>
    <n v="43055"/>
    <x v="3"/>
    <s v="FUR-CH-10004698"/>
    <x v="0"/>
    <s v="Chairs"/>
    <s v="Padded Folding Chairs, Black, 4/Carton"/>
    <n v="396.80200000000002"/>
    <n v="7"/>
    <n v="0.3"/>
    <n v="-11.337199999999999"/>
  </r>
  <r>
    <n v="179"/>
    <x v="85"/>
    <x v="81"/>
    <x v="3"/>
    <d v="2016-09-30T00:00:00"/>
    <d v="2016-11-11T00:00:00"/>
    <s v="Second Class"/>
    <s v="JE-15745"/>
    <s v="Joel Eaton"/>
    <s v="Consumer"/>
    <s v="United States"/>
    <s v="Newark"/>
    <x v="24"/>
    <n v="43055"/>
    <x v="3"/>
    <s v="OFF-SU-10002189"/>
    <x v="1"/>
    <s v="Supplies"/>
    <s v="Acme Rosewood Handle Letter Opener"/>
    <n v="15.88"/>
    <n v="5"/>
    <n v="0.2"/>
    <n v="-3.7715000000000001"/>
  </r>
  <r>
    <n v="180"/>
    <x v="86"/>
    <x v="82"/>
    <x v="4"/>
    <d v="2016-03-31T00:00:00"/>
    <d v="2016-07-12T00:00:00"/>
    <s v="Standard Class"/>
    <s v="JK-15640"/>
    <s v="Jim Kriz"/>
    <s v="Home Office"/>
    <s v="United States"/>
    <s v="New York City"/>
    <x v="15"/>
    <n v="10009"/>
    <x v="3"/>
    <s v="OFF-AR-10001940"/>
    <x v="1"/>
    <s v="Art"/>
    <s v="Sanford Colorific Eraseable Coloring Pencils, 12 Count"/>
    <n v="3.28"/>
    <n v="1"/>
    <n v="0"/>
    <n v="1.4104000000000001"/>
  </r>
  <r>
    <n v="181"/>
    <x v="87"/>
    <x v="29"/>
    <x v="5"/>
    <d v="2014-05-31T00:00:00"/>
    <d v="2014-09-12T00:00:00"/>
    <s v="Second Class"/>
    <s v="DK-13150"/>
    <s v="David Kendrick"/>
    <s v="Corporate"/>
    <s v="United States"/>
    <s v="Decatur"/>
    <x v="10"/>
    <n v="62521"/>
    <x v="2"/>
    <s v="OFF-ST-10003455"/>
    <x v="1"/>
    <s v="Storage"/>
    <s v="Tenex File Box, Personal Filing Tote with Lid, Black"/>
    <n v="24.815999999999999"/>
    <n v="2"/>
    <n v="0.2"/>
    <n v="1.8612"/>
  </r>
  <r>
    <n v="182"/>
    <x v="87"/>
    <x v="29"/>
    <x v="5"/>
    <d v="2014-05-31T00:00:00"/>
    <d v="2014-09-12T00:00:00"/>
    <s v="Second Class"/>
    <s v="DK-13150"/>
    <s v="David Kendrick"/>
    <s v="Corporate"/>
    <s v="United States"/>
    <s v="Decatur"/>
    <x v="10"/>
    <n v="62521"/>
    <x v="2"/>
    <s v="TEC-AC-10004659"/>
    <x v="2"/>
    <s v="Accessories"/>
    <s v="Imation Secure+ Hardware Encrypted USB 2.0 Flash Drive; 16GB"/>
    <n v="408.74400000000003"/>
    <n v="7"/>
    <n v="0.2"/>
    <n v="76.639499999999998"/>
  </r>
  <r>
    <n v="183"/>
    <x v="88"/>
    <x v="83"/>
    <x v="9"/>
    <d v="2015-07-31T00:00:00"/>
    <d v="2015-12-11T00:00:00"/>
    <s v="Second Class"/>
    <s v="RM-19675"/>
    <s v="Robert Marley"/>
    <s v="Home Office"/>
    <s v="United States"/>
    <s v="Monroe"/>
    <x v="28"/>
    <n v="71203"/>
    <x v="0"/>
    <s v="TEC-PH-10003273"/>
    <x v="2"/>
    <s v="Phones"/>
    <s v="AT&amp;T TR1909W"/>
    <n v="503.96"/>
    <n v="4"/>
    <n v="0"/>
    <n v="131.02959999999999"/>
  </r>
  <r>
    <n v="184"/>
    <x v="88"/>
    <x v="83"/>
    <x v="9"/>
    <d v="2015-07-31T00:00:00"/>
    <d v="2015-12-11T00:00:00"/>
    <s v="Second Class"/>
    <s v="RM-19675"/>
    <s v="Robert Marley"/>
    <s v="Home Office"/>
    <s v="United States"/>
    <s v="Monroe"/>
    <x v="28"/>
    <n v="71203"/>
    <x v="0"/>
    <s v="TEC-PH-10004896"/>
    <x v="2"/>
    <s v="Phones"/>
    <s v="Nokia Lumia 521 (T-Mobile)"/>
    <n v="149.94999999999999"/>
    <n v="5"/>
    <n v="0"/>
    <n v="41.985999999999997"/>
  </r>
  <r>
    <n v="185"/>
    <x v="88"/>
    <x v="83"/>
    <x v="9"/>
    <d v="2015-07-31T00:00:00"/>
    <d v="2015-12-11T00:00:00"/>
    <s v="Second Class"/>
    <s v="RM-19675"/>
    <s v="Robert Marley"/>
    <s v="Home Office"/>
    <s v="United States"/>
    <s v="Monroe"/>
    <x v="28"/>
    <n v="71203"/>
    <x v="0"/>
    <s v="TEC-AC-10002345"/>
    <x v="2"/>
    <s v="Accessories"/>
    <s v="HP Standard 104 key PS/2 Keyboard"/>
    <n v="29"/>
    <n v="2"/>
    <n v="0"/>
    <n v="7.25"/>
  </r>
  <r>
    <n v="186"/>
    <x v="89"/>
    <x v="84"/>
    <x v="8"/>
    <d v="2018-04-30T00:00:00"/>
    <d v="2016-02-12T00:00:00"/>
    <s v="Standard Class"/>
    <s v="SK-19990"/>
    <s v="Sally Knutson"/>
    <s v="Consumer"/>
    <s v="United States"/>
    <s v="Fairfield"/>
    <x v="29"/>
    <n v="6824"/>
    <x v="3"/>
    <s v="OFF-BI-10001890"/>
    <x v="1"/>
    <s v="Binders"/>
    <s v="Avery Poly Binder Pockets"/>
    <n v="7.16"/>
    <n v="2"/>
    <n v="0"/>
    <n v="3.4367999999999999"/>
  </r>
  <r>
    <n v="187"/>
    <x v="90"/>
    <x v="85"/>
    <x v="11"/>
    <d v="2016-02-29T00:00:00"/>
    <d v="2016-06-08T00:00:00"/>
    <s v="Standard Class"/>
    <s v="FM-14290"/>
    <s v="Frank Merwin"/>
    <s v="Home Office"/>
    <s v="United States"/>
    <s v="Los Angeles"/>
    <x v="1"/>
    <n v="90032"/>
    <x v="1"/>
    <s v="TEC-AC-10002323"/>
    <x v="2"/>
    <s v="Accessories"/>
    <s v="SanDisk Ultra 32 GB MicroSDHC Class 10 Memory Card"/>
    <n v="176.8"/>
    <n v="8"/>
    <n v="0"/>
    <n v="22.984000000000002"/>
  </r>
  <r>
    <n v="188"/>
    <x v="91"/>
    <x v="86"/>
    <x v="8"/>
    <d v="2017-04-30T00:00:00"/>
    <d v="2017-10-07T00:00:00"/>
    <s v="Standard Class"/>
    <s v="AM-10360"/>
    <s v="Alice McCarthy"/>
    <s v="Corporate"/>
    <s v="United States"/>
    <s v="Grand Prairie"/>
    <x v="5"/>
    <n v="75051"/>
    <x v="2"/>
    <s v="OFF-ST-10001328"/>
    <x v="1"/>
    <s v="Storage"/>
    <s v="Personal Filing Tote with Lid, Black/Gray"/>
    <n v="37.223999999999997"/>
    <n v="3"/>
    <n v="0.2"/>
    <n v="3.7223999999999999"/>
  </r>
  <r>
    <n v="189"/>
    <x v="91"/>
    <x v="86"/>
    <x v="8"/>
    <d v="2017-04-30T00:00:00"/>
    <d v="2017-10-07T00:00:00"/>
    <s v="Standard Class"/>
    <s v="AM-10360"/>
    <s v="Alice McCarthy"/>
    <s v="Corporate"/>
    <s v="United States"/>
    <s v="Grand Prairie"/>
    <x v="5"/>
    <n v="75051"/>
    <x v="2"/>
    <s v="OFF-PA-10001950"/>
    <x v="1"/>
    <s v="Paper"/>
    <s v="Southworth 25% Cotton Antique Laid Paper &amp; Envelopes"/>
    <n v="20.015999999999998"/>
    <n v="3"/>
    <n v="0.2"/>
    <n v="6.2549999999999999"/>
  </r>
  <r>
    <n v="190"/>
    <x v="92"/>
    <x v="87"/>
    <x v="1"/>
    <d v="2015-12-31T00:00:00"/>
    <d v="2016-02-10T00:00:00"/>
    <s v="First Class"/>
    <s v="MP-17470"/>
    <s v="Mark Packer"/>
    <s v="Home Office"/>
    <s v="United States"/>
    <s v="New York City"/>
    <x v="15"/>
    <n v="10035"/>
    <x v="3"/>
    <s v="FUR-BO-10002613"/>
    <x v="0"/>
    <s v="Bookcases"/>
    <s v="Atlantic Metals Mobile 4-Shelf Bookcases, Custom Colors"/>
    <n v="899.13599999999997"/>
    <n v="4"/>
    <n v="0.2"/>
    <n v="112.392"/>
  </r>
  <r>
    <n v="191"/>
    <x v="92"/>
    <x v="87"/>
    <x v="1"/>
    <d v="2015-12-31T00:00:00"/>
    <d v="2016-02-10T00:00:00"/>
    <s v="First Class"/>
    <s v="MP-17470"/>
    <s v="Mark Packer"/>
    <s v="Home Office"/>
    <s v="United States"/>
    <s v="New York City"/>
    <x v="15"/>
    <n v="10035"/>
    <x v="3"/>
    <s v="TEC-PH-10001552"/>
    <x v="2"/>
    <s v="Phones"/>
    <s v="I Need's 3d Hello Kitty Hybrid Silicone Case Cover for HTC One X 4g with 3d Hello Kitty Stylus Pen Green/pink"/>
    <n v="71.760000000000005"/>
    <n v="6"/>
    <n v="0"/>
    <n v="20.0928"/>
  </r>
  <r>
    <n v="192"/>
    <x v="92"/>
    <x v="87"/>
    <x v="1"/>
    <d v="2015-12-31T00:00:00"/>
    <d v="2016-02-10T00:00:00"/>
    <s v="First Class"/>
    <s v="MP-17470"/>
    <s v="Mark Packer"/>
    <s v="Home Office"/>
    <s v="United States"/>
    <s v="New York City"/>
    <x v="15"/>
    <n v="10035"/>
    <x v="3"/>
    <s v="OFF-PA-10000061"/>
    <x v="1"/>
    <s v="Paper"/>
    <s v="Xerox 205"/>
    <n v="51.84"/>
    <n v="8"/>
    <n v="0"/>
    <n v="24.883199999999999"/>
  </r>
  <r>
    <n v="193"/>
    <x v="92"/>
    <x v="87"/>
    <x v="1"/>
    <d v="2015-12-31T00:00:00"/>
    <d v="2016-02-10T00:00:00"/>
    <s v="First Class"/>
    <s v="MP-17470"/>
    <s v="Mark Packer"/>
    <s v="Home Office"/>
    <s v="United States"/>
    <s v="New York City"/>
    <x v="15"/>
    <n v="10035"/>
    <x v="3"/>
    <s v="FUR-BO-10002545"/>
    <x v="0"/>
    <s v="Bookcases"/>
    <s v="Atlantic Metals Mobile 3-Shelf Bookcases, Custom Colors"/>
    <n v="626.35199999999998"/>
    <n v="3"/>
    <n v="0.2"/>
    <n v="46.976399999999998"/>
  </r>
  <r>
    <n v="194"/>
    <x v="92"/>
    <x v="87"/>
    <x v="1"/>
    <d v="2015-12-31T00:00:00"/>
    <d v="2016-02-10T00:00:00"/>
    <s v="First Class"/>
    <s v="MP-17470"/>
    <s v="Mark Packer"/>
    <s v="Home Office"/>
    <s v="United States"/>
    <s v="New York City"/>
    <x v="15"/>
    <n v="10035"/>
    <x v="3"/>
    <s v="OFF-AR-10003514"/>
    <x v="1"/>
    <s v="Art"/>
    <s v="4009 Highlighters by Sanford"/>
    <n v="19.899999999999999"/>
    <n v="5"/>
    <n v="0"/>
    <n v="6.5670000000000002"/>
  </r>
  <r>
    <n v="195"/>
    <x v="93"/>
    <x v="88"/>
    <x v="9"/>
    <d v="2017-07-31T00:00:00"/>
    <d v="2015-06-11T00:00:00"/>
    <s v="Standard Class"/>
    <s v="MZ-17515"/>
    <s v="Mary Zewe"/>
    <s v="Corporate"/>
    <s v="United States"/>
    <s v="Redlands"/>
    <x v="1"/>
    <n v="92374"/>
    <x v="1"/>
    <s v="OFF-EN-10001509"/>
    <x v="1"/>
    <s v="Envelopes"/>
    <s v="Poly String Tie Envelopes"/>
    <n v="14.28"/>
    <n v="7"/>
    <n v="0"/>
    <n v="6.7115999999999998"/>
  </r>
  <r>
    <n v="196"/>
    <x v="94"/>
    <x v="89"/>
    <x v="3"/>
    <d v="2015-09-30T00:00:00"/>
    <d v="2016-01-03T00:00:00"/>
    <s v="Standard Class"/>
    <s v="CB-12025"/>
    <s v="Cassandra Brandow"/>
    <s v="Consumer"/>
    <s v="United States"/>
    <s v="Hamilton"/>
    <x v="24"/>
    <n v="45011"/>
    <x v="3"/>
    <s v="OFF-AR-10004685"/>
    <x v="1"/>
    <s v="Art"/>
    <s v="Binney &amp; Smith Crayola Metallic Colored Pencils, 8-Color Set"/>
    <n v="7.4080000000000004"/>
    <n v="2"/>
    <n v="0.2"/>
    <n v="1.2038"/>
  </r>
  <r>
    <n v="197"/>
    <x v="94"/>
    <x v="89"/>
    <x v="3"/>
    <d v="2015-09-30T00:00:00"/>
    <d v="2016-01-03T00:00:00"/>
    <s v="Standard Class"/>
    <s v="CB-12025"/>
    <s v="Cassandra Brandow"/>
    <s v="Consumer"/>
    <s v="United States"/>
    <s v="Hamilton"/>
    <x v="24"/>
    <n v="45011"/>
    <x v="3"/>
    <s v="OFF-AR-10004027"/>
    <x v="1"/>
    <s v="Art"/>
    <s v="Binney &amp; Smith inkTank Erasable Desk Highlighter, Chisel Tip, Yellow, 12/Box"/>
    <n v="6.048"/>
    <n v="3"/>
    <n v="0.2"/>
    <n v="1.5875999999999999"/>
  </r>
  <r>
    <n v="198"/>
    <x v="95"/>
    <x v="44"/>
    <x v="10"/>
    <d v="2017-06-30T00:00:00"/>
    <d v="2018-01-11T00:00:00"/>
    <s v="Standard Class"/>
    <s v="VM-21685"/>
    <s v="Valerie Mitchum"/>
    <s v="Home Office"/>
    <s v="United States"/>
    <s v="Westfield"/>
    <x v="30"/>
    <n v="7090"/>
    <x v="3"/>
    <s v="OFF-ST-10001414"/>
    <x v="1"/>
    <s v="Storage"/>
    <s v="Decoflex Hanging Personal Folder File"/>
    <n v="46.26"/>
    <n v="3"/>
    <n v="0"/>
    <n v="12.0276"/>
  </r>
  <r>
    <n v="199"/>
    <x v="96"/>
    <x v="90"/>
    <x v="10"/>
    <d v="2017-06-30T00:00:00"/>
    <d v="2018-01-07T00:00:00"/>
    <s v="Standard Class"/>
    <s v="FH-14365"/>
    <s v="Fred Hopkins"/>
    <s v="Corporate"/>
    <s v="United States"/>
    <s v="Philadelphia"/>
    <x v="9"/>
    <n v="19120"/>
    <x v="3"/>
    <s v="OFF-BI-10000343"/>
    <x v="1"/>
    <s v="Binders"/>
    <s v="Pressboard Covers with Storage Hooks, 9 1/2&quot; x 11&quot;, Light Blue"/>
    <n v="2.9460000000000002"/>
    <n v="2"/>
    <n v="0.7"/>
    <n v="-2.2585999999999999"/>
  </r>
  <r>
    <n v="200"/>
    <x v="96"/>
    <x v="90"/>
    <x v="10"/>
    <d v="2017-06-30T00:00:00"/>
    <d v="2018-01-07T00:00:00"/>
    <s v="Standard Class"/>
    <s v="FH-14365"/>
    <s v="Fred Hopkins"/>
    <s v="Corporate"/>
    <s v="United States"/>
    <s v="Philadelphia"/>
    <x v="9"/>
    <n v="19120"/>
    <x v="3"/>
    <s v="OFF-PA-10002749"/>
    <x v="1"/>
    <s v="Paper"/>
    <s v="Wirebound Message Books, 5-1/2 x 4 Forms, 2 or 4 Forms per Page"/>
    <n v="16.056000000000001"/>
    <n v="3"/>
    <n v="0.2"/>
    <n v="5.8202999999999996"/>
  </r>
  <r>
    <n v="201"/>
    <x v="97"/>
    <x v="91"/>
    <x v="1"/>
    <d v="2018-12-31T00:00:00"/>
    <d v="2019-05-06T00:00:00"/>
    <s v="Standard Class"/>
    <s v="MB-17305"/>
    <s v="Maria Bertelson"/>
    <s v="Consumer"/>
    <s v="United States"/>
    <s v="Akron"/>
    <x v="24"/>
    <n v="44312"/>
    <x v="3"/>
    <s v="OFF-PA-10002666"/>
    <x v="1"/>
    <s v="Paper"/>
    <s v="Southworth 25% Cotton Linen-Finish Paper &amp; Envelopes"/>
    <n v="21.744"/>
    <n v="3"/>
    <n v="0.2"/>
    <n v="6.7949999999999999"/>
  </r>
  <r>
    <n v="202"/>
    <x v="98"/>
    <x v="92"/>
    <x v="4"/>
    <d v="2014-03-31T00:00:00"/>
    <d v="2014-05-08T00:00:00"/>
    <s v="First Class"/>
    <s v="BS-11755"/>
    <s v="Bruce Stewart"/>
    <s v="Consumer"/>
    <s v="United States"/>
    <s v="Denver"/>
    <x v="22"/>
    <n v="80219"/>
    <x v="1"/>
    <s v="FUR-TA-10004289"/>
    <x v="0"/>
    <s v="Tables"/>
    <s v="BoxOffice By Design Rectangular and Half-Moon Meeting Room Tables"/>
    <n v="218.75"/>
    <n v="2"/>
    <n v="0.5"/>
    <n v="-161.875"/>
  </r>
  <r>
    <n v="203"/>
    <x v="98"/>
    <x v="92"/>
    <x v="4"/>
    <d v="2014-03-31T00:00:00"/>
    <d v="2014-05-08T00:00:00"/>
    <s v="First Class"/>
    <s v="BS-11755"/>
    <s v="Bruce Stewart"/>
    <s v="Consumer"/>
    <s v="United States"/>
    <s v="Denver"/>
    <x v="22"/>
    <n v="80219"/>
    <x v="1"/>
    <s v="OFF-AP-10003622"/>
    <x v="1"/>
    <s v="Appliances"/>
    <s v="Bravo II Megaboss 12-Amp Hard Body Upright, Replacement Belts, 2 Belts per Pack"/>
    <n v="2.6"/>
    <n v="1"/>
    <n v="0.2"/>
    <n v="0.29249999999999998"/>
  </r>
  <r>
    <n v="204"/>
    <x v="99"/>
    <x v="93"/>
    <x v="5"/>
    <d v="2018-05-31T00:00:00"/>
    <d v="2018-09-12T00:00:00"/>
    <s v="Second Class"/>
    <s v="LC-17140"/>
    <s v="Logan Currie"/>
    <s v="Consumer"/>
    <s v="United States"/>
    <s v="Dallas"/>
    <x v="5"/>
    <n v="75220"/>
    <x v="2"/>
    <s v="OFF-AP-10003217"/>
    <x v="1"/>
    <s v="Appliances"/>
    <s v="Eureka Sanitaire  Commercial Upright"/>
    <n v="66.284000000000006"/>
    <n v="2"/>
    <n v="0.8"/>
    <n v="-178.96680000000001"/>
  </r>
  <r>
    <n v="205"/>
    <x v="100"/>
    <x v="94"/>
    <x v="4"/>
    <d v="2017-03-31T00:00:00"/>
    <d v="2017-07-06T00:00:00"/>
    <s v="Standard Class"/>
    <s v="HK-14890"/>
    <s v="Heather Kirkland"/>
    <s v="Corporate"/>
    <s v="United States"/>
    <s v="Franklin"/>
    <x v="18"/>
    <n v="37064"/>
    <x v="0"/>
    <s v="FUR-FU-10002960"/>
    <x v="0"/>
    <s v="Furnishings"/>
    <s v="Eldon 200 Class Desk Accessories, Burgundy"/>
    <n v="35.167999999999999"/>
    <n v="7"/>
    <n v="0.2"/>
    <n v="9.6712000000000007"/>
  </r>
  <r>
    <n v="206"/>
    <x v="101"/>
    <x v="34"/>
    <x v="3"/>
    <d v="2017-09-30T00:00:00"/>
    <d v="2018-02-12T00:00:00"/>
    <s v="Standard Class"/>
    <s v="LE-16810"/>
    <s v="Laurel Elliston"/>
    <s v="Consumer"/>
    <s v="United States"/>
    <s v="Whittier"/>
    <x v="1"/>
    <n v="90604"/>
    <x v="1"/>
    <s v="TEC-PH-10001918"/>
    <x v="2"/>
    <s v="Phones"/>
    <s v="Nortel Business Series Terminal T7208 Digital phone"/>
    <n v="444.76799999999997"/>
    <n v="4"/>
    <n v="0.2"/>
    <n v="44.476799999999997"/>
  </r>
  <r>
    <n v="207"/>
    <x v="102"/>
    <x v="95"/>
    <x v="7"/>
    <d v="2017-01-31T00:00:00"/>
    <d v="2017-07-12T00:00:00"/>
    <s v="Standard Class"/>
    <s v="JH-15985"/>
    <s v="Joseph Holt"/>
    <s v="Consumer"/>
    <s v="United States"/>
    <s v="Saginaw"/>
    <x v="12"/>
    <n v="48601"/>
    <x v="2"/>
    <s v="OFF-ST-10000642"/>
    <x v="1"/>
    <s v="Storage"/>
    <s v="Tennsco Lockers, Gray"/>
    <n v="83.92"/>
    <n v="4"/>
    <n v="0"/>
    <n v="5.8743999999999996"/>
  </r>
  <r>
    <n v="208"/>
    <x v="102"/>
    <x v="95"/>
    <x v="7"/>
    <d v="2017-01-31T00:00:00"/>
    <d v="2017-07-12T00:00:00"/>
    <s v="Standard Class"/>
    <s v="JH-15985"/>
    <s v="Joseph Holt"/>
    <s v="Consumer"/>
    <s v="United States"/>
    <s v="Saginaw"/>
    <x v="12"/>
    <n v="48601"/>
    <x v="2"/>
    <s v="TEC-PH-10001700"/>
    <x v="2"/>
    <s v="Phones"/>
    <s v="Panasonic KX-TG6844B Expandable Digital Cordless Telephone"/>
    <n v="131.97999999999999"/>
    <n v="2"/>
    <n v="0"/>
    <n v="35.634599999999999"/>
  </r>
  <r>
    <n v="209"/>
    <x v="102"/>
    <x v="95"/>
    <x v="7"/>
    <d v="2017-01-31T00:00:00"/>
    <d v="2017-07-12T00:00:00"/>
    <s v="Standard Class"/>
    <s v="JH-15985"/>
    <s v="Joseph Holt"/>
    <s v="Consumer"/>
    <s v="United States"/>
    <s v="Saginaw"/>
    <x v="12"/>
    <n v="48601"/>
    <x v="2"/>
    <s v="OFF-BI-10003274"/>
    <x v="1"/>
    <s v="Binders"/>
    <s v="Avery Durable Slant Ring Binders, No Labels"/>
    <n v="15.92"/>
    <n v="4"/>
    <n v="0"/>
    <n v="7.4824000000000002"/>
  </r>
  <r>
    <n v="210"/>
    <x v="102"/>
    <x v="95"/>
    <x v="7"/>
    <d v="2017-01-31T00:00:00"/>
    <d v="2017-07-12T00:00:00"/>
    <s v="Standard Class"/>
    <s v="JH-15985"/>
    <s v="Joseph Holt"/>
    <s v="Consumer"/>
    <s v="United States"/>
    <s v="Saginaw"/>
    <x v="12"/>
    <n v="48601"/>
    <x v="2"/>
    <s v="OFF-FA-10000134"/>
    <x v="1"/>
    <s v="Fasteners"/>
    <s v="Advantus Push Pins, Aluminum Head"/>
    <n v="52.29"/>
    <n v="9"/>
    <n v="0"/>
    <n v="16.209900000000001"/>
  </r>
  <r>
    <n v="211"/>
    <x v="102"/>
    <x v="95"/>
    <x v="7"/>
    <d v="2017-01-31T00:00:00"/>
    <d v="2017-07-12T00:00:00"/>
    <s v="Standard Class"/>
    <s v="JH-15985"/>
    <s v="Joseph Holt"/>
    <s v="Consumer"/>
    <s v="United States"/>
    <s v="Saginaw"/>
    <x v="12"/>
    <n v="48601"/>
    <x v="2"/>
    <s v="OFF-ST-10001522"/>
    <x v="1"/>
    <s v="Storage"/>
    <s v="Gould Plastics 18-Pocket Panel Bin, 34w x 5-1/4d x 20-1/2h"/>
    <n v="91.99"/>
    <n v="1"/>
    <n v="0"/>
    <n v="3.6796000000000002"/>
  </r>
  <r>
    <n v="212"/>
    <x v="103"/>
    <x v="96"/>
    <x v="3"/>
    <d v="2015-09-30T00:00:00"/>
    <d v="2016-01-02T00:00:00"/>
    <s v="Second Class"/>
    <s v="MS-17980"/>
    <s v="Michael Stewart"/>
    <s v="Corporate"/>
    <s v="United States"/>
    <s v="Dallas"/>
    <x v="5"/>
    <n v="75220"/>
    <x v="2"/>
    <s v="TEC-AC-10001266"/>
    <x v="2"/>
    <s v="Accessories"/>
    <s v="Memorex Micro Travel Drive 8 GB"/>
    <n v="20.8"/>
    <n v="2"/>
    <n v="0.2"/>
    <n v="6.5"/>
  </r>
  <r>
    <n v="213"/>
    <x v="104"/>
    <x v="97"/>
    <x v="11"/>
    <d v="2015-02-28T00:00:00"/>
    <d v="2015-09-01T00:00:00"/>
    <s v="Standard Class"/>
    <s v="VW-21775"/>
    <s v="Victoria Wilson"/>
    <s v="Corporate"/>
    <s v="United States"/>
    <s v="Medina"/>
    <x v="24"/>
    <n v="44256"/>
    <x v="3"/>
    <s v="OFF-LA-10004544"/>
    <x v="1"/>
    <s v="Labels"/>
    <s v="Avery 505"/>
    <n v="23.68"/>
    <n v="2"/>
    <n v="0.2"/>
    <n v="8.8800000000000008"/>
  </r>
  <r>
    <n v="214"/>
    <x v="104"/>
    <x v="97"/>
    <x v="11"/>
    <d v="2015-02-28T00:00:00"/>
    <d v="2015-09-01T00:00:00"/>
    <s v="Standard Class"/>
    <s v="VW-21775"/>
    <s v="Victoria Wilson"/>
    <s v="Corporate"/>
    <s v="United States"/>
    <s v="Medina"/>
    <x v="24"/>
    <n v="44256"/>
    <x v="3"/>
    <s v="FUR-BO-10004695"/>
    <x v="0"/>
    <s v="Bookcases"/>
    <s v="O'Sullivan 2-Door Barrister Bookcase in Odessa Pine"/>
    <n v="452.45"/>
    <n v="5"/>
    <n v="0.5"/>
    <n v="-244.32300000000001"/>
  </r>
  <r>
    <n v="215"/>
    <x v="104"/>
    <x v="97"/>
    <x v="11"/>
    <d v="2015-02-28T00:00:00"/>
    <d v="2015-09-01T00:00:00"/>
    <s v="Standard Class"/>
    <s v="VW-21775"/>
    <s v="Victoria Wilson"/>
    <s v="Corporate"/>
    <s v="United States"/>
    <s v="Medina"/>
    <x v="24"/>
    <n v="44256"/>
    <x v="3"/>
    <s v="TEC-PH-10002844"/>
    <x v="2"/>
    <s v="Phones"/>
    <s v="Speck Products Candyshell Flip Case"/>
    <n v="62.981999999999999"/>
    <n v="3"/>
    <n v="0.4"/>
    <n v="-14.6958"/>
  </r>
  <r>
    <n v="216"/>
    <x v="104"/>
    <x v="97"/>
    <x v="11"/>
    <d v="2015-02-28T00:00:00"/>
    <d v="2015-09-01T00:00:00"/>
    <s v="Standard Class"/>
    <s v="VW-21775"/>
    <s v="Victoria Wilson"/>
    <s v="Corporate"/>
    <s v="United States"/>
    <s v="Medina"/>
    <x v="24"/>
    <n v="44256"/>
    <x v="3"/>
    <s v="TEC-MA-10000864"/>
    <x v="2"/>
    <s v="Machines"/>
    <s v="Cisco 9971 IP Video Phone Charcoal"/>
    <n v="1188"/>
    <n v="9"/>
    <n v="0.7"/>
    <n v="-950.4"/>
  </r>
  <r>
    <n v="217"/>
    <x v="104"/>
    <x v="97"/>
    <x v="11"/>
    <d v="2015-02-28T00:00:00"/>
    <d v="2015-09-01T00:00:00"/>
    <s v="Standard Class"/>
    <s v="VW-21775"/>
    <s v="Victoria Wilson"/>
    <s v="Corporate"/>
    <s v="United States"/>
    <s v="Medina"/>
    <x v="24"/>
    <n v="44256"/>
    <x v="3"/>
    <s v="TEC-AC-10000109"/>
    <x v="2"/>
    <s v="Accessories"/>
    <s v="Sony Micro Vault Click 16 GB USB 2.0 Flash Drive"/>
    <n v="89.584000000000003"/>
    <n v="2"/>
    <n v="0.2"/>
    <n v="4.4791999999999996"/>
  </r>
  <r>
    <n v="218"/>
    <x v="105"/>
    <x v="98"/>
    <x v="8"/>
    <d v="2018-04-30T00:00:00"/>
    <d v="2016-01-11T00:00:00"/>
    <s v="Standard Class"/>
    <s v="JH-15910"/>
    <s v="Jonathan Howell"/>
    <s v="Consumer"/>
    <s v="United States"/>
    <s v="Los Angeles"/>
    <x v="1"/>
    <n v="90032"/>
    <x v="1"/>
    <s v="OFF-ST-10001328"/>
    <x v="1"/>
    <s v="Storage"/>
    <s v="Personal Filing Tote with Lid, Black/Gray"/>
    <n v="93.06"/>
    <n v="6"/>
    <n v="0"/>
    <n v="26.056799999999999"/>
  </r>
  <r>
    <n v="219"/>
    <x v="105"/>
    <x v="98"/>
    <x v="8"/>
    <d v="2018-04-30T00:00:00"/>
    <d v="2016-01-11T00:00:00"/>
    <s v="Standard Class"/>
    <s v="JH-15910"/>
    <s v="Jonathan Howell"/>
    <s v="Consumer"/>
    <s v="United States"/>
    <s v="Los Angeles"/>
    <x v="1"/>
    <n v="90032"/>
    <x v="1"/>
    <s v="TEC-PH-10002563"/>
    <x v="2"/>
    <s v="Phones"/>
    <s v="Adtran 1202752G1"/>
    <n v="302.37599999999998"/>
    <n v="3"/>
    <n v="0.2"/>
    <n v="22.6782"/>
  </r>
  <r>
    <n v="220"/>
    <x v="106"/>
    <x v="99"/>
    <x v="1"/>
    <d v="2016-12-31T00:00:00"/>
    <d v="2017-03-12T00:00:00"/>
    <s v="First Class"/>
    <s v="JB-15925"/>
    <s v="Joni Blumstein"/>
    <s v="Consumer"/>
    <s v="United States"/>
    <s v="Dublin"/>
    <x v="24"/>
    <n v="43017"/>
    <x v="3"/>
    <s v="OFF-FA-10000585"/>
    <x v="1"/>
    <s v="Fasteners"/>
    <s v="OIC Bulk Pack Metal Binder Clips"/>
    <n v="5.5839999999999996"/>
    <n v="2"/>
    <n v="0.2"/>
    <n v="1.8148"/>
  </r>
  <r>
    <n v="221"/>
    <x v="106"/>
    <x v="99"/>
    <x v="1"/>
    <d v="2016-12-31T00:00:00"/>
    <d v="2017-03-12T00:00:00"/>
    <s v="First Class"/>
    <s v="JB-15925"/>
    <s v="Joni Blumstein"/>
    <s v="Consumer"/>
    <s v="United States"/>
    <s v="Dublin"/>
    <x v="24"/>
    <n v="43017"/>
    <x v="3"/>
    <s v="OFF-PA-10004000"/>
    <x v="1"/>
    <s v="Paper"/>
    <s v="While You Were Out Pads, 50 per Pad, 4 x 5 1/4, Green Cycle"/>
    <n v="22.704000000000001"/>
    <n v="6"/>
    <n v="0.2"/>
    <n v="8.2302"/>
  </r>
  <r>
    <n v="222"/>
    <x v="106"/>
    <x v="99"/>
    <x v="1"/>
    <d v="2016-12-31T00:00:00"/>
    <d v="2017-03-12T00:00:00"/>
    <s v="First Class"/>
    <s v="JB-15925"/>
    <s v="Joni Blumstein"/>
    <s v="Consumer"/>
    <s v="United States"/>
    <s v="Dublin"/>
    <x v="24"/>
    <n v="43017"/>
    <x v="3"/>
    <s v="OFF-BI-10002852"/>
    <x v="1"/>
    <s v="Binders"/>
    <s v="Ibico Standard Transparent Covers"/>
    <n v="19.776"/>
    <n v="4"/>
    <n v="0.7"/>
    <n v="-13.8432"/>
  </r>
  <r>
    <n v="223"/>
    <x v="106"/>
    <x v="99"/>
    <x v="1"/>
    <d v="2016-12-31T00:00:00"/>
    <d v="2017-03-12T00:00:00"/>
    <s v="First Class"/>
    <s v="JB-15925"/>
    <s v="Joni Blumstein"/>
    <s v="Consumer"/>
    <s v="United States"/>
    <s v="Dublin"/>
    <x v="24"/>
    <n v="43017"/>
    <x v="3"/>
    <s v="FUR-FU-10000087"/>
    <x v="0"/>
    <s v="Furnishings"/>
    <s v="Executive Impressions 14&quot; Two-Color Numerals Wall Clock"/>
    <n v="72.703999999999994"/>
    <n v="4"/>
    <n v="0.2"/>
    <n v="19.084800000000001"/>
  </r>
  <r>
    <n v="224"/>
    <x v="106"/>
    <x v="99"/>
    <x v="1"/>
    <d v="2016-12-31T00:00:00"/>
    <d v="2017-03-12T00:00:00"/>
    <s v="First Class"/>
    <s v="JB-15925"/>
    <s v="Joni Blumstein"/>
    <s v="Consumer"/>
    <s v="United States"/>
    <s v="Dublin"/>
    <x v="24"/>
    <n v="43017"/>
    <x v="3"/>
    <s v="TEC-MA-10001148"/>
    <x v="2"/>
    <s v="Machines"/>
    <s v="Swingline SM12-08 MicroCut Jam Free Shredder"/>
    <n v="479.988"/>
    <n v="4"/>
    <n v="0.7"/>
    <n v="-383.99040000000002"/>
  </r>
  <r>
    <n v="225"/>
    <x v="106"/>
    <x v="99"/>
    <x v="1"/>
    <d v="2016-12-31T00:00:00"/>
    <d v="2017-03-12T00:00:00"/>
    <s v="First Class"/>
    <s v="JB-15925"/>
    <s v="Joni Blumstein"/>
    <s v="Consumer"/>
    <s v="United States"/>
    <s v="Dublin"/>
    <x v="24"/>
    <n v="43017"/>
    <x v="3"/>
    <s v="OFF-AR-10001958"/>
    <x v="1"/>
    <s v="Art"/>
    <s v="Stanley Bostitch Contemporary Electric Pencil Sharpeners"/>
    <n v="27.167999999999999"/>
    <n v="2"/>
    <n v="0.2"/>
    <n v="2.7168000000000001"/>
  </r>
  <r>
    <n v="226"/>
    <x v="107"/>
    <x v="100"/>
    <x v="3"/>
    <d v="2015-09-30T00:00:00"/>
    <d v="2016-04-08T00:00:00"/>
    <s v="Standard Class"/>
    <s v="DS-13180"/>
    <s v="David Smith"/>
    <s v="Corporate"/>
    <s v="United States"/>
    <s v="Detroit"/>
    <x v="12"/>
    <n v="48227"/>
    <x v="2"/>
    <s v="OFF-AR-10001026"/>
    <x v="1"/>
    <s v="Art"/>
    <s v="Sanford Uni-Blazer View Highlighters, Chisel Tip, Yellow"/>
    <n v="2.2000000000000002"/>
    <n v="1"/>
    <n v="0"/>
    <n v="0.96799999999999997"/>
  </r>
  <r>
    <n v="227"/>
    <x v="107"/>
    <x v="100"/>
    <x v="3"/>
    <d v="2015-09-30T00:00:00"/>
    <d v="2016-04-08T00:00:00"/>
    <s v="Standard Class"/>
    <s v="DS-13180"/>
    <s v="David Smith"/>
    <s v="Corporate"/>
    <s v="United States"/>
    <s v="Detroit"/>
    <x v="12"/>
    <n v="48227"/>
    <x v="2"/>
    <s v="FUR-TA-10003748"/>
    <x v="0"/>
    <s v="Tables"/>
    <s v="Bevis 36 x 72 Conference Tables"/>
    <n v="622.45000000000005"/>
    <n v="5"/>
    <n v="0"/>
    <n v="136.93899999999999"/>
  </r>
  <r>
    <n v="228"/>
    <x v="107"/>
    <x v="100"/>
    <x v="3"/>
    <d v="2015-09-30T00:00:00"/>
    <d v="2016-04-08T00:00:00"/>
    <s v="Standard Class"/>
    <s v="DS-13180"/>
    <s v="David Smith"/>
    <s v="Corporate"/>
    <s v="United States"/>
    <s v="Detroit"/>
    <x v="12"/>
    <n v="48227"/>
    <x v="2"/>
    <s v="OFF-ST-10002485"/>
    <x v="1"/>
    <s v="Storage"/>
    <s v="Rogers Deluxe File Chest"/>
    <n v="21.98"/>
    <n v="1"/>
    <n v="0"/>
    <n v="0.2198"/>
  </r>
  <r>
    <n v="229"/>
    <x v="108"/>
    <x v="101"/>
    <x v="8"/>
    <d v="2017-04-30T00:00:00"/>
    <d v="2015-04-03T00:00:00"/>
    <s v="Standard Class"/>
    <s v="VD-21670"/>
    <s v="Valerie Dominguez"/>
    <s v="Consumer"/>
    <s v="United States"/>
    <s v="Columbia"/>
    <x v="18"/>
    <n v="38401"/>
    <x v="0"/>
    <s v="FUR-CH-10004860"/>
    <x v="0"/>
    <s v="Chairs"/>
    <s v="Global Low Back Tilter Chair"/>
    <n v="161.56800000000001"/>
    <n v="2"/>
    <n v="0.2"/>
    <n v="-28.2744"/>
  </r>
  <r>
    <n v="230"/>
    <x v="108"/>
    <x v="101"/>
    <x v="8"/>
    <d v="2017-04-30T00:00:00"/>
    <d v="2015-04-03T00:00:00"/>
    <s v="Standard Class"/>
    <s v="VD-21670"/>
    <s v="Valerie Dominguez"/>
    <s v="Consumer"/>
    <s v="United States"/>
    <s v="Columbia"/>
    <x v="18"/>
    <n v="38401"/>
    <x v="0"/>
    <s v="FUR-CH-10004477"/>
    <x v="0"/>
    <s v="Chairs"/>
    <s v="Global Push Button Manager's Chair, Indigo"/>
    <n v="389.69600000000003"/>
    <n v="8"/>
    <n v="0.2"/>
    <n v="43.840800000000002"/>
  </r>
  <r>
    <n v="231"/>
    <x v="109"/>
    <x v="102"/>
    <x v="7"/>
    <d v="2015-01-31T00:00:00"/>
    <d v="2015-05-09T00:00:00"/>
    <s v="Standard Class"/>
    <s v="EA-14035"/>
    <s v="Erin Ashbrook"/>
    <s v="Corporate"/>
    <s v="United States"/>
    <s v="Charlotte"/>
    <x v="3"/>
    <n v="28205"/>
    <x v="0"/>
    <s v="OFF-BI-10001679"/>
    <x v="1"/>
    <s v="Binders"/>
    <s v="GBC Instant Index System for Binding Systems"/>
    <n v="18.648"/>
    <n v="7"/>
    <n v="0.7"/>
    <n v="-12.432"/>
  </r>
  <r>
    <n v="232"/>
    <x v="110"/>
    <x v="103"/>
    <x v="9"/>
    <d v="2017-07-31T00:00:00"/>
    <d v="2017-12-04T00:00:00"/>
    <s v="Standard Class"/>
    <s v="CS-12400"/>
    <s v="Christopher Schild"/>
    <s v="Home Office"/>
    <s v="United States"/>
    <s v="Tampa"/>
    <x v="2"/>
    <n v="33614"/>
    <x v="0"/>
    <s v="FUR-TA-10001705"/>
    <x v="0"/>
    <s v="Tables"/>
    <s v="Bush Advantage Collection Round Conference Table"/>
    <n v="233.86"/>
    <n v="2"/>
    <n v="0.45"/>
    <n v="-102.048"/>
  </r>
  <r>
    <n v="233"/>
    <x v="110"/>
    <x v="103"/>
    <x v="9"/>
    <d v="2017-07-31T00:00:00"/>
    <d v="2017-12-04T00:00:00"/>
    <s v="Standard Class"/>
    <s v="CS-12400"/>
    <s v="Christopher Schild"/>
    <s v="Home Office"/>
    <s v="United States"/>
    <s v="Tampa"/>
    <x v="2"/>
    <n v="33614"/>
    <x v="0"/>
    <s v="FUR-TA-10003473"/>
    <x v="0"/>
    <s v="Tables"/>
    <s v="Bretford Rectangular Conference Table Tops"/>
    <n v="620.61450000000002"/>
    <n v="3"/>
    <n v="0.45"/>
    <n v="-248.2458"/>
  </r>
  <r>
    <n v="234"/>
    <x v="110"/>
    <x v="103"/>
    <x v="9"/>
    <d v="2017-07-31T00:00:00"/>
    <d v="2017-12-04T00:00:00"/>
    <s v="Standard Class"/>
    <s v="CS-12400"/>
    <s v="Christopher Schild"/>
    <s v="Home Office"/>
    <s v="United States"/>
    <s v="Tampa"/>
    <x v="2"/>
    <n v="33614"/>
    <x v="0"/>
    <s v="OFF-BI-10001679"/>
    <x v="1"/>
    <s v="Binders"/>
    <s v="GBC Instant Index System for Binding Systems"/>
    <n v="5.3280000000000003"/>
    <n v="2"/>
    <n v="0.7"/>
    <n v="-3.552"/>
  </r>
  <r>
    <n v="235"/>
    <x v="110"/>
    <x v="103"/>
    <x v="9"/>
    <d v="2017-07-31T00:00:00"/>
    <d v="2017-12-04T00:00:00"/>
    <s v="Standard Class"/>
    <s v="CS-12400"/>
    <s v="Christopher Schild"/>
    <s v="Home Office"/>
    <s v="United States"/>
    <s v="Tampa"/>
    <x v="2"/>
    <n v="33614"/>
    <x v="0"/>
    <s v="FUR-FU-10004017"/>
    <x v="0"/>
    <s v="Furnishings"/>
    <s v="Tenex Contemporary Contur Chairmats for Low and Medium Pile Carpet, Computer, 39&quot; x 49&quot;"/>
    <n v="258.072"/>
    <n v="3"/>
    <n v="0.2"/>
    <n v="0"/>
  </r>
  <r>
    <n v="236"/>
    <x v="110"/>
    <x v="103"/>
    <x v="9"/>
    <d v="2017-07-31T00:00:00"/>
    <d v="2017-12-04T00:00:00"/>
    <s v="Standard Class"/>
    <s v="CS-12400"/>
    <s v="Christopher Schild"/>
    <s v="Home Office"/>
    <s v="United States"/>
    <s v="Tampa"/>
    <x v="2"/>
    <n v="33614"/>
    <x v="0"/>
    <s v="TEC-AC-10003832"/>
    <x v="2"/>
    <s v="Accessories"/>
    <s v="Logitech P710e Mobile Speakerphone"/>
    <n v="617.976"/>
    <n v="3"/>
    <n v="0.2"/>
    <n v="-7.7247000000000003"/>
  </r>
  <r>
    <n v="237"/>
    <x v="111"/>
    <x v="104"/>
    <x v="1"/>
    <d v="2017-12-31T00:00:00"/>
    <d v="2018-04-11T00:00:00"/>
    <s v="Standard Class"/>
    <s v="DB-13120"/>
    <s v="David Bremer"/>
    <s v="Corporate"/>
    <s v="United States"/>
    <s v="Santa Clara"/>
    <x v="1"/>
    <n v="95051"/>
    <x v="1"/>
    <s v="OFF-PA-10002479"/>
    <x v="1"/>
    <s v="Paper"/>
    <s v="Xerox 4200 Series MultiUse Premium Copy Paper (20Lb. and 84 Bright)"/>
    <n v="10.56"/>
    <n v="2"/>
    <n v="0"/>
    <n v="4.7519999999999998"/>
  </r>
  <r>
    <n v="238"/>
    <x v="112"/>
    <x v="30"/>
    <x v="8"/>
    <d v="2016-04-30T00:00:00"/>
    <d v="2016-09-06T00:00:00"/>
    <s v="Second Class"/>
    <s v="KL-16645"/>
    <s v="Ken Lonsdale"/>
    <s v="Consumer"/>
    <s v="United States"/>
    <s v="Chicago"/>
    <x v="10"/>
    <n v="60610"/>
    <x v="2"/>
    <s v="OFF-PA-10003349"/>
    <x v="1"/>
    <s v="Paper"/>
    <s v="Xerox 1957"/>
    <n v="25.92"/>
    <n v="5"/>
    <n v="0.2"/>
    <n v="9.3960000000000008"/>
  </r>
  <r>
    <n v="239"/>
    <x v="112"/>
    <x v="30"/>
    <x v="8"/>
    <d v="2016-04-30T00:00:00"/>
    <d v="2016-09-06T00:00:00"/>
    <s v="Second Class"/>
    <s v="KL-16645"/>
    <s v="Ken Lonsdale"/>
    <s v="Consumer"/>
    <s v="United States"/>
    <s v="Chicago"/>
    <x v="10"/>
    <n v="60610"/>
    <x v="2"/>
    <s v="FUR-FU-10000576"/>
    <x v="0"/>
    <s v="Furnishings"/>
    <s v="Luxo Professional Fluorescent Magnifier Lamp with Clamp-Mount Base"/>
    <n v="419.68"/>
    <n v="5"/>
    <n v="0.6"/>
    <n v="-356.72800000000001"/>
  </r>
  <r>
    <n v="240"/>
    <x v="112"/>
    <x v="30"/>
    <x v="8"/>
    <d v="2016-04-30T00:00:00"/>
    <d v="2016-09-06T00:00:00"/>
    <s v="Second Class"/>
    <s v="KL-16645"/>
    <s v="Ken Lonsdale"/>
    <s v="Consumer"/>
    <s v="United States"/>
    <s v="Chicago"/>
    <x v="10"/>
    <n v="60610"/>
    <x v="2"/>
    <s v="FUR-FU-10004351"/>
    <x v="0"/>
    <s v="Furnishings"/>
    <s v="Staple-based wall hangings"/>
    <n v="11.688000000000001"/>
    <n v="3"/>
    <n v="0.6"/>
    <n v="-4.6752000000000002"/>
  </r>
  <r>
    <n v="241"/>
    <x v="112"/>
    <x v="30"/>
    <x v="8"/>
    <d v="2016-04-30T00:00:00"/>
    <d v="2016-09-06T00:00:00"/>
    <s v="Second Class"/>
    <s v="KL-16645"/>
    <s v="Ken Lonsdale"/>
    <s v="Consumer"/>
    <s v="United States"/>
    <s v="Chicago"/>
    <x v="10"/>
    <n v="60610"/>
    <x v="2"/>
    <s v="TEC-PH-10000011"/>
    <x v="2"/>
    <s v="Phones"/>
    <s v="PureGear Roll-On Screen Protector"/>
    <n v="31.984000000000002"/>
    <n v="2"/>
    <n v="0.2"/>
    <n v="11.1944"/>
  </r>
  <r>
    <n v="242"/>
    <x v="112"/>
    <x v="30"/>
    <x v="8"/>
    <d v="2016-04-30T00:00:00"/>
    <d v="2016-09-06T00:00:00"/>
    <s v="Second Class"/>
    <s v="KL-16645"/>
    <s v="Ken Lonsdale"/>
    <s v="Consumer"/>
    <s v="United States"/>
    <s v="Chicago"/>
    <x v="10"/>
    <n v="60610"/>
    <x v="2"/>
    <s v="FUR-TA-10002607"/>
    <x v="0"/>
    <s v="Tables"/>
    <s v="KI Conference Tables"/>
    <n v="177.22499999999999"/>
    <n v="5"/>
    <n v="0.5"/>
    <n v="-120.51300000000001"/>
  </r>
  <r>
    <n v="243"/>
    <x v="112"/>
    <x v="30"/>
    <x v="8"/>
    <d v="2016-04-30T00:00:00"/>
    <d v="2016-09-06T00:00:00"/>
    <s v="Second Class"/>
    <s v="KL-16645"/>
    <s v="Ken Lonsdale"/>
    <s v="Consumer"/>
    <s v="United States"/>
    <s v="Chicago"/>
    <x v="10"/>
    <n v="60610"/>
    <x v="2"/>
    <s v="FUR-FU-10002505"/>
    <x v="0"/>
    <s v="Furnishings"/>
    <s v="Eldon 100 Class Desk Accessories"/>
    <n v="4.0439999999999996"/>
    <n v="3"/>
    <n v="0.6"/>
    <n v="-2.8308"/>
  </r>
  <r>
    <n v="244"/>
    <x v="112"/>
    <x v="30"/>
    <x v="8"/>
    <d v="2016-04-30T00:00:00"/>
    <d v="2016-09-06T00:00:00"/>
    <s v="Second Class"/>
    <s v="KL-16645"/>
    <s v="Ken Lonsdale"/>
    <s v="Consumer"/>
    <s v="United States"/>
    <s v="Chicago"/>
    <x v="10"/>
    <n v="60610"/>
    <x v="2"/>
    <s v="OFF-AR-10004685"/>
    <x v="1"/>
    <s v="Art"/>
    <s v="Binney &amp; Smith Crayola Metallic Colored Pencils, 8-Color Set"/>
    <n v="7.4080000000000004"/>
    <n v="2"/>
    <n v="0.2"/>
    <n v="1.2038"/>
  </r>
  <r>
    <n v="245"/>
    <x v="113"/>
    <x v="105"/>
    <x v="7"/>
    <d v="2014-01-31T00:00:00"/>
    <d v="2014-06-06T00:00:00"/>
    <s v="Second Class"/>
    <s v="DW-13480"/>
    <s v="Dianna Wilson"/>
    <s v="Home Office"/>
    <s v="United States"/>
    <s v="Lakeville"/>
    <x v="11"/>
    <n v="55044"/>
    <x v="2"/>
    <s v="FUR-CH-10004063"/>
    <x v="0"/>
    <s v="Chairs"/>
    <s v="Global Deluxe High-Back Manager's Chair"/>
    <n v="2001.86"/>
    <n v="7"/>
    <n v="0"/>
    <n v="580.5394"/>
  </r>
  <r>
    <n v="246"/>
    <x v="113"/>
    <x v="105"/>
    <x v="7"/>
    <d v="2014-01-31T00:00:00"/>
    <d v="2014-06-06T00:00:00"/>
    <s v="Second Class"/>
    <s v="DW-13480"/>
    <s v="Dianna Wilson"/>
    <s v="Home Office"/>
    <s v="United States"/>
    <s v="Lakeville"/>
    <x v="11"/>
    <n v="55044"/>
    <x v="2"/>
    <s v="OFF-ST-10002276"/>
    <x v="1"/>
    <s v="Storage"/>
    <s v="Safco Steel Mobile File Cart"/>
    <n v="166.72"/>
    <n v="2"/>
    <n v="0"/>
    <n v="41.68"/>
  </r>
  <r>
    <n v="247"/>
    <x v="113"/>
    <x v="105"/>
    <x v="7"/>
    <d v="2014-01-31T00:00:00"/>
    <d v="2014-06-06T00:00:00"/>
    <s v="Second Class"/>
    <s v="DW-13480"/>
    <s v="Dianna Wilson"/>
    <s v="Home Office"/>
    <s v="United States"/>
    <s v="Lakeville"/>
    <x v="11"/>
    <n v="55044"/>
    <x v="2"/>
    <s v="OFF-PA-10004082"/>
    <x v="1"/>
    <s v="Paper"/>
    <s v="Adams Telephone Message Book w/Frequently-Called Numbers Space, 400 Messages per Book"/>
    <n v="47.88"/>
    <n v="6"/>
    <n v="0"/>
    <n v="23.94"/>
  </r>
  <r>
    <n v="248"/>
    <x v="113"/>
    <x v="105"/>
    <x v="7"/>
    <d v="2014-01-31T00:00:00"/>
    <d v="2014-06-06T00:00:00"/>
    <s v="Second Class"/>
    <s v="DW-13480"/>
    <s v="Dianna Wilson"/>
    <s v="Home Office"/>
    <s v="United States"/>
    <s v="Lakeville"/>
    <x v="11"/>
    <n v="55044"/>
    <x v="2"/>
    <s v="OFF-AP-10002945"/>
    <x v="1"/>
    <s v="Appliances"/>
    <s v="Honeywell Enviracaire Portable HEPA Air Cleaner for 17' x 22' Room"/>
    <n v="1503.25"/>
    <n v="5"/>
    <n v="0"/>
    <n v="496.07249999999999"/>
  </r>
  <r>
    <n v="249"/>
    <x v="113"/>
    <x v="105"/>
    <x v="7"/>
    <d v="2014-01-31T00:00:00"/>
    <d v="2014-06-06T00:00:00"/>
    <s v="Second Class"/>
    <s v="DW-13480"/>
    <s v="Dianna Wilson"/>
    <s v="Home Office"/>
    <s v="United States"/>
    <s v="Lakeville"/>
    <x v="11"/>
    <n v="55044"/>
    <x v="2"/>
    <s v="OFF-PA-10000061"/>
    <x v="1"/>
    <s v="Paper"/>
    <s v="Xerox 205"/>
    <n v="25.92"/>
    <n v="4"/>
    <n v="0"/>
    <n v="12.441599999999999"/>
  </r>
  <r>
    <n v="250"/>
    <x v="114"/>
    <x v="106"/>
    <x v="6"/>
    <d v="2016-10-31T00:00:00"/>
    <d v="2017-03-12T00:00:00"/>
    <s v="Second Class"/>
    <s v="LH-17155"/>
    <s v="Logan Haushalter"/>
    <s v="Consumer"/>
    <s v="United States"/>
    <s v="San Francisco"/>
    <x v="1"/>
    <n v="94109"/>
    <x v="1"/>
    <s v="FUR-CH-10002965"/>
    <x v="0"/>
    <s v="Chairs"/>
    <s v="Global Leather Highback Executive Chair with Pneumatic Height Adjustment, Black"/>
    <n v="321.56799999999998"/>
    <n v="2"/>
    <n v="0.2"/>
    <n v="28.1372"/>
  </r>
  <r>
    <n v="251"/>
    <x v="115"/>
    <x v="107"/>
    <x v="2"/>
    <d v="2016-11-30T00:00:00"/>
    <d v="2017-05-09T00:00:00"/>
    <s v="Standard Class"/>
    <s v="KC-16540"/>
    <s v="Kelly Collister"/>
    <s v="Consumer"/>
    <s v="United States"/>
    <s v="San Diego"/>
    <x v="1"/>
    <n v="92037"/>
    <x v="1"/>
    <s v="OFF-PA-10004569"/>
    <x v="1"/>
    <s v="Paper"/>
    <s v="Wirebound Message Books, Two 4 1/4&quot; x 5&quot; Forms per Page"/>
    <n v="7.61"/>
    <n v="1"/>
    <n v="0"/>
    <n v="3.5767000000000002"/>
  </r>
  <r>
    <n v="252"/>
    <x v="115"/>
    <x v="107"/>
    <x v="2"/>
    <d v="2016-11-30T00:00:00"/>
    <d v="2017-05-09T00:00:00"/>
    <s v="Standard Class"/>
    <s v="KC-16540"/>
    <s v="Kelly Collister"/>
    <s v="Consumer"/>
    <s v="United States"/>
    <s v="San Diego"/>
    <x v="1"/>
    <n v="92037"/>
    <x v="1"/>
    <s v="TEC-AC-10003832"/>
    <x v="2"/>
    <s v="Accessories"/>
    <s v="Logitech P710e Mobile Speakerphone"/>
    <n v="3347.37"/>
    <n v="13"/>
    <n v="0"/>
    <n v="636.00030000000004"/>
  </r>
  <r>
    <n v="253"/>
    <x v="116"/>
    <x v="106"/>
    <x v="6"/>
    <d v="2016-10-31T00:00:00"/>
    <d v="2017-01-12T00:00:00"/>
    <s v="First Class"/>
    <s v="DL-13315"/>
    <s v="Delfina Latchford"/>
    <s v="Consumer"/>
    <s v="United States"/>
    <s v="New York City"/>
    <x v="15"/>
    <n v="10024"/>
    <x v="3"/>
    <s v="OFF-ST-10001228"/>
    <x v="1"/>
    <s v="Storage"/>
    <s v="Fellowes Personal Hanging Folder Files, Navy"/>
    <n v="80.58"/>
    <n v="6"/>
    <n v="0"/>
    <n v="22.5624"/>
  </r>
  <r>
    <n v="254"/>
    <x v="116"/>
    <x v="106"/>
    <x v="6"/>
    <d v="2016-10-31T00:00:00"/>
    <d v="2017-01-12T00:00:00"/>
    <s v="First Class"/>
    <s v="DL-13315"/>
    <s v="Delfina Latchford"/>
    <s v="Consumer"/>
    <s v="United States"/>
    <s v="New York City"/>
    <x v="15"/>
    <n v="10024"/>
    <x v="3"/>
    <s v="OFF-EN-10003296"/>
    <x v="1"/>
    <s v="Envelopes"/>
    <s v="Tyvek Side-Opening Peel &amp; Seel Expanding Envelopes"/>
    <n v="361.92"/>
    <n v="4"/>
    <n v="0"/>
    <n v="162.864"/>
  </r>
  <r>
    <n v="255"/>
    <x v="117"/>
    <x v="75"/>
    <x v="8"/>
    <d v="2017-04-30T00:00:00"/>
    <d v="2015-04-12T00:00:00"/>
    <s v="Standard Class"/>
    <s v="DR-12880"/>
    <s v="Dan Reichenbach"/>
    <s v="Corporate"/>
    <s v="United States"/>
    <s v="Chicago"/>
    <x v="10"/>
    <n v="60623"/>
    <x v="2"/>
    <s v="FUR-FU-10002505"/>
    <x v="0"/>
    <s v="Furnishings"/>
    <s v="Eldon 100 Class Desk Accessories"/>
    <n v="12.132"/>
    <n v="9"/>
    <n v="0.6"/>
    <n v="-8.4923999999999999"/>
  </r>
  <r>
    <n v="256"/>
    <x v="117"/>
    <x v="75"/>
    <x v="8"/>
    <d v="2017-04-30T00:00:00"/>
    <d v="2015-04-12T00:00:00"/>
    <s v="Standard Class"/>
    <s v="DR-12880"/>
    <s v="Dan Reichenbach"/>
    <s v="Corporate"/>
    <s v="United States"/>
    <s v="Chicago"/>
    <x v="10"/>
    <n v="60623"/>
    <x v="2"/>
    <s v="OFF-ST-10004804"/>
    <x v="1"/>
    <s v="Storage"/>
    <s v="Belkin 19&quot; Vented Equipment Shelf, Black"/>
    <n v="82.367999999999995"/>
    <n v="2"/>
    <n v="0.2"/>
    <n v="-19.5624"/>
  </r>
  <r>
    <n v="257"/>
    <x v="117"/>
    <x v="75"/>
    <x v="8"/>
    <d v="2017-04-30T00:00:00"/>
    <d v="2015-04-12T00:00:00"/>
    <s v="Standard Class"/>
    <s v="DR-12880"/>
    <s v="Dan Reichenbach"/>
    <s v="Corporate"/>
    <s v="United States"/>
    <s v="Chicago"/>
    <x v="10"/>
    <n v="60623"/>
    <x v="2"/>
    <s v="OFF-ST-10001590"/>
    <x v="1"/>
    <s v="Storage"/>
    <s v="Tenex Personal Project File with Scoop Front Design, Black"/>
    <n v="53.92"/>
    <n v="5"/>
    <n v="0.2"/>
    <n v="4.0439999999999996"/>
  </r>
  <r>
    <n v="258"/>
    <x v="117"/>
    <x v="75"/>
    <x v="8"/>
    <d v="2017-04-30T00:00:00"/>
    <d v="2015-04-12T00:00:00"/>
    <s v="Standard Class"/>
    <s v="DR-12880"/>
    <s v="Dan Reichenbach"/>
    <s v="Corporate"/>
    <s v="United States"/>
    <s v="Chicago"/>
    <x v="10"/>
    <n v="60623"/>
    <x v="2"/>
    <s v="TEC-PH-10001580"/>
    <x v="2"/>
    <s v="Phones"/>
    <s v="Logitech Mobile Speakerphone P710e - speaker phone"/>
    <n v="647.904"/>
    <n v="6"/>
    <n v="0.2"/>
    <n v="56.691600000000001"/>
  </r>
  <r>
    <n v="259"/>
    <x v="118"/>
    <x v="95"/>
    <x v="7"/>
    <d v="2017-01-31T00:00:00"/>
    <d v="2017-03-12T00:00:00"/>
    <s v="Second Class"/>
    <s v="CC-12670"/>
    <s v="Craig Carreira"/>
    <s v="Consumer"/>
    <s v="United States"/>
    <s v="New York City"/>
    <x v="15"/>
    <n v="10009"/>
    <x v="3"/>
    <s v="TEC-AC-10000290"/>
    <x v="2"/>
    <s v="Accessories"/>
    <s v="Sabrent 4-Port USB 2.0 Hub"/>
    <n v="20.37"/>
    <n v="3"/>
    <n v="0"/>
    <n v="6.9257999999999997"/>
  </r>
  <r>
    <n v="260"/>
    <x v="118"/>
    <x v="95"/>
    <x v="7"/>
    <d v="2017-01-31T00:00:00"/>
    <d v="2017-03-12T00:00:00"/>
    <s v="Second Class"/>
    <s v="CC-12670"/>
    <s v="Craig Carreira"/>
    <s v="Consumer"/>
    <s v="United States"/>
    <s v="New York City"/>
    <x v="15"/>
    <n v="10009"/>
    <x v="3"/>
    <s v="OFF-ST-10002790"/>
    <x v="1"/>
    <s v="Storage"/>
    <s v="Safco Industrial Shelving"/>
    <n v="221.55"/>
    <n v="3"/>
    <n v="0"/>
    <n v="6.6464999999999996"/>
  </r>
  <r>
    <n v="261"/>
    <x v="118"/>
    <x v="95"/>
    <x v="7"/>
    <d v="2017-01-31T00:00:00"/>
    <d v="2017-03-12T00:00:00"/>
    <s v="Second Class"/>
    <s v="CC-12670"/>
    <s v="Craig Carreira"/>
    <s v="Consumer"/>
    <s v="United States"/>
    <s v="New York City"/>
    <x v="15"/>
    <n v="10009"/>
    <x v="3"/>
    <s v="OFF-BI-10003460"/>
    <x v="1"/>
    <s v="Binders"/>
    <s v="Acco 3-Hole Punch"/>
    <n v="17.52"/>
    <n v="5"/>
    <n v="0.2"/>
    <n v="6.1319999999999997"/>
  </r>
  <r>
    <n v="262"/>
    <x v="119"/>
    <x v="23"/>
    <x v="0"/>
    <d v="2017-08-31T00:00:00"/>
    <d v="2017-12-06T00:00:00"/>
    <s v="Standard Class"/>
    <s v="Dl-13600"/>
    <s v="Dorris liebe"/>
    <s v="Corporate"/>
    <s v="United States"/>
    <s v="Pasadena"/>
    <x v="5"/>
    <n v="77506"/>
    <x v="2"/>
    <s v="OFF-AP-10002203"/>
    <x v="1"/>
    <s v="Appliances"/>
    <s v="Eureka Disposable Bags for Sanitaire Vibra Groomer I Upright Vac"/>
    <n v="1.6240000000000001"/>
    <n v="2"/>
    <n v="0.8"/>
    <n v="-4.4660000000000002"/>
  </r>
  <r>
    <n v="263"/>
    <x v="120"/>
    <x v="66"/>
    <x v="9"/>
    <d v="2015-07-31T00:00:00"/>
    <d v="2015-09-09T00:00:00"/>
    <s v="Second Class"/>
    <s v="SB-20290"/>
    <s v="Sean Braxton"/>
    <s v="Corporate"/>
    <s v="United States"/>
    <s v="Houston"/>
    <x v="5"/>
    <n v="77036"/>
    <x v="2"/>
    <s v="TEC-MA-10000822"/>
    <x v="2"/>
    <s v="Machines"/>
    <s v="Lexmark MX611dhe Monochrome Laser Printer"/>
    <n v="3059.982"/>
    <n v="3"/>
    <n v="0.4"/>
    <n v="-509.99700000000001"/>
  </r>
  <r>
    <n v="264"/>
    <x v="120"/>
    <x v="66"/>
    <x v="9"/>
    <d v="2015-07-31T00:00:00"/>
    <d v="2015-09-09T00:00:00"/>
    <s v="Second Class"/>
    <s v="SB-20290"/>
    <s v="Sean Braxton"/>
    <s v="Corporate"/>
    <s v="United States"/>
    <s v="Houston"/>
    <x v="5"/>
    <n v="77036"/>
    <x v="2"/>
    <s v="TEC-MA-10003353"/>
    <x v="2"/>
    <s v="Machines"/>
    <s v="Xerox WorkCentre 6505DN Laser Multifunction Printer"/>
    <n v="2519.9580000000001"/>
    <n v="7"/>
    <n v="0.4"/>
    <n v="-251.9958"/>
  </r>
  <r>
    <n v="265"/>
    <x v="121"/>
    <x v="108"/>
    <x v="10"/>
    <d v="2016-06-30T00:00:00"/>
    <d v="2017-01-06T00:00:00"/>
    <s v="Standard Class"/>
    <s v="RC-19825"/>
    <s v="Roy Collins"/>
    <s v="Consumer"/>
    <s v="United States"/>
    <s v="Chicago"/>
    <x v="10"/>
    <n v="60610"/>
    <x v="2"/>
    <s v="TEC-PH-10001433"/>
    <x v="2"/>
    <s v="Phones"/>
    <s v="Cisco Small Business SPA 502G VoIP phone"/>
    <n v="328.22399999999999"/>
    <n v="4"/>
    <n v="0.2"/>
    <n v="28.7196"/>
  </r>
  <r>
    <n v="266"/>
    <x v="122"/>
    <x v="109"/>
    <x v="6"/>
    <d v="2015-10-31T00:00:00"/>
    <d v="2016-03-11T00:00:00"/>
    <s v="Standard Class"/>
    <s v="AH-10210"/>
    <s v="Alan Hwang"/>
    <s v="Consumer"/>
    <s v="United States"/>
    <s v="Brentwood"/>
    <x v="1"/>
    <n v="94513"/>
    <x v="1"/>
    <s v="TEC-AC-10004469"/>
    <x v="2"/>
    <s v="Accessories"/>
    <s v="Microsoft Sculpt Comfort Mouse"/>
    <n v="79.900000000000006"/>
    <n v="2"/>
    <n v="0"/>
    <n v="35.155999999999999"/>
  </r>
  <r>
    <n v="267"/>
    <x v="123"/>
    <x v="110"/>
    <x v="8"/>
    <d v="2018-04-30T00:00:00"/>
    <d v="2018-08-06T00:00:00"/>
    <s v="Standard Class"/>
    <s v="CB-12535"/>
    <s v="Claudia Bergmann"/>
    <s v="Corporate"/>
    <s v="United States"/>
    <s v="Chapel Hill"/>
    <x v="3"/>
    <n v="27514"/>
    <x v="0"/>
    <s v="OFF-AR-10003602"/>
    <x v="1"/>
    <s v="Art"/>
    <s v="Quartet Omega Colored Chalk, 12/Pack"/>
    <n v="14.016"/>
    <n v="3"/>
    <n v="0.2"/>
    <n v="4.7304000000000004"/>
  </r>
  <r>
    <n v="268"/>
    <x v="124"/>
    <x v="111"/>
    <x v="6"/>
    <d v="2017-10-31T00:00:00"/>
    <d v="2018-04-01T00:00:00"/>
    <s v="Standard Class"/>
    <s v="PG-18895"/>
    <s v="Paul Gonzalez"/>
    <s v="Consumer"/>
    <s v="United States"/>
    <s v="Morristown"/>
    <x v="30"/>
    <n v="7960"/>
    <x v="3"/>
    <s v="OFF-FA-10003472"/>
    <x v="1"/>
    <s v="Fasteners"/>
    <s v="Bagged Rubber Bands"/>
    <n v="7.56"/>
    <n v="6"/>
    <n v="0"/>
    <n v="0.3024"/>
  </r>
  <r>
    <n v="269"/>
    <x v="125"/>
    <x v="34"/>
    <x v="3"/>
    <d v="2017-09-30T00:00:00"/>
    <d v="2018-01-12T00:00:00"/>
    <s v="Standard Class"/>
    <s v="CA-12310"/>
    <s v="Christine Abelman"/>
    <s v="Corporate"/>
    <s v="United States"/>
    <s v="Cincinnati"/>
    <x v="24"/>
    <n v="45231"/>
    <x v="3"/>
    <s v="OFF-ST-10004180"/>
    <x v="1"/>
    <s v="Storage"/>
    <s v="Safco Commercial Shelving"/>
    <n v="37.207999999999998"/>
    <n v="1"/>
    <n v="0.2"/>
    <n v="-7.4416000000000002"/>
  </r>
  <r>
    <n v="270"/>
    <x v="125"/>
    <x v="34"/>
    <x v="3"/>
    <d v="2017-09-30T00:00:00"/>
    <d v="2018-01-12T00:00:00"/>
    <s v="Standard Class"/>
    <s v="CA-12310"/>
    <s v="Christine Abelman"/>
    <s v="Corporate"/>
    <s v="United States"/>
    <s v="Cincinnati"/>
    <x v="24"/>
    <n v="45231"/>
    <x v="3"/>
    <s v="OFF-EN-10004386"/>
    <x v="1"/>
    <s v="Envelopes"/>
    <s v="Recycled Interoffice Envelopes with String and Button Closure, 10 x 13"/>
    <n v="57.576000000000001"/>
    <n v="3"/>
    <n v="0.2"/>
    <n v="21.591000000000001"/>
  </r>
  <r>
    <n v="271"/>
    <x v="126"/>
    <x v="112"/>
    <x v="8"/>
    <d v="2019-04-30T00:00:00"/>
    <d v="2018-02-01T00:00:00"/>
    <s v="Second Class"/>
    <s v="KH-16690"/>
    <s v="Kristen Hastings"/>
    <s v="Corporate"/>
    <s v="United States"/>
    <s v="San Francisco"/>
    <x v="1"/>
    <n v="94110"/>
    <x v="1"/>
    <s v="OFF-ST-10003208"/>
    <x v="1"/>
    <s v="Storage"/>
    <s v="Adjustable Depth Letter/Legal Cart"/>
    <n v="725.84"/>
    <n v="4"/>
    <n v="0"/>
    <n v="210.49359999999999"/>
  </r>
  <r>
    <n v="272"/>
    <x v="127"/>
    <x v="90"/>
    <x v="10"/>
    <d v="2017-06-30T00:00:00"/>
    <d v="2017-07-07T00:00:00"/>
    <s v="First Class"/>
    <s v="HA-14920"/>
    <s v="Helen Andreada"/>
    <s v="Consumer"/>
    <s v="United States"/>
    <s v="San Francisco"/>
    <x v="1"/>
    <n v="94109"/>
    <x v="1"/>
    <s v="TEC-AC-10003628"/>
    <x v="2"/>
    <s v="Accessories"/>
    <s v="Logitech 910-002974 M325 Wireless Mouse for Web Scrolling"/>
    <n v="209.93"/>
    <n v="7"/>
    <n v="0"/>
    <n v="92.369200000000006"/>
  </r>
  <r>
    <n v="273"/>
    <x v="127"/>
    <x v="90"/>
    <x v="10"/>
    <d v="2017-06-30T00:00:00"/>
    <d v="2017-07-07T00:00:00"/>
    <s v="First Class"/>
    <s v="HA-14920"/>
    <s v="Helen Andreada"/>
    <s v="Consumer"/>
    <s v="United States"/>
    <s v="San Francisco"/>
    <x v="1"/>
    <n v="94109"/>
    <x v="1"/>
    <s v="FUR-FU-10003274"/>
    <x v="0"/>
    <s v="Furnishings"/>
    <s v="Regeneration Desk Collection"/>
    <n v="5.28"/>
    <n v="3"/>
    <n v="0"/>
    <n v="2.3231999999999999"/>
  </r>
  <r>
    <n v="274"/>
    <x v="127"/>
    <x v="90"/>
    <x v="10"/>
    <d v="2017-06-30T00:00:00"/>
    <d v="2017-07-07T00:00:00"/>
    <s v="First Class"/>
    <s v="HA-14920"/>
    <s v="Helen Andreada"/>
    <s v="Consumer"/>
    <s v="United States"/>
    <s v="San Francisco"/>
    <x v="1"/>
    <n v="94109"/>
    <x v="1"/>
    <s v="OFF-BI-10002557"/>
    <x v="1"/>
    <s v="Binders"/>
    <s v="Presstex Flexible Ring Binders"/>
    <n v="10.92"/>
    <n v="3"/>
    <n v="0.2"/>
    <n v="4.0949999999999998"/>
  </r>
  <r>
    <n v="275"/>
    <x v="128"/>
    <x v="113"/>
    <x v="8"/>
    <d v="2018-04-30T00:00:00"/>
    <d v="2018-05-09T00:00:00"/>
    <s v="First Class"/>
    <s v="BB-10990"/>
    <s v="Barry Blumstein"/>
    <s v="Corporate"/>
    <s v="United States"/>
    <s v="Inglewood"/>
    <x v="1"/>
    <n v="90301"/>
    <x v="1"/>
    <s v="OFF-PA-10002615"/>
    <x v="1"/>
    <s v="Paper"/>
    <s v="Ampad Gold Fibre Wirebound Steno Books, 6&quot; x 9&quot;, Gregg Ruled"/>
    <n v="8.82"/>
    <n v="2"/>
    <n v="0"/>
    <n v="4.0571999999999999"/>
  </r>
  <r>
    <n v="276"/>
    <x v="128"/>
    <x v="113"/>
    <x v="8"/>
    <d v="2018-04-30T00:00:00"/>
    <d v="2018-05-09T00:00:00"/>
    <s v="First Class"/>
    <s v="BB-10990"/>
    <s v="Barry Blumstein"/>
    <s v="Corporate"/>
    <s v="United States"/>
    <s v="Inglewood"/>
    <x v="1"/>
    <n v="90301"/>
    <x v="1"/>
    <s v="OFF-AR-10001427"/>
    <x v="1"/>
    <s v="Art"/>
    <s v="Newell 330"/>
    <n v="5.98"/>
    <n v="1"/>
    <n v="0"/>
    <n v="1.5548"/>
  </r>
  <r>
    <n v="277"/>
    <x v="129"/>
    <x v="114"/>
    <x v="7"/>
    <d v="2018-01-31T00:00:00"/>
    <d v="2018-05-10T00:00:00"/>
    <s v="Standard Class"/>
    <s v="AG-10495"/>
    <s v="Andrew Gjertsen"/>
    <s v="Corporate"/>
    <s v="United States"/>
    <s v="Philadelphia"/>
    <x v="9"/>
    <n v="19140"/>
    <x v="3"/>
    <s v="OFF-PA-10000673"/>
    <x v="1"/>
    <s v="Paper"/>
    <s v="Post-it “Important Message” Note Pad, Neon Colors, 50 Sheets/Pad"/>
    <n v="11.648"/>
    <n v="2"/>
    <n v="0.2"/>
    <n v="4.0768000000000004"/>
  </r>
  <r>
    <n v="278"/>
    <x v="129"/>
    <x v="114"/>
    <x v="7"/>
    <d v="2018-01-31T00:00:00"/>
    <d v="2018-05-10T00:00:00"/>
    <s v="Standard Class"/>
    <s v="AG-10495"/>
    <s v="Andrew Gjertsen"/>
    <s v="Corporate"/>
    <s v="United States"/>
    <s v="Philadelphia"/>
    <x v="9"/>
    <n v="19140"/>
    <x v="3"/>
    <s v="OFF-PA-10004470"/>
    <x v="1"/>
    <s v="Paper"/>
    <s v="Adams Write n' Stick Phone Message Book, 11&quot; X 5 1/4&quot;, 200 Messages"/>
    <n v="18.175999999999998"/>
    <n v="4"/>
    <n v="0.2"/>
    <n v="5.9071999999999996"/>
  </r>
  <r>
    <n v="279"/>
    <x v="129"/>
    <x v="114"/>
    <x v="7"/>
    <d v="2018-01-31T00:00:00"/>
    <d v="2018-05-10T00:00:00"/>
    <s v="Standard Class"/>
    <s v="AG-10495"/>
    <s v="Andrew Gjertsen"/>
    <s v="Corporate"/>
    <s v="United States"/>
    <s v="Philadelphia"/>
    <x v="9"/>
    <n v="19140"/>
    <x v="3"/>
    <s v="OFF-ST-10000876"/>
    <x v="1"/>
    <s v="Storage"/>
    <s v="Eldon Simplefile Box Office"/>
    <n v="59.712000000000003"/>
    <n v="6"/>
    <n v="0.2"/>
    <n v="5.9711999999999996"/>
  </r>
  <r>
    <n v="280"/>
    <x v="129"/>
    <x v="114"/>
    <x v="7"/>
    <d v="2018-01-31T00:00:00"/>
    <d v="2018-05-10T00:00:00"/>
    <s v="Standard Class"/>
    <s v="AG-10495"/>
    <s v="Andrew Gjertsen"/>
    <s v="Corporate"/>
    <s v="United States"/>
    <s v="Philadelphia"/>
    <x v="9"/>
    <n v="19140"/>
    <x v="3"/>
    <s v="OFF-LA-10002043"/>
    <x v="1"/>
    <s v="Labels"/>
    <s v="Avery 489"/>
    <n v="24.84"/>
    <n v="3"/>
    <n v="0.2"/>
    <n v="8.6940000000000008"/>
  </r>
  <r>
    <n v="281"/>
    <x v="130"/>
    <x v="115"/>
    <x v="11"/>
    <d v="2017-02-28T00:00:00"/>
    <d v="2017-04-09T00:00:00"/>
    <s v="Second Class"/>
    <s v="SC-20725"/>
    <s v="Steven Cartwright"/>
    <s v="Consumer"/>
    <s v="United States"/>
    <s v="Houston"/>
    <x v="5"/>
    <n v="77070"/>
    <x v="2"/>
    <s v="OFF-BI-10004967"/>
    <x v="1"/>
    <s v="Binders"/>
    <s v="Round Ring Binders"/>
    <n v="2.08"/>
    <n v="5"/>
    <n v="0.8"/>
    <n v="-3.4319999999999999"/>
  </r>
  <r>
    <n v="282"/>
    <x v="130"/>
    <x v="115"/>
    <x v="11"/>
    <d v="2017-02-28T00:00:00"/>
    <d v="2017-04-09T00:00:00"/>
    <s v="Second Class"/>
    <s v="SC-20725"/>
    <s v="Steven Cartwright"/>
    <s v="Consumer"/>
    <s v="United States"/>
    <s v="Houston"/>
    <x v="5"/>
    <n v="77070"/>
    <x v="2"/>
    <s v="TEC-PH-10001760"/>
    <x v="2"/>
    <s v="Phones"/>
    <s v="Bose SoundLink Bluetooth Speaker"/>
    <n v="1114.4000000000001"/>
    <n v="7"/>
    <n v="0.2"/>
    <n v="376.11"/>
  </r>
  <r>
    <n v="283"/>
    <x v="131"/>
    <x v="116"/>
    <x v="11"/>
    <d v="2015-02-28T00:00:00"/>
    <d v="2015-06-11T00:00:00"/>
    <s v="Standard Class"/>
    <s v="JO-15280"/>
    <s v="Jas O'Carroll"/>
    <s v="Consumer"/>
    <s v="United States"/>
    <s v="Los Angeles"/>
    <x v="1"/>
    <n v="90004"/>
    <x v="1"/>
    <s v="FUR-TA-10002903"/>
    <x v="0"/>
    <s v="Tables"/>
    <s v="Bevis Round Bullnose 29&quot; High Table Top"/>
    <n v="1038.8399999999999"/>
    <n v="5"/>
    <n v="0.2"/>
    <n v="51.942"/>
  </r>
  <r>
    <n v="284"/>
    <x v="132"/>
    <x v="115"/>
    <x v="11"/>
    <d v="2017-02-28T00:00:00"/>
    <d v="2015-02-10T00:00:00"/>
    <s v="Standard Class"/>
    <s v="TB-21520"/>
    <s v="Tracy Blumstein"/>
    <s v="Consumer"/>
    <s v="United States"/>
    <s v="Portland"/>
    <x v="21"/>
    <n v="97206"/>
    <x v="1"/>
    <s v="OFF-PA-10000474"/>
    <x v="1"/>
    <s v="Paper"/>
    <s v="Easy-staple paper"/>
    <n v="141.76"/>
    <n v="5"/>
    <n v="0.2"/>
    <n v="47.844000000000001"/>
  </r>
  <r>
    <n v="285"/>
    <x v="132"/>
    <x v="115"/>
    <x v="11"/>
    <d v="2017-02-28T00:00:00"/>
    <d v="2015-02-10T00:00:00"/>
    <s v="Standard Class"/>
    <s v="TB-21520"/>
    <s v="Tracy Blumstein"/>
    <s v="Consumer"/>
    <s v="United States"/>
    <s v="Portland"/>
    <x v="21"/>
    <n v="97206"/>
    <x v="1"/>
    <s v="TEC-AC-10001956"/>
    <x v="2"/>
    <s v="Accessories"/>
    <s v="Microsoft Arc Touch Mouse"/>
    <n v="239.8"/>
    <n v="5"/>
    <n v="0.2"/>
    <n v="47.96"/>
  </r>
  <r>
    <n v="286"/>
    <x v="132"/>
    <x v="115"/>
    <x v="11"/>
    <d v="2017-02-28T00:00:00"/>
    <d v="2015-02-10T00:00:00"/>
    <s v="Standard Class"/>
    <s v="TB-21520"/>
    <s v="Tracy Blumstein"/>
    <s v="Consumer"/>
    <s v="United States"/>
    <s v="Portland"/>
    <x v="21"/>
    <n v="97206"/>
    <x v="1"/>
    <s v="OFF-PA-10004100"/>
    <x v="1"/>
    <s v="Paper"/>
    <s v="Xerox 216"/>
    <n v="31.103999999999999"/>
    <n v="6"/>
    <n v="0.2"/>
    <n v="10.8864"/>
  </r>
  <r>
    <n v="287"/>
    <x v="133"/>
    <x v="117"/>
    <x v="10"/>
    <d v="2017-06-30T00:00:00"/>
    <d v="2017-08-12T00:00:00"/>
    <s v="Second Class"/>
    <s v="AH-10195"/>
    <s v="Alan Haines"/>
    <s v="Corporate"/>
    <s v="United States"/>
    <s v="Tamarac"/>
    <x v="2"/>
    <n v="33319"/>
    <x v="0"/>
    <s v="OFF-BI-10000778"/>
    <x v="1"/>
    <s v="Binders"/>
    <s v="GBC VeloBinder Electric Binding Machine"/>
    <n v="254.05799999999999"/>
    <n v="7"/>
    <n v="0.7"/>
    <n v="-169.37200000000001"/>
  </r>
  <r>
    <n v="288"/>
    <x v="133"/>
    <x v="117"/>
    <x v="10"/>
    <d v="2017-06-30T00:00:00"/>
    <d v="2017-08-12T00:00:00"/>
    <s v="Second Class"/>
    <s v="AH-10195"/>
    <s v="Alan Haines"/>
    <s v="Corporate"/>
    <s v="United States"/>
    <s v="Tamarac"/>
    <x v="2"/>
    <n v="33319"/>
    <x v="0"/>
    <s v="OFF-AP-10002684"/>
    <x v="1"/>
    <s v="Appliances"/>
    <s v="Acco 7-Outlet Masterpiece Power Center, Wihtout Fax/Phone Line Protection"/>
    <n v="194.52799999999999"/>
    <n v="2"/>
    <n v="0.2"/>
    <n v="24.315999999999999"/>
  </r>
  <r>
    <n v="289"/>
    <x v="133"/>
    <x v="117"/>
    <x v="10"/>
    <d v="2017-06-30T00:00:00"/>
    <d v="2017-08-12T00:00:00"/>
    <s v="Second Class"/>
    <s v="AH-10195"/>
    <s v="Alan Haines"/>
    <s v="Corporate"/>
    <s v="United States"/>
    <s v="Tamarac"/>
    <x v="2"/>
    <n v="33319"/>
    <x v="0"/>
    <s v="OFF-SU-10000646"/>
    <x v="1"/>
    <s v="Supplies"/>
    <s v="Premier Automatic Letter Opener"/>
    <n v="961.48"/>
    <n v="5"/>
    <n v="0.2"/>
    <n v="-204.31450000000001"/>
  </r>
  <r>
    <n v="290"/>
    <x v="134"/>
    <x v="72"/>
    <x v="0"/>
    <d v="2017-08-31T00:00:00"/>
    <d v="2017-12-11T00:00:00"/>
    <s v="Second Class"/>
    <s v="NZ-18565"/>
    <s v="Nick Zandusky"/>
    <s v="Home Office"/>
    <s v="United States"/>
    <s v="Columbus"/>
    <x v="24"/>
    <n v="43229"/>
    <x v="3"/>
    <s v="OFF-FA-10002983"/>
    <x v="1"/>
    <s v="Fasteners"/>
    <s v="Advantus SlideClip Paper Clips"/>
    <n v="19.096"/>
    <n v="7"/>
    <n v="0.2"/>
    <n v="6.6836000000000002"/>
  </r>
  <r>
    <n v="291"/>
    <x v="134"/>
    <x v="72"/>
    <x v="0"/>
    <d v="2017-08-31T00:00:00"/>
    <d v="2017-12-11T00:00:00"/>
    <s v="Second Class"/>
    <s v="NZ-18565"/>
    <s v="Nick Zandusky"/>
    <s v="Home Office"/>
    <s v="United States"/>
    <s v="Columbus"/>
    <x v="24"/>
    <n v="43229"/>
    <x v="3"/>
    <s v="OFF-LA-10004689"/>
    <x v="1"/>
    <s v="Labels"/>
    <s v="Avery 512"/>
    <n v="18.495999999999999"/>
    <n v="8"/>
    <n v="0.2"/>
    <n v="6.2423999999999999"/>
  </r>
  <r>
    <n v="292"/>
    <x v="134"/>
    <x v="72"/>
    <x v="0"/>
    <d v="2017-08-31T00:00:00"/>
    <d v="2017-12-11T00:00:00"/>
    <s v="Second Class"/>
    <s v="NZ-18565"/>
    <s v="Nick Zandusky"/>
    <s v="Home Office"/>
    <s v="United States"/>
    <s v="Columbus"/>
    <x v="24"/>
    <n v="43229"/>
    <x v="3"/>
    <s v="TEC-AC-10002001"/>
    <x v="2"/>
    <s v="Accessories"/>
    <s v="Logitech Wireless Gaming Headset G930"/>
    <n v="255.98400000000001"/>
    <n v="2"/>
    <n v="0.2"/>
    <n v="54.396599999999999"/>
  </r>
  <r>
    <n v="293"/>
    <x v="134"/>
    <x v="72"/>
    <x v="0"/>
    <d v="2017-08-31T00:00:00"/>
    <d v="2017-12-11T00:00:00"/>
    <s v="Second Class"/>
    <s v="NZ-18565"/>
    <s v="Nick Zandusky"/>
    <s v="Home Office"/>
    <s v="United States"/>
    <s v="Columbus"/>
    <x v="24"/>
    <n v="43229"/>
    <x v="3"/>
    <s v="FUR-BO-10004709"/>
    <x v="0"/>
    <s v="Bookcases"/>
    <s v="Bush Westfield Collection Bookcases, Medium Cherry Finish"/>
    <n v="86.97"/>
    <n v="3"/>
    <n v="0.5"/>
    <n v="-48.703200000000002"/>
  </r>
  <r>
    <n v="294"/>
    <x v="135"/>
    <x v="58"/>
    <x v="11"/>
    <d v="2016-02-29T00:00:00"/>
    <d v="2016-04-12T00:00:00"/>
    <s v="First Class"/>
    <s v="KL-16555"/>
    <s v="Kelly Lampkin"/>
    <s v="Corporate"/>
    <s v="United States"/>
    <s v="Colorado Springs"/>
    <x v="22"/>
    <n v="80906"/>
    <x v="1"/>
    <s v="FUR-FU-10004091"/>
    <x v="0"/>
    <s v="Furnishings"/>
    <s v="Howard Miller 13&quot; Diameter Goldtone Round Wall Clock"/>
    <n v="300.416"/>
    <n v="8"/>
    <n v="0.2"/>
    <n v="78.859200000000001"/>
  </r>
  <r>
    <n v="295"/>
    <x v="135"/>
    <x v="58"/>
    <x v="11"/>
    <d v="2016-02-29T00:00:00"/>
    <d v="2016-04-12T00:00:00"/>
    <s v="First Class"/>
    <s v="KL-16555"/>
    <s v="Kelly Lampkin"/>
    <s v="Corporate"/>
    <s v="United States"/>
    <s v="Colorado Springs"/>
    <x v="22"/>
    <n v="80906"/>
    <x v="1"/>
    <s v="FUR-CH-10001891"/>
    <x v="0"/>
    <s v="Chairs"/>
    <s v="Global Deluxe Office Fabric Chairs"/>
    <n v="230.352"/>
    <n v="3"/>
    <n v="0.2"/>
    <n v="20.155799999999999"/>
  </r>
  <r>
    <n v="296"/>
    <x v="135"/>
    <x v="58"/>
    <x v="11"/>
    <d v="2016-02-29T00:00:00"/>
    <d v="2016-04-12T00:00:00"/>
    <s v="First Class"/>
    <s v="KL-16555"/>
    <s v="Kelly Lampkin"/>
    <s v="Corporate"/>
    <s v="United States"/>
    <s v="Colorado Springs"/>
    <x v="22"/>
    <n v="80906"/>
    <x v="1"/>
    <s v="FUR-FU-10002918"/>
    <x v="0"/>
    <s v="Furnishings"/>
    <s v="Eldon ClusterMat Chair Mat with Cordless Antistatic Protection"/>
    <n v="218.352"/>
    <n v="3"/>
    <n v="0.2"/>
    <n v="-24.564599999999999"/>
  </r>
  <r>
    <n v="297"/>
    <x v="135"/>
    <x v="58"/>
    <x v="11"/>
    <d v="2016-02-29T00:00:00"/>
    <d v="2016-04-12T00:00:00"/>
    <s v="First Class"/>
    <s v="KL-16555"/>
    <s v="Kelly Lampkin"/>
    <s v="Corporate"/>
    <s v="United States"/>
    <s v="Colorado Springs"/>
    <x v="22"/>
    <n v="80906"/>
    <x v="1"/>
    <s v="OFF-BI-10004593"/>
    <x v="1"/>
    <s v="Binders"/>
    <s v="Ibico Laser Imprintable Binding System Covers"/>
    <n v="78.599999999999994"/>
    <n v="5"/>
    <n v="0.7"/>
    <n v="-62.88"/>
  </r>
  <r>
    <n v="298"/>
    <x v="135"/>
    <x v="58"/>
    <x v="11"/>
    <d v="2016-02-29T00:00:00"/>
    <d v="2016-04-12T00:00:00"/>
    <s v="First Class"/>
    <s v="KL-16555"/>
    <s v="Kelly Lampkin"/>
    <s v="Corporate"/>
    <s v="United States"/>
    <s v="Colorado Springs"/>
    <x v="22"/>
    <n v="80906"/>
    <x v="1"/>
    <s v="OFF-FA-10004854"/>
    <x v="1"/>
    <s v="Fasteners"/>
    <s v="Vinyl Coated Wire Paper Clips in Organizer Box, 800/Box"/>
    <n v="27.552"/>
    <n v="3"/>
    <n v="0.2"/>
    <n v="9.2988"/>
  </r>
  <r>
    <n v="299"/>
    <x v="136"/>
    <x v="98"/>
    <x v="8"/>
    <d v="2018-04-30T00:00:00"/>
    <d v="2016-03-11T00:00:00"/>
    <s v="Standard Class"/>
    <s v="JD-15895"/>
    <s v="Jonathan Doherty"/>
    <s v="Corporate"/>
    <s v="United States"/>
    <s v="Belleville"/>
    <x v="30"/>
    <n v="7109"/>
    <x v="3"/>
    <s v="OFF-PA-10002105"/>
    <x v="1"/>
    <s v="Paper"/>
    <s v="Xerox 223"/>
    <n v="32.4"/>
    <n v="5"/>
    <n v="0"/>
    <n v="15.552"/>
  </r>
  <r>
    <n v="300"/>
    <x v="136"/>
    <x v="98"/>
    <x v="8"/>
    <d v="2018-04-30T00:00:00"/>
    <d v="2016-03-11T00:00:00"/>
    <s v="Standard Class"/>
    <s v="JD-15895"/>
    <s v="Jonathan Doherty"/>
    <s v="Corporate"/>
    <s v="United States"/>
    <s v="Belleville"/>
    <x v="30"/>
    <n v="7109"/>
    <x v="3"/>
    <s v="OFF-ST-10002756"/>
    <x v="1"/>
    <s v="Storage"/>
    <s v="Tennsco Stur-D-Stor Boltless Shelving, 5 Shelves, 24&quot; Deep, Sand"/>
    <n v="1082.48"/>
    <n v="8"/>
    <n v="0"/>
    <n v="10.8248"/>
  </r>
  <r>
    <n v="301"/>
    <x v="136"/>
    <x v="98"/>
    <x v="8"/>
    <d v="2018-04-30T00:00:00"/>
    <d v="2016-03-11T00:00:00"/>
    <s v="Standard Class"/>
    <s v="JD-15895"/>
    <s v="Jonathan Doherty"/>
    <s v="Corporate"/>
    <s v="United States"/>
    <s v="Belleville"/>
    <x v="30"/>
    <n v="7109"/>
    <x v="3"/>
    <s v="OFF-PA-10004243"/>
    <x v="1"/>
    <s v="Paper"/>
    <s v="Xerox 1939"/>
    <n v="56.91"/>
    <n v="3"/>
    <n v="0"/>
    <n v="27.316800000000001"/>
  </r>
  <r>
    <n v="302"/>
    <x v="136"/>
    <x v="98"/>
    <x v="8"/>
    <d v="2018-04-30T00:00:00"/>
    <d v="2016-03-11T00:00:00"/>
    <s v="Standard Class"/>
    <s v="JD-15895"/>
    <s v="Jonathan Doherty"/>
    <s v="Corporate"/>
    <s v="United States"/>
    <s v="Belleville"/>
    <x v="30"/>
    <n v="7109"/>
    <x v="3"/>
    <s v="FUR-FU-10001861"/>
    <x v="0"/>
    <s v="Furnishings"/>
    <s v="Floodlight Indoor Halogen Bulbs, 1 Bulb per Pack, 60 Watts"/>
    <n v="77.599999999999994"/>
    <n v="4"/>
    <n v="0"/>
    <n v="38.024000000000001"/>
  </r>
  <r>
    <n v="303"/>
    <x v="136"/>
    <x v="98"/>
    <x v="8"/>
    <d v="2018-04-30T00:00:00"/>
    <d v="2016-03-11T00:00:00"/>
    <s v="Standard Class"/>
    <s v="JD-15895"/>
    <s v="Jonathan Doherty"/>
    <s v="Corporate"/>
    <s v="United States"/>
    <s v="Belleville"/>
    <x v="30"/>
    <n v="7109"/>
    <x v="3"/>
    <s v="OFF-BI-10002706"/>
    <x v="1"/>
    <s v="Binders"/>
    <s v="Avery Premier Heavy-Duty Binder with Round Locking Rings"/>
    <n v="14.28"/>
    <n v="1"/>
    <n v="0"/>
    <n v="6.5688000000000004"/>
  </r>
  <r>
    <n v="304"/>
    <x v="137"/>
    <x v="118"/>
    <x v="9"/>
    <d v="2018-07-31T00:00:00"/>
    <d v="2018-11-11T00:00:00"/>
    <s v="Standard Class"/>
    <s v="JH-15910"/>
    <s v="Jonathan Howell"/>
    <s v="Consumer"/>
    <s v="United States"/>
    <s v="Chicago"/>
    <x v="10"/>
    <n v="60623"/>
    <x v="2"/>
    <s v="FUR-TA-10002533"/>
    <x v="0"/>
    <s v="Tables"/>
    <s v="BPI Conference Tables"/>
    <n v="219.07499999999999"/>
    <n v="3"/>
    <n v="0.5"/>
    <n v="-131.44499999999999"/>
  </r>
  <r>
    <n v="305"/>
    <x v="138"/>
    <x v="119"/>
    <x v="8"/>
    <d v="2015-04-30T00:00:00"/>
    <d v="2015-09-05T00:00:00"/>
    <s v="Second Class"/>
    <s v="AS-10225"/>
    <s v="Alan Schoenberger"/>
    <s v="Corporate"/>
    <s v="United States"/>
    <s v="New York City"/>
    <x v="15"/>
    <n v="10024"/>
    <x v="3"/>
    <s v="FUR-FU-10002671"/>
    <x v="0"/>
    <s v="Furnishings"/>
    <s v="Electrix 20W Halogen Replacement Bulb for Zoom-In Desk Lamp"/>
    <n v="26.8"/>
    <n v="2"/>
    <n v="0"/>
    <n v="12.864000000000001"/>
  </r>
  <r>
    <n v="306"/>
    <x v="139"/>
    <x v="120"/>
    <x v="10"/>
    <d v="2016-06-30T00:00:00"/>
    <d v="2015-04-01T00:00:00"/>
    <s v="Standard Class"/>
    <s v="KB-16600"/>
    <s v="Ken Brennan"/>
    <s v="Corporate"/>
    <s v="United States"/>
    <s v="Taylor"/>
    <x v="12"/>
    <n v="48180"/>
    <x v="2"/>
    <s v="OFF-AR-10003651"/>
    <x v="1"/>
    <s v="Art"/>
    <s v="Newell 350"/>
    <n v="9.84"/>
    <n v="3"/>
    <n v="0"/>
    <n v="2.8536000000000001"/>
  </r>
  <r>
    <n v="307"/>
    <x v="140"/>
    <x v="105"/>
    <x v="7"/>
    <d v="2014-01-31T00:00:00"/>
    <d v="2014-06-06T00:00:00"/>
    <s v="Standard Class"/>
    <s v="CR-12625"/>
    <s v="Corey Roper"/>
    <s v="Home Office"/>
    <s v="United States"/>
    <s v="Lakewood"/>
    <x v="30"/>
    <n v="8701"/>
    <x v="3"/>
    <s v="OFF-BI-10001072"/>
    <x v="1"/>
    <s v="Binders"/>
    <s v="GBC Clear Cover, 8-1/2 x 11, unpunched, 25 covers per pack"/>
    <n v="45.48"/>
    <n v="3"/>
    <n v="0"/>
    <n v="20.9208"/>
  </r>
  <r>
    <n v="308"/>
    <x v="140"/>
    <x v="105"/>
    <x v="7"/>
    <d v="2014-01-31T00:00:00"/>
    <d v="2014-06-06T00:00:00"/>
    <s v="Standard Class"/>
    <s v="CR-12625"/>
    <s v="Corey Roper"/>
    <s v="Home Office"/>
    <s v="United States"/>
    <s v="Lakewood"/>
    <x v="30"/>
    <n v="8701"/>
    <x v="3"/>
    <s v="OFF-AR-10002135"/>
    <x v="1"/>
    <s v="Art"/>
    <s v="Boston Heavy-Duty Trimline Electric Pencil Sharpeners"/>
    <n v="289.2"/>
    <n v="6"/>
    <n v="0"/>
    <n v="83.867999999999995"/>
  </r>
  <r>
    <n v="309"/>
    <x v="141"/>
    <x v="4"/>
    <x v="4"/>
    <d v="2018-03-31T00:00:00"/>
    <d v="2018-05-04T00:00:00"/>
    <s v="First Class"/>
    <s v="SH-20395"/>
    <s v="Shahid Hopkins"/>
    <s v="Consumer"/>
    <s v="United States"/>
    <s v="Arlington"/>
    <x v="17"/>
    <n v="22204"/>
    <x v="0"/>
    <s v="OFF-AR-10002804"/>
    <x v="1"/>
    <s v="Art"/>
    <s v="Faber Castell Col-Erase Pencils"/>
    <n v="4.8899999999999997"/>
    <n v="1"/>
    <n v="0"/>
    <n v="2.0049000000000001"/>
  </r>
  <r>
    <n v="310"/>
    <x v="142"/>
    <x v="121"/>
    <x v="1"/>
    <d v="2016-12-31T00:00:00"/>
    <d v="2017-02-09T00:00:00"/>
    <s v="Second Class"/>
    <s v="BP-11185"/>
    <s v="Ben Peterman"/>
    <s v="Corporate"/>
    <s v="United States"/>
    <s v="Arvada"/>
    <x v="22"/>
    <n v="80004"/>
    <x v="1"/>
    <s v="FUR-FU-10001918"/>
    <x v="0"/>
    <s v="Furnishings"/>
    <s v="C-Line Cubicle Keepers Polyproplyene Holder With Velcro Backings"/>
    <n v="15.135999999999999"/>
    <n v="4"/>
    <n v="0.2"/>
    <n v="3.5948000000000002"/>
  </r>
  <r>
    <n v="311"/>
    <x v="142"/>
    <x v="121"/>
    <x v="1"/>
    <d v="2016-12-31T00:00:00"/>
    <d v="2017-02-09T00:00:00"/>
    <s v="Second Class"/>
    <s v="BP-11185"/>
    <s v="Ben Peterman"/>
    <s v="Corporate"/>
    <s v="United States"/>
    <s v="Arvada"/>
    <x v="22"/>
    <n v="80004"/>
    <x v="1"/>
    <s v="FUR-CH-10004086"/>
    <x v="0"/>
    <s v="Chairs"/>
    <s v="Hon 4070 Series Pagoda Armless Upholstered Stacking Chairs"/>
    <n v="466.76799999999997"/>
    <n v="2"/>
    <n v="0.2"/>
    <n v="52.511400000000002"/>
  </r>
  <r>
    <n v="312"/>
    <x v="142"/>
    <x v="121"/>
    <x v="1"/>
    <d v="2016-12-31T00:00:00"/>
    <d v="2017-02-09T00:00:00"/>
    <s v="Second Class"/>
    <s v="BP-11185"/>
    <s v="Ben Peterman"/>
    <s v="Corporate"/>
    <s v="United States"/>
    <s v="Arvada"/>
    <x v="22"/>
    <n v="80004"/>
    <x v="1"/>
    <s v="FUR-FU-10001756"/>
    <x v="0"/>
    <s v="Furnishings"/>
    <s v="Eldon Expressions Desk Accessory, Wood Photo Frame, Mahogany"/>
    <n v="15.231999999999999"/>
    <n v="1"/>
    <n v="0.2"/>
    <n v="1.7136"/>
  </r>
  <r>
    <n v="313"/>
    <x v="142"/>
    <x v="121"/>
    <x v="1"/>
    <d v="2016-12-31T00:00:00"/>
    <d v="2017-02-09T00:00:00"/>
    <s v="Second Class"/>
    <s v="BP-11185"/>
    <s v="Ben Peterman"/>
    <s v="Corporate"/>
    <s v="United States"/>
    <s v="Arvada"/>
    <x v="22"/>
    <n v="80004"/>
    <x v="1"/>
    <s v="OFF-LA-10000634"/>
    <x v="1"/>
    <s v="Labels"/>
    <s v="Avery 509"/>
    <n v="6.2640000000000002"/>
    <n v="3"/>
    <n v="0.2"/>
    <n v="2.0358000000000001"/>
  </r>
  <r>
    <n v="314"/>
    <x v="143"/>
    <x v="122"/>
    <x v="4"/>
    <d v="2016-03-31T00:00:00"/>
    <d v="2014-03-10T00:00:00"/>
    <s v="Standard Class"/>
    <s v="TS-21205"/>
    <s v="Thomas Seio"/>
    <s v="Corporate"/>
    <s v="United States"/>
    <s v="Hackensack"/>
    <x v="30"/>
    <n v="7601"/>
    <x v="3"/>
    <s v="FUR-FU-10001588"/>
    <x v="0"/>
    <s v="Furnishings"/>
    <s v="Deflect-o SuperTray Unbreakable Stackable Tray, Letter, Black"/>
    <n v="87.54"/>
    <n v="3"/>
    <n v="0"/>
    <n v="37.642200000000003"/>
  </r>
  <r>
    <n v="315"/>
    <x v="144"/>
    <x v="123"/>
    <x v="3"/>
    <d v="2014-09-30T00:00:00"/>
    <d v="2015-04-08T00:00:00"/>
    <s v="Standard Class"/>
    <s v="AG-10525"/>
    <s v="Andy Gerbode"/>
    <s v="Corporate"/>
    <s v="United States"/>
    <s v="Saint Petersburg"/>
    <x v="2"/>
    <n v="33710"/>
    <x v="0"/>
    <s v="TEC-PH-10002398"/>
    <x v="2"/>
    <s v="Phones"/>
    <s v="AT&amp;T 1070 Corded Phone"/>
    <n v="178.38399999999999"/>
    <n v="2"/>
    <n v="0.2"/>
    <n v="22.297999999999998"/>
  </r>
  <r>
    <n v="316"/>
    <x v="144"/>
    <x v="123"/>
    <x v="3"/>
    <d v="2014-09-30T00:00:00"/>
    <d v="2015-04-08T00:00:00"/>
    <s v="Standard Class"/>
    <s v="AG-10525"/>
    <s v="Andy Gerbode"/>
    <s v="Corporate"/>
    <s v="United States"/>
    <s v="Saint Petersburg"/>
    <x v="2"/>
    <n v="33710"/>
    <x v="0"/>
    <s v="OFF-PA-10001937"/>
    <x v="1"/>
    <s v="Paper"/>
    <s v="Xerox 21"/>
    <n v="15.552"/>
    <n v="3"/>
    <n v="0.2"/>
    <n v="5.4432"/>
  </r>
  <r>
    <n v="317"/>
    <x v="145"/>
    <x v="124"/>
    <x v="8"/>
    <d v="2016-04-30T00:00:00"/>
    <d v="2016-06-12T00:00:00"/>
    <s v="First Class"/>
    <s v="SP-20860"/>
    <s v="Sung Pak"/>
    <s v="Corporate"/>
    <s v="United States"/>
    <s v="Philadelphia"/>
    <x v="9"/>
    <n v="19143"/>
    <x v="3"/>
    <s v="OFF-AR-10003373"/>
    <x v="1"/>
    <s v="Art"/>
    <s v="Boston School Pro Electric Pencil Sharpener, 1670"/>
    <n v="99.135999999999996"/>
    <n v="4"/>
    <n v="0.2"/>
    <n v="8.6744000000000003"/>
  </r>
  <r>
    <n v="318"/>
    <x v="146"/>
    <x v="125"/>
    <x v="8"/>
    <d v="2014-04-30T00:00:00"/>
    <d v="2014-09-11T00:00:00"/>
    <s v="Standard Class"/>
    <s v="NM-18445"/>
    <s v="Nathan Mautz"/>
    <s v="Home Office"/>
    <s v="United States"/>
    <s v="New York City"/>
    <x v="15"/>
    <n v="10024"/>
    <x v="3"/>
    <s v="FUR-CH-10002602"/>
    <x v="0"/>
    <s v="Chairs"/>
    <s v="DMI Arturo Collection Mission-style Design Wood Chair"/>
    <n v="135.88200000000001"/>
    <n v="1"/>
    <n v="0.1"/>
    <n v="24.1568"/>
  </r>
  <r>
    <n v="319"/>
    <x v="146"/>
    <x v="125"/>
    <x v="8"/>
    <d v="2014-04-30T00:00:00"/>
    <d v="2014-09-11T00:00:00"/>
    <s v="Standard Class"/>
    <s v="NM-18445"/>
    <s v="Nathan Mautz"/>
    <s v="Home Office"/>
    <s v="United States"/>
    <s v="New York City"/>
    <x v="15"/>
    <n v="10024"/>
    <x v="3"/>
    <s v="TEC-MA-10002927"/>
    <x v="2"/>
    <s v="Machines"/>
    <s v="Canon imageCLASS MF7460 Monochrome Digital Laser Multifunction Copier"/>
    <n v="3991.98"/>
    <n v="2"/>
    <n v="0"/>
    <n v="1995.99"/>
  </r>
  <r>
    <n v="320"/>
    <x v="146"/>
    <x v="125"/>
    <x v="8"/>
    <d v="2014-04-30T00:00:00"/>
    <d v="2014-09-11T00:00:00"/>
    <s v="Standard Class"/>
    <s v="NM-18445"/>
    <s v="Nathan Mautz"/>
    <s v="Home Office"/>
    <s v="United States"/>
    <s v="New York City"/>
    <x v="15"/>
    <n v="10024"/>
    <x v="3"/>
    <s v="TEC-PH-10004093"/>
    <x v="2"/>
    <s v="Phones"/>
    <s v="Panasonic Kx-TS550"/>
    <n v="275.94"/>
    <n v="6"/>
    <n v="0"/>
    <n v="80.022599999999997"/>
  </r>
  <r>
    <n v="321"/>
    <x v="146"/>
    <x v="125"/>
    <x v="8"/>
    <d v="2014-04-30T00:00:00"/>
    <d v="2014-09-11T00:00:00"/>
    <s v="Standard Class"/>
    <s v="NM-18445"/>
    <s v="Nathan Mautz"/>
    <s v="Home Office"/>
    <s v="United States"/>
    <s v="New York City"/>
    <x v="15"/>
    <n v="10024"/>
    <x v="3"/>
    <s v="TEC-AC-10000892"/>
    <x v="2"/>
    <s v="Accessories"/>
    <s v="NETGEAR N750 Dual Band Wi-Fi Gigabit Router"/>
    <n v="360"/>
    <n v="4"/>
    <n v="0"/>
    <n v="129.6"/>
  </r>
  <r>
    <n v="322"/>
    <x v="146"/>
    <x v="125"/>
    <x v="8"/>
    <d v="2014-04-30T00:00:00"/>
    <d v="2014-09-11T00:00:00"/>
    <s v="Standard Class"/>
    <s v="NM-18445"/>
    <s v="Nathan Mautz"/>
    <s v="Home Office"/>
    <s v="United States"/>
    <s v="New York City"/>
    <x v="15"/>
    <n v="10024"/>
    <x v="3"/>
    <s v="OFF-ST-10002974"/>
    <x v="1"/>
    <s v="Storage"/>
    <s v="Trav-L-File Heavy-Duty Shuttle II, Black"/>
    <n v="43.57"/>
    <n v="1"/>
    <n v="0"/>
    <n v="13.071"/>
  </r>
  <r>
    <n v="323"/>
    <x v="147"/>
    <x v="66"/>
    <x v="9"/>
    <d v="2015-07-31T00:00:00"/>
    <d v="2015-12-09T00:00:00"/>
    <s v="Standard Class"/>
    <s v="FA-14230"/>
    <s v="Frank Atkinson"/>
    <s v="Corporate"/>
    <s v="United States"/>
    <s v="Long Beach"/>
    <x v="1"/>
    <n v="90805"/>
    <x v="1"/>
    <s v="OFF-FA-10000624"/>
    <x v="1"/>
    <s v="Fasteners"/>
    <s v="OIC Binder Clips"/>
    <n v="7.16"/>
    <n v="2"/>
    <n v="0"/>
    <n v="3.58"/>
  </r>
  <r>
    <n v="324"/>
    <x v="148"/>
    <x v="126"/>
    <x v="2"/>
    <d v="2017-11-30T00:00:00"/>
    <d v="2018-03-04T00:00:00"/>
    <s v="Standard Class"/>
    <s v="GK-14620"/>
    <s v="Grace Kelly"/>
    <s v="Corporate"/>
    <s v="United States"/>
    <s v="Hesperia"/>
    <x v="1"/>
    <n v="92345"/>
    <x v="1"/>
    <s v="OFF-BI-10004593"/>
    <x v="1"/>
    <s v="Binders"/>
    <s v="Ibico Laser Imprintable Binding System Covers"/>
    <n v="251.52"/>
    <n v="6"/>
    <n v="0.2"/>
    <n v="81.744"/>
  </r>
  <r>
    <n v="325"/>
    <x v="148"/>
    <x v="126"/>
    <x v="2"/>
    <d v="2017-11-30T00:00:00"/>
    <d v="2018-03-04T00:00:00"/>
    <s v="Standard Class"/>
    <s v="GK-14620"/>
    <s v="Grace Kelly"/>
    <s v="Corporate"/>
    <s v="United States"/>
    <s v="Hesperia"/>
    <x v="1"/>
    <n v="92345"/>
    <x v="1"/>
    <s v="TEC-AC-10001908"/>
    <x v="2"/>
    <s v="Accessories"/>
    <s v="Logitech Wireless Headset h800"/>
    <n v="99.99"/>
    <n v="1"/>
    <n v="0"/>
    <n v="34.996499999999997"/>
  </r>
  <r>
    <n v="326"/>
    <x v="149"/>
    <x v="127"/>
    <x v="4"/>
    <d v="2017-03-31T00:00:00"/>
    <d v="2017-05-11T00:00:00"/>
    <s v="Second Class"/>
    <s v="DJ-13510"/>
    <s v="Don Jones"/>
    <s v="Corporate"/>
    <s v="United States"/>
    <s v="Murfreesboro"/>
    <x v="18"/>
    <n v="37130"/>
    <x v="0"/>
    <s v="FUR-FU-10001967"/>
    <x v="0"/>
    <s v="Furnishings"/>
    <s v="Telescoping Adjustable Floor Lamp"/>
    <n v="15.992000000000001"/>
    <n v="1"/>
    <n v="0.2"/>
    <n v="0.99950000000000006"/>
  </r>
  <r>
    <n v="327"/>
    <x v="150"/>
    <x v="128"/>
    <x v="10"/>
    <d v="2018-06-30T00:00:00"/>
    <d v="2016-01-09T00:00:00"/>
    <s v="First Class"/>
    <s v="PO-18850"/>
    <s v="Patrick O'Brill"/>
    <s v="Consumer"/>
    <s v="United States"/>
    <s v="Philadelphia"/>
    <x v="9"/>
    <n v="19143"/>
    <x v="3"/>
    <s v="TEC-PH-10003645"/>
    <x v="2"/>
    <s v="Phones"/>
    <s v="Aastra 57i VoIP phone"/>
    <n v="290.89800000000002"/>
    <n v="3"/>
    <n v="0.4"/>
    <n v="-67.876199999999997"/>
  </r>
  <r>
    <n v="328"/>
    <x v="150"/>
    <x v="128"/>
    <x v="10"/>
    <d v="2018-06-30T00:00:00"/>
    <d v="2016-01-09T00:00:00"/>
    <s v="First Class"/>
    <s v="PO-18850"/>
    <s v="Patrick O'Brill"/>
    <s v="Consumer"/>
    <s v="United States"/>
    <s v="Philadelphia"/>
    <x v="9"/>
    <n v="19143"/>
    <x v="3"/>
    <s v="OFF-ST-10000675"/>
    <x v="1"/>
    <s v="Storage"/>
    <s v="File Shuttle II and Handi-File, Black"/>
    <n v="54.223999999999997"/>
    <n v="2"/>
    <n v="0.2"/>
    <n v="3.3889999999999998"/>
  </r>
  <r>
    <n v="329"/>
    <x v="150"/>
    <x v="128"/>
    <x v="10"/>
    <d v="2018-06-30T00:00:00"/>
    <d v="2016-01-09T00:00:00"/>
    <s v="First Class"/>
    <s v="PO-18850"/>
    <s v="Patrick O'Brill"/>
    <s v="Consumer"/>
    <s v="United States"/>
    <s v="Philadelphia"/>
    <x v="9"/>
    <n v="19143"/>
    <x v="3"/>
    <s v="FUR-CH-10003312"/>
    <x v="0"/>
    <s v="Chairs"/>
    <s v="Hon 2090 “Pillow Soft” Series Mid Back Swivel/Tilt Chairs"/>
    <n v="786.74400000000003"/>
    <n v="4"/>
    <n v="0.3"/>
    <n v="-258.5016"/>
  </r>
  <r>
    <n v="330"/>
    <x v="150"/>
    <x v="128"/>
    <x v="10"/>
    <d v="2018-06-30T00:00:00"/>
    <d v="2016-01-09T00:00:00"/>
    <s v="First Class"/>
    <s v="PO-18850"/>
    <s v="Patrick O'Brill"/>
    <s v="Consumer"/>
    <s v="United States"/>
    <s v="Philadelphia"/>
    <x v="9"/>
    <n v="19143"/>
    <x v="3"/>
    <s v="OFF-LA-10001074"/>
    <x v="1"/>
    <s v="Labels"/>
    <s v="Round Specialty Laser Printer Labels"/>
    <n v="100.24"/>
    <n v="10"/>
    <n v="0.2"/>
    <n v="33.831000000000003"/>
  </r>
  <r>
    <n v="331"/>
    <x v="150"/>
    <x v="128"/>
    <x v="10"/>
    <d v="2018-06-30T00:00:00"/>
    <d v="2016-01-09T00:00:00"/>
    <s v="First Class"/>
    <s v="PO-18850"/>
    <s v="Patrick O'Brill"/>
    <s v="Consumer"/>
    <s v="United States"/>
    <s v="Philadelphia"/>
    <x v="9"/>
    <n v="19143"/>
    <x v="3"/>
    <s v="OFF-BI-10001524"/>
    <x v="1"/>
    <s v="Binders"/>
    <s v="GBC Premium Transparent Covers with Diagonal Lined Pattern"/>
    <n v="37.764000000000003"/>
    <n v="6"/>
    <n v="0.7"/>
    <n v="-27.6936"/>
  </r>
  <r>
    <n v="332"/>
    <x v="151"/>
    <x v="129"/>
    <x v="7"/>
    <d v="2018-01-31T00:00:00"/>
    <d v="2018-05-04T00:00:00"/>
    <s v="Second Class"/>
    <s v="JL-15850"/>
    <s v="John Lucas"/>
    <s v="Consumer"/>
    <s v="United States"/>
    <s v="Philadelphia"/>
    <x v="9"/>
    <n v="19134"/>
    <x v="3"/>
    <s v="TEC-PH-10004614"/>
    <x v="2"/>
    <s v="Phones"/>
    <s v="AT&amp;T 841000 Phone"/>
    <n v="82.8"/>
    <n v="2"/>
    <n v="0.4"/>
    <n v="-20.7"/>
  </r>
  <r>
    <n v="333"/>
    <x v="151"/>
    <x v="129"/>
    <x v="7"/>
    <d v="2018-01-31T00:00:00"/>
    <d v="2018-05-04T00:00:00"/>
    <s v="Second Class"/>
    <s v="JL-15850"/>
    <s v="John Lucas"/>
    <s v="Consumer"/>
    <s v="United States"/>
    <s v="Philadelphia"/>
    <x v="9"/>
    <n v="19134"/>
    <x v="3"/>
    <s v="OFF-BI-10001153"/>
    <x v="1"/>
    <s v="Binders"/>
    <s v="Ibico Recycled Grain-Textured Covers"/>
    <n v="20.724"/>
    <n v="2"/>
    <n v="0.7"/>
    <n v="-13.816000000000001"/>
  </r>
  <r>
    <n v="334"/>
    <x v="151"/>
    <x v="129"/>
    <x v="7"/>
    <d v="2018-01-31T00:00:00"/>
    <d v="2018-05-04T00:00:00"/>
    <s v="Second Class"/>
    <s v="JL-15850"/>
    <s v="John Lucas"/>
    <s v="Consumer"/>
    <s v="United States"/>
    <s v="Philadelphia"/>
    <x v="9"/>
    <n v="19134"/>
    <x v="3"/>
    <s v="OFF-BI-10001982"/>
    <x v="1"/>
    <s v="Binders"/>
    <s v="Wilson Jones Custom Binder Spines &amp; Labels"/>
    <n v="4.8959999999999999"/>
    <n v="3"/>
    <n v="0.7"/>
    <n v="-3.4272"/>
  </r>
  <r>
    <n v="335"/>
    <x v="152"/>
    <x v="102"/>
    <x v="7"/>
    <d v="2015-01-31T00:00:00"/>
    <d v="2015-04-09T00:00:00"/>
    <s v="Second Class"/>
    <s v="DB-13615"/>
    <s v="Doug Bickford"/>
    <s v="Consumer"/>
    <s v="United States"/>
    <s v="Los Angeles"/>
    <x v="1"/>
    <n v="90045"/>
    <x v="1"/>
    <s v="OFF-BI-10001922"/>
    <x v="1"/>
    <s v="Binders"/>
    <s v="Storex Dura Pro Binders"/>
    <n v="4.7519999999999998"/>
    <n v="1"/>
    <n v="0.2"/>
    <n v="1.6037999999999999"/>
  </r>
  <r>
    <n v="336"/>
    <x v="152"/>
    <x v="102"/>
    <x v="7"/>
    <d v="2015-01-31T00:00:00"/>
    <d v="2015-04-09T00:00:00"/>
    <s v="Second Class"/>
    <s v="DB-13615"/>
    <s v="Doug Bickford"/>
    <s v="Consumer"/>
    <s v="United States"/>
    <s v="Los Angeles"/>
    <x v="1"/>
    <n v="90045"/>
    <x v="1"/>
    <s v="TEC-CO-10001449"/>
    <x v="2"/>
    <s v="Copiers"/>
    <s v="Hewlett Packard LaserJet 3310 Copier"/>
    <n v="959.98400000000004"/>
    <n v="2"/>
    <n v="0.2"/>
    <n v="335.99439999999998"/>
  </r>
  <r>
    <n v="337"/>
    <x v="152"/>
    <x v="102"/>
    <x v="7"/>
    <d v="2015-01-31T00:00:00"/>
    <d v="2015-04-09T00:00:00"/>
    <s v="Second Class"/>
    <s v="DB-13615"/>
    <s v="Doug Bickford"/>
    <s v="Consumer"/>
    <s v="United States"/>
    <s v="Los Angeles"/>
    <x v="1"/>
    <n v="90045"/>
    <x v="1"/>
    <s v="OFF-BI-10004140"/>
    <x v="1"/>
    <s v="Binders"/>
    <s v="Avery Non-Stick Binders"/>
    <n v="14.368"/>
    <n v="4"/>
    <n v="0.2"/>
    <n v="4.49"/>
  </r>
  <r>
    <n v="338"/>
    <x v="153"/>
    <x v="130"/>
    <x v="1"/>
    <d v="2014-12-31T00:00:00"/>
    <d v="2015-05-07T00:00:00"/>
    <s v="Standard Class"/>
    <s v="AC-10420"/>
    <s v="Alyssa Crouse"/>
    <s v="Corporate"/>
    <s v="United States"/>
    <s v="San Francisco"/>
    <x v="1"/>
    <n v="94122"/>
    <x v="1"/>
    <s v="OFF-BI-10003314"/>
    <x v="1"/>
    <s v="Binders"/>
    <s v="Tuff Stuff Recycled Round Ring Binders"/>
    <n v="7.7119999999999997"/>
    <n v="2"/>
    <n v="0.2"/>
    <n v="2.7955999999999999"/>
  </r>
  <r>
    <n v="339"/>
    <x v="153"/>
    <x v="130"/>
    <x v="1"/>
    <d v="2014-12-31T00:00:00"/>
    <d v="2015-05-07T00:00:00"/>
    <s v="Standard Class"/>
    <s v="AC-10420"/>
    <s v="Alyssa Crouse"/>
    <s v="Corporate"/>
    <s v="United States"/>
    <s v="San Francisco"/>
    <x v="1"/>
    <n v="94122"/>
    <x v="1"/>
    <s v="FUR-TA-10004575"/>
    <x v="0"/>
    <s v="Tables"/>
    <s v="Hon 5100 Series Wood Tables"/>
    <n v="698.35199999999998"/>
    <n v="3"/>
    <n v="0.2"/>
    <n v="-17.4588"/>
  </r>
  <r>
    <n v="340"/>
    <x v="154"/>
    <x v="131"/>
    <x v="6"/>
    <d v="2016-10-31T00:00:00"/>
    <d v="2017-02-06T00:00:00"/>
    <s v="Second Class"/>
    <s v="KL-16645"/>
    <s v="Ken Lonsdale"/>
    <s v="Consumer"/>
    <s v="United States"/>
    <s v="Layton"/>
    <x v="7"/>
    <n v="84041"/>
    <x v="1"/>
    <s v="OFF-FA-10000490"/>
    <x v="1"/>
    <s v="Fasteners"/>
    <s v="OIC Binder Clips, Mini, 1/4&quot; Capacity, Black"/>
    <n v="4.96"/>
    <n v="4"/>
    <n v="0"/>
    <n v="2.3311999999999999"/>
  </r>
  <r>
    <n v="341"/>
    <x v="155"/>
    <x v="132"/>
    <x v="7"/>
    <d v="2015-01-31T00:00:00"/>
    <d v="2015-05-04T00:00:00"/>
    <s v="Second Class"/>
    <s v="JD-15895"/>
    <s v="Jonathan Doherty"/>
    <s v="Corporate"/>
    <s v="United States"/>
    <s v="Philadelphia"/>
    <x v="9"/>
    <n v="19140"/>
    <x v="3"/>
    <s v="OFF-AR-10000122"/>
    <x v="1"/>
    <s v="Art"/>
    <s v="Newell 314"/>
    <n v="17.856000000000002"/>
    <n v="4"/>
    <n v="0.2"/>
    <n v="1.1160000000000001"/>
  </r>
  <r>
    <n v="342"/>
    <x v="155"/>
    <x v="132"/>
    <x v="7"/>
    <d v="2015-01-31T00:00:00"/>
    <d v="2015-05-04T00:00:00"/>
    <s v="Second Class"/>
    <s v="JD-15895"/>
    <s v="Jonathan Doherty"/>
    <s v="Corporate"/>
    <s v="United States"/>
    <s v="Philadelphia"/>
    <x v="9"/>
    <n v="19140"/>
    <x v="3"/>
    <s v="OFF-BI-10003656"/>
    <x v="1"/>
    <s v="Binders"/>
    <s v="Fellowes PB200 Plastic Comb Binding Machine"/>
    <n v="509.97"/>
    <n v="10"/>
    <n v="0.7"/>
    <n v="-407.976"/>
  </r>
  <r>
    <n v="343"/>
    <x v="155"/>
    <x v="132"/>
    <x v="7"/>
    <d v="2015-01-31T00:00:00"/>
    <d v="2015-05-04T00:00:00"/>
    <s v="Second Class"/>
    <s v="JD-15895"/>
    <s v="Jonathan Doherty"/>
    <s v="Corporate"/>
    <s v="United States"/>
    <s v="Philadelphia"/>
    <x v="9"/>
    <n v="19140"/>
    <x v="3"/>
    <s v="OFF-FA-10002780"/>
    <x v="1"/>
    <s v="Fasteners"/>
    <s v="Staples"/>
    <n v="30.992000000000001"/>
    <n v="13"/>
    <n v="0.2"/>
    <n v="10.0724"/>
  </r>
  <r>
    <n v="344"/>
    <x v="155"/>
    <x v="132"/>
    <x v="7"/>
    <d v="2015-01-31T00:00:00"/>
    <d v="2015-05-04T00:00:00"/>
    <s v="Second Class"/>
    <s v="JD-15895"/>
    <s v="Jonathan Doherty"/>
    <s v="Corporate"/>
    <s v="United States"/>
    <s v="Philadelphia"/>
    <x v="9"/>
    <n v="19140"/>
    <x v="3"/>
    <s v="TEC-PH-10000702"/>
    <x v="2"/>
    <s v="Phones"/>
    <s v="Square Credit Card Reader, 4 1/2&quot; x 4 1/2&quot; x 1&quot;, White"/>
    <n v="71.927999999999997"/>
    <n v="12"/>
    <n v="0.4"/>
    <n v="8.3916000000000004"/>
  </r>
  <r>
    <n v="345"/>
    <x v="156"/>
    <x v="16"/>
    <x v="0"/>
    <d v="2016-08-31T00:00:00"/>
    <d v="2016-12-12T00:00:00"/>
    <s v="Standard Class"/>
    <s v="CS-12130"/>
    <s v="Chad Sievert"/>
    <s v="Consumer"/>
    <s v="United States"/>
    <s v="Austin"/>
    <x v="5"/>
    <n v="78745"/>
    <x v="2"/>
    <s v="OFF-ST-10000107"/>
    <x v="1"/>
    <s v="Storage"/>
    <s v="Fellowes Super Stor/Drawer"/>
    <n v="88.8"/>
    <n v="4"/>
    <n v="0.2"/>
    <n v="-2.2200000000000002"/>
  </r>
  <r>
    <n v="346"/>
    <x v="157"/>
    <x v="133"/>
    <x v="4"/>
    <d v="2018-03-31T00:00:00"/>
    <d v="2018-07-06T00:00:00"/>
    <s v="Standard Class"/>
    <s v="CC-12550"/>
    <s v="Clay Cheatham"/>
    <s v="Consumer"/>
    <s v="United States"/>
    <s v="San Francisco"/>
    <x v="1"/>
    <n v="94122"/>
    <x v="1"/>
    <s v="TEC-PH-10002293"/>
    <x v="2"/>
    <s v="Phones"/>
    <s v="Anker 36W 4-Port USB Wall Charger Travel Power Adapter for iPhone 5s 5c 5"/>
    <n v="47.975999999999999"/>
    <n v="3"/>
    <n v="0.2"/>
    <n v="4.7976000000000001"/>
  </r>
  <r>
    <n v="347"/>
    <x v="158"/>
    <x v="134"/>
    <x v="0"/>
    <d v="2017-08-31T00:00:00"/>
    <d v="2017-12-07T00:00:00"/>
    <s v="Standard Class"/>
    <s v="TD-20995"/>
    <s v="Tamara Dahlen"/>
    <s v="Consumer"/>
    <s v="United States"/>
    <s v="Lowell"/>
    <x v="31"/>
    <n v="1852"/>
    <x v="3"/>
    <s v="OFF-AR-10004027"/>
    <x v="1"/>
    <s v="Art"/>
    <s v="Binney &amp; Smith inkTank Erasable Desk Highlighter, Chisel Tip, Yellow, 12/Box"/>
    <n v="7.56"/>
    <n v="3"/>
    <n v="0"/>
    <n v="3.0996000000000001"/>
  </r>
  <r>
    <n v="348"/>
    <x v="158"/>
    <x v="134"/>
    <x v="0"/>
    <d v="2017-08-31T00:00:00"/>
    <d v="2017-12-07T00:00:00"/>
    <s v="Standard Class"/>
    <s v="TD-20995"/>
    <s v="Tamara Dahlen"/>
    <s v="Consumer"/>
    <s v="United States"/>
    <s v="Lowell"/>
    <x v="31"/>
    <n v="1852"/>
    <x v="3"/>
    <s v="OFF-PA-10000249"/>
    <x v="1"/>
    <s v="Paper"/>
    <s v="Easy-staple paper"/>
    <n v="24.56"/>
    <n v="2"/>
    <n v="0"/>
    <n v="11.543200000000001"/>
  </r>
  <r>
    <n v="349"/>
    <x v="158"/>
    <x v="134"/>
    <x v="0"/>
    <d v="2017-08-31T00:00:00"/>
    <d v="2017-12-07T00:00:00"/>
    <s v="Standard Class"/>
    <s v="TD-20995"/>
    <s v="Tamara Dahlen"/>
    <s v="Consumer"/>
    <s v="United States"/>
    <s v="Lowell"/>
    <x v="31"/>
    <n v="1852"/>
    <x v="3"/>
    <s v="OFF-AR-10001374"/>
    <x v="1"/>
    <s v="Art"/>
    <s v="BIC Brite Liner Highlighters, Chisel Tip"/>
    <n v="12.96"/>
    <n v="2"/>
    <n v="0"/>
    <n v="4.1471999999999998"/>
  </r>
  <r>
    <n v="350"/>
    <x v="159"/>
    <x v="135"/>
    <x v="7"/>
    <d v="2016-01-31T00:00:00"/>
    <d v="2016-03-09T00:00:00"/>
    <s v="First Class"/>
    <s v="AB-10060"/>
    <s v="Adam Bellavance"/>
    <s v="Home Office"/>
    <s v="United States"/>
    <s v="New York City"/>
    <x v="15"/>
    <n v="10009"/>
    <x v="3"/>
    <s v="TEC-AC-10000290"/>
    <x v="2"/>
    <s v="Accessories"/>
    <s v="Sabrent 4-Port USB 2.0 Hub"/>
    <n v="6.79"/>
    <n v="1"/>
    <n v="0"/>
    <n v="2.3086000000000002"/>
  </r>
  <r>
    <n v="351"/>
    <x v="159"/>
    <x v="135"/>
    <x v="7"/>
    <d v="2016-01-31T00:00:00"/>
    <d v="2016-03-09T00:00:00"/>
    <s v="First Class"/>
    <s v="AB-10060"/>
    <s v="Adam Bellavance"/>
    <s v="Home Office"/>
    <s v="United States"/>
    <s v="New York City"/>
    <x v="15"/>
    <n v="10009"/>
    <x v="3"/>
    <s v="OFF-PA-10001970"/>
    <x v="1"/>
    <s v="Paper"/>
    <s v="Xerox 1881"/>
    <n v="24.56"/>
    <n v="2"/>
    <n v="0"/>
    <n v="11.543200000000001"/>
  </r>
  <r>
    <n v="352"/>
    <x v="159"/>
    <x v="135"/>
    <x v="7"/>
    <d v="2016-01-31T00:00:00"/>
    <d v="2016-03-09T00:00:00"/>
    <s v="First Class"/>
    <s v="AB-10060"/>
    <s v="Adam Bellavance"/>
    <s v="Home Office"/>
    <s v="United States"/>
    <s v="New York City"/>
    <x v="15"/>
    <n v="10009"/>
    <x v="3"/>
    <s v="OFF-BI-10002160"/>
    <x v="1"/>
    <s v="Binders"/>
    <s v="Acco Hanging Data Binders"/>
    <n v="3.048"/>
    <n v="1"/>
    <n v="0.2"/>
    <n v="1.0668"/>
  </r>
  <r>
    <n v="353"/>
    <x v="159"/>
    <x v="135"/>
    <x v="7"/>
    <d v="2016-01-31T00:00:00"/>
    <d v="2016-03-09T00:00:00"/>
    <s v="First Class"/>
    <s v="AB-10060"/>
    <s v="Adam Bellavance"/>
    <s v="Home Office"/>
    <s v="United States"/>
    <s v="New York City"/>
    <x v="15"/>
    <n v="10009"/>
    <x v="3"/>
    <s v="OFF-PA-10001970"/>
    <x v="1"/>
    <s v="Paper"/>
    <s v="Xerox 1881"/>
    <n v="49.12"/>
    <n v="4"/>
    <n v="0"/>
    <n v="23.086400000000001"/>
  </r>
  <r>
    <n v="354"/>
    <x v="159"/>
    <x v="135"/>
    <x v="7"/>
    <d v="2016-01-31T00:00:00"/>
    <d v="2016-03-09T00:00:00"/>
    <s v="First Class"/>
    <s v="AB-10060"/>
    <s v="Adam Bellavance"/>
    <s v="Home Office"/>
    <s v="United States"/>
    <s v="New York City"/>
    <x v="15"/>
    <n v="10009"/>
    <x v="3"/>
    <s v="OFF-BI-10004995"/>
    <x v="1"/>
    <s v="Binders"/>
    <s v="GBC DocuBind P400 Electric Binding System"/>
    <n v="4355.1679999999997"/>
    <n v="4"/>
    <n v="0.2"/>
    <n v="1415.4295999999999"/>
  </r>
  <r>
    <n v="355"/>
    <x v="160"/>
    <x v="136"/>
    <x v="0"/>
    <d v="2016-08-31T00:00:00"/>
    <d v="2017-01-04T00:00:00"/>
    <s v="Standard Class"/>
    <s v="JL-15505"/>
    <s v="Jeremy Lonsdale"/>
    <s v="Consumer"/>
    <s v="United States"/>
    <s v="New York City"/>
    <x v="15"/>
    <n v="10035"/>
    <x v="3"/>
    <s v="FUR-BO-10002268"/>
    <x v="0"/>
    <s v="Bookcases"/>
    <s v="Sauder Barrister Bookcases"/>
    <n v="388.70400000000001"/>
    <n v="6"/>
    <n v="0.2"/>
    <n v="-4.8587999999999996"/>
  </r>
  <r>
    <n v="356"/>
    <x v="160"/>
    <x v="136"/>
    <x v="0"/>
    <d v="2016-08-31T00:00:00"/>
    <d v="2017-01-04T00:00:00"/>
    <s v="Standard Class"/>
    <s v="JL-15505"/>
    <s v="Jeremy Lonsdale"/>
    <s v="Consumer"/>
    <s v="United States"/>
    <s v="New York City"/>
    <x v="15"/>
    <n v="10035"/>
    <x v="3"/>
    <s v="OFF-EN-10001137"/>
    <x v="1"/>
    <s v="Envelopes"/>
    <s v="#10 Gummed Flap White Envelopes, 100/Box"/>
    <n v="8.26"/>
    <n v="2"/>
    <n v="0"/>
    <n v="3.7995999999999999"/>
  </r>
  <r>
    <n v="357"/>
    <x v="160"/>
    <x v="136"/>
    <x v="0"/>
    <d v="2016-08-31T00:00:00"/>
    <d v="2017-01-04T00:00:00"/>
    <s v="Standard Class"/>
    <s v="JL-15505"/>
    <s v="Jeremy Lonsdale"/>
    <s v="Consumer"/>
    <s v="United States"/>
    <s v="New York City"/>
    <x v="15"/>
    <n v="10035"/>
    <x v="3"/>
    <s v="OFF-AR-10002399"/>
    <x v="1"/>
    <s v="Art"/>
    <s v="Dixon Prang Watercolor Pencils, 10-Color Set with Brush"/>
    <n v="17.04"/>
    <n v="4"/>
    <n v="0"/>
    <n v="6.9863999999999997"/>
  </r>
  <r>
    <n v="358"/>
    <x v="160"/>
    <x v="136"/>
    <x v="0"/>
    <d v="2016-08-31T00:00:00"/>
    <d v="2017-01-04T00:00:00"/>
    <s v="Standard Class"/>
    <s v="JL-15505"/>
    <s v="Jeremy Lonsdale"/>
    <s v="Consumer"/>
    <s v="United States"/>
    <s v="New York City"/>
    <x v="15"/>
    <n v="10035"/>
    <x v="3"/>
    <s v="OFF-PA-10002713"/>
    <x v="1"/>
    <s v="Paper"/>
    <s v="Adams Phone Message Book, 200 Message Capacity, 8 1/16” x 11”"/>
    <n v="34.4"/>
    <n v="5"/>
    <n v="0"/>
    <n v="15.824"/>
  </r>
  <r>
    <n v="359"/>
    <x v="161"/>
    <x v="126"/>
    <x v="2"/>
    <d v="2017-11-30T00:00:00"/>
    <d v="2018-04-04T00:00:00"/>
    <s v="Standard Class"/>
    <s v="HK-14890"/>
    <s v="Heather Kirkland"/>
    <s v="Corporate"/>
    <s v="United States"/>
    <s v="Charlotte"/>
    <x v="3"/>
    <n v="28205"/>
    <x v="0"/>
    <s v="OFF-PA-10002666"/>
    <x v="1"/>
    <s v="Paper"/>
    <s v="Southworth 25% Cotton Linen-Finish Paper &amp; Envelopes"/>
    <n v="36.24"/>
    <n v="5"/>
    <n v="0.2"/>
    <n v="11.324999999999999"/>
  </r>
  <r>
    <n v="360"/>
    <x v="162"/>
    <x v="137"/>
    <x v="0"/>
    <d v="2017-08-31T00:00:00"/>
    <d v="2017-11-03T00:00:00"/>
    <s v="First Class"/>
    <s v="VB-21745"/>
    <s v="Victoria Brennan"/>
    <s v="Corporate"/>
    <s v="United States"/>
    <s v="Columbus"/>
    <x v="32"/>
    <n v="31907"/>
    <x v="0"/>
    <s v="OFF-AP-10001124"/>
    <x v="1"/>
    <s v="Appliances"/>
    <s v="Belkin 8 Outlet SurgeMaster II Gold Surge Protector with Phone Protection"/>
    <n v="647.84"/>
    <n v="8"/>
    <n v="0"/>
    <n v="168.4384"/>
  </r>
  <r>
    <n v="361"/>
    <x v="162"/>
    <x v="137"/>
    <x v="0"/>
    <d v="2017-08-31T00:00:00"/>
    <d v="2017-11-03T00:00:00"/>
    <s v="First Class"/>
    <s v="VB-21745"/>
    <s v="Victoria Brennan"/>
    <s v="Corporate"/>
    <s v="United States"/>
    <s v="Columbus"/>
    <x v="32"/>
    <n v="31907"/>
    <x v="0"/>
    <s v="OFF-LA-10001158"/>
    <x v="1"/>
    <s v="Labels"/>
    <s v="Avery Address/Shipping Labels for Typewriters, 4&quot; x 2&quot;"/>
    <n v="20.7"/>
    <n v="2"/>
    <n v="0"/>
    <n v="9.9359999999999999"/>
  </r>
  <r>
    <n v="362"/>
    <x v="163"/>
    <x v="138"/>
    <x v="7"/>
    <d v="2019-01-31T00:00:00"/>
    <d v="2017-01-10T00:00:00"/>
    <s v="Standard Class"/>
    <s v="KW-16435"/>
    <s v="Katrina Willman"/>
    <s v="Consumer"/>
    <s v="United States"/>
    <s v="New York City"/>
    <x v="15"/>
    <n v="10009"/>
    <x v="3"/>
    <s v="OFF-LA-10001158"/>
    <x v="1"/>
    <s v="Labels"/>
    <s v="Avery Address/Shipping Labels for Typewriters, 4&quot; x 2&quot;"/>
    <n v="20.7"/>
    <n v="2"/>
    <n v="0"/>
    <n v="9.9359999999999999"/>
  </r>
  <r>
    <n v="363"/>
    <x v="163"/>
    <x v="138"/>
    <x v="7"/>
    <d v="2019-01-31T00:00:00"/>
    <d v="2017-01-10T00:00:00"/>
    <s v="Standard Class"/>
    <s v="KW-16435"/>
    <s v="Katrina Willman"/>
    <s v="Consumer"/>
    <s v="United States"/>
    <s v="New York City"/>
    <x v="15"/>
    <n v="10009"/>
    <x v="3"/>
    <s v="FUR-CH-10000785"/>
    <x v="0"/>
    <s v="Chairs"/>
    <s v="Global Ergonomic Managers Chair"/>
    <n v="488.64600000000002"/>
    <n v="3"/>
    <n v="0.1"/>
    <n v="86.870400000000004"/>
  </r>
  <r>
    <n v="364"/>
    <x v="163"/>
    <x v="138"/>
    <x v="7"/>
    <d v="2019-01-31T00:00:00"/>
    <d v="2017-01-10T00:00:00"/>
    <s v="Standard Class"/>
    <s v="KW-16435"/>
    <s v="Katrina Willman"/>
    <s v="Consumer"/>
    <s v="United States"/>
    <s v="New York City"/>
    <x v="15"/>
    <n v="10009"/>
    <x v="3"/>
    <s v="OFF-AR-10003732"/>
    <x v="1"/>
    <s v="Art"/>
    <s v="Newell 333"/>
    <n v="5.56"/>
    <n v="2"/>
    <n v="0"/>
    <n v="1.4456"/>
  </r>
  <r>
    <n v="365"/>
    <x v="163"/>
    <x v="138"/>
    <x v="7"/>
    <d v="2019-01-31T00:00:00"/>
    <d v="2017-01-10T00:00:00"/>
    <s v="Standard Class"/>
    <s v="KW-16435"/>
    <s v="Katrina Willman"/>
    <s v="Consumer"/>
    <s v="United States"/>
    <s v="New York City"/>
    <x v="15"/>
    <n v="10009"/>
    <x v="3"/>
    <s v="FUR-FU-10000023"/>
    <x v="0"/>
    <s v="Furnishings"/>
    <s v="Eldon Wave Desk Accessories"/>
    <n v="47.12"/>
    <n v="8"/>
    <n v="0"/>
    <n v="20.732800000000001"/>
  </r>
  <r>
    <n v="366"/>
    <x v="164"/>
    <x v="139"/>
    <x v="1"/>
    <d v="2015-12-31T00:00:00"/>
    <d v="2016-05-09T00:00:00"/>
    <s v="Standard Class"/>
    <s v="JD-16060"/>
    <s v="Julia Dunbar"/>
    <s v="Consumer"/>
    <s v="United States"/>
    <s v="San Francisco"/>
    <x v="1"/>
    <n v="94109"/>
    <x v="1"/>
    <s v="OFF-ST-10001713"/>
    <x v="1"/>
    <s v="Storage"/>
    <s v="Gould Plastics 9-Pocket Panel Bin, 18-3/8w x 5-1/4d x 20-1/2h, Black"/>
    <n v="211.96"/>
    <n v="4"/>
    <n v="0"/>
    <n v="8.4784000000000006"/>
  </r>
  <r>
    <n v="367"/>
    <x v="165"/>
    <x v="140"/>
    <x v="3"/>
    <d v="2017-09-30T00:00:00"/>
    <d v="2017-09-10T00:00:00"/>
    <s v="Same Day"/>
    <s v="MK-17905"/>
    <s v="Michael Kennedy"/>
    <s v="Corporate"/>
    <s v="United States"/>
    <s v="Manchester"/>
    <x v="29"/>
    <n v="6040"/>
    <x v="3"/>
    <s v="OFF-BI-10002412"/>
    <x v="1"/>
    <s v="Binders"/>
    <s v="Wilson Jones “Snap” Scratch Pad Binder Tool for Ring Binders"/>
    <n v="23.2"/>
    <n v="4"/>
    <n v="0"/>
    <n v="10.44"/>
  </r>
  <r>
    <n v="368"/>
    <x v="165"/>
    <x v="140"/>
    <x v="3"/>
    <d v="2017-09-30T00:00:00"/>
    <d v="2017-09-10T00:00:00"/>
    <s v="Same Day"/>
    <s v="MK-17905"/>
    <s v="Michael Kennedy"/>
    <s v="Corporate"/>
    <s v="United States"/>
    <s v="Manchester"/>
    <x v="29"/>
    <n v="6040"/>
    <x v="3"/>
    <s v="OFF-SU-10001225"/>
    <x v="1"/>
    <s v="Supplies"/>
    <s v="Staple remover"/>
    <n v="7.36"/>
    <n v="2"/>
    <n v="0"/>
    <n v="0.1472"/>
  </r>
  <r>
    <n v="369"/>
    <x v="165"/>
    <x v="140"/>
    <x v="3"/>
    <d v="2017-09-30T00:00:00"/>
    <d v="2017-09-10T00:00:00"/>
    <s v="Same Day"/>
    <s v="MK-17905"/>
    <s v="Michael Kennedy"/>
    <s v="Corporate"/>
    <s v="United States"/>
    <s v="Manchester"/>
    <x v="29"/>
    <n v="6040"/>
    <x v="3"/>
    <s v="OFF-ST-10002406"/>
    <x v="1"/>
    <s v="Storage"/>
    <s v="Pizazz Global Quick File"/>
    <n v="104.79"/>
    <n v="7"/>
    <n v="0"/>
    <n v="29.341200000000001"/>
  </r>
  <r>
    <n v="370"/>
    <x v="165"/>
    <x v="140"/>
    <x v="3"/>
    <d v="2017-09-30T00:00:00"/>
    <d v="2017-09-10T00:00:00"/>
    <s v="Same Day"/>
    <s v="MK-17905"/>
    <s v="Michael Kennedy"/>
    <s v="Corporate"/>
    <s v="United States"/>
    <s v="Manchester"/>
    <x v="29"/>
    <n v="6040"/>
    <x v="3"/>
    <s v="FUR-BO-10002545"/>
    <x v="0"/>
    <s v="Bookcases"/>
    <s v="Atlantic Metals Mobile 3-Shelf Bookcases, Custom Colors"/>
    <n v="1043.92"/>
    <n v="4"/>
    <n v="0"/>
    <n v="271.41919999999999"/>
  </r>
  <r>
    <n v="371"/>
    <x v="166"/>
    <x v="141"/>
    <x v="5"/>
    <d v="2019-05-31T00:00:00"/>
    <d v="2017-04-06T00:00:00"/>
    <s v="Standard Class"/>
    <s v="GT-14755"/>
    <s v="Guy Thornton"/>
    <s v="Consumer"/>
    <s v="United States"/>
    <s v="Harlingen"/>
    <x v="5"/>
    <n v="78550"/>
    <x v="2"/>
    <s v="OFF-PA-10002036"/>
    <x v="1"/>
    <s v="Paper"/>
    <s v="Xerox 1930"/>
    <n v="25.92"/>
    <n v="5"/>
    <n v="0.2"/>
    <n v="9.3960000000000008"/>
  </r>
  <r>
    <n v="372"/>
    <x v="166"/>
    <x v="141"/>
    <x v="5"/>
    <d v="2019-05-31T00:00:00"/>
    <d v="2017-04-06T00:00:00"/>
    <s v="Standard Class"/>
    <s v="GT-14755"/>
    <s v="Guy Thornton"/>
    <s v="Consumer"/>
    <s v="United States"/>
    <s v="Harlingen"/>
    <x v="5"/>
    <n v="78550"/>
    <x v="2"/>
    <s v="OFF-ST-10002205"/>
    <x v="1"/>
    <s v="Storage"/>
    <s v="File Shuttle I and Handi-File"/>
    <n v="53.423999999999999"/>
    <n v="3"/>
    <n v="0.2"/>
    <n v="4.6745999999999999"/>
  </r>
  <r>
    <n v="373"/>
    <x v="167"/>
    <x v="142"/>
    <x v="2"/>
    <d v="2015-11-30T00:00:00"/>
    <d v="2016-03-07T00:00:00"/>
    <s v="Standard Class"/>
    <s v="AG-10900"/>
    <s v="Arthur Gainer"/>
    <s v="Consumer"/>
    <s v="United States"/>
    <s v="Tucson"/>
    <x v="16"/>
    <n v="85705"/>
    <x v="1"/>
    <s v="OFF-BI-10001982"/>
    <x v="1"/>
    <s v="Binders"/>
    <s v="Wilson Jones Custom Binder Spines &amp; Labels"/>
    <n v="8.16"/>
    <n v="5"/>
    <n v="0.7"/>
    <n v="-5.7119999999999997"/>
  </r>
  <r>
    <n v="374"/>
    <x v="167"/>
    <x v="142"/>
    <x v="2"/>
    <d v="2015-11-30T00:00:00"/>
    <d v="2016-03-07T00:00:00"/>
    <s v="Standard Class"/>
    <s v="AG-10900"/>
    <s v="Arthur Gainer"/>
    <s v="Consumer"/>
    <s v="United States"/>
    <s v="Tucson"/>
    <x v="16"/>
    <n v="85705"/>
    <x v="1"/>
    <s v="TEC-AC-10003911"/>
    <x v="2"/>
    <s v="Accessories"/>
    <s v="NETGEAR AC1750 Dual Band Gigabit Smart WiFi Router"/>
    <n v="1023.936"/>
    <n v="8"/>
    <n v="0.2"/>
    <n v="179.18879999999999"/>
  </r>
  <r>
    <n v="375"/>
    <x v="167"/>
    <x v="142"/>
    <x v="2"/>
    <d v="2015-11-30T00:00:00"/>
    <d v="2016-03-07T00:00:00"/>
    <s v="Standard Class"/>
    <s v="AG-10900"/>
    <s v="Arthur Gainer"/>
    <s v="Consumer"/>
    <s v="United States"/>
    <s v="Tucson"/>
    <x v="16"/>
    <n v="85705"/>
    <x v="1"/>
    <s v="OFF-AR-10000658"/>
    <x v="1"/>
    <s v="Art"/>
    <s v="Newell 324"/>
    <n v="9.24"/>
    <n v="1"/>
    <n v="0.2"/>
    <n v="0.92400000000000004"/>
  </r>
  <r>
    <n v="376"/>
    <x v="167"/>
    <x v="142"/>
    <x v="2"/>
    <d v="2015-11-30T00:00:00"/>
    <d v="2016-03-07T00:00:00"/>
    <s v="Standard Class"/>
    <s v="AG-10900"/>
    <s v="Arthur Gainer"/>
    <s v="Consumer"/>
    <s v="United States"/>
    <s v="Tucson"/>
    <x v="16"/>
    <n v="85705"/>
    <x v="1"/>
    <s v="TEC-AC-10002076"/>
    <x v="2"/>
    <s v="Accessories"/>
    <s v="Microsoft Natural Keyboard Elite"/>
    <n v="479.04"/>
    <n v="10"/>
    <n v="0.2"/>
    <n v="-29.94"/>
  </r>
  <r>
    <n v="377"/>
    <x v="168"/>
    <x v="113"/>
    <x v="8"/>
    <d v="2018-04-30T00:00:00"/>
    <d v="2016-01-10T00:00:00"/>
    <s v="First Class"/>
    <s v="MM-18280"/>
    <s v="Muhammed MacIntyre"/>
    <s v="Corporate"/>
    <s v="United States"/>
    <s v="Quincy"/>
    <x v="10"/>
    <n v="62301"/>
    <x v="2"/>
    <s v="OFF-PA-10003039"/>
    <x v="1"/>
    <s v="Paper"/>
    <s v="Xerox 1960"/>
    <n v="99.135999999999996"/>
    <n v="4"/>
    <n v="0.2"/>
    <n v="30.98"/>
  </r>
  <r>
    <n v="378"/>
    <x v="169"/>
    <x v="143"/>
    <x v="4"/>
    <d v="2019-03-31T00:00:00"/>
    <d v="2017-01-09T00:00:00"/>
    <s v="Standard Class"/>
    <s v="AR-10405"/>
    <s v="Allen Rosenblatt"/>
    <s v="Corporate"/>
    <s v="United States"/>
    <s v="Franklin"/>
    <x v="31"/>
    <n v="2038"/>
    <x v="3"/>
    <s v="FUR-TA-10004915"/>
    <x v="0"/>
    <s v="Tables"/>
    <s v="Office Impressions End Table, 20-1/2&quot;H x 24&quot;W x 20&quot;D"/>
    <n v="1488.424"/>
    <n v="7"/>
    <n v="0.3"/>
    <n v="-297.6848"/>
  </r>
  <r>
    <n v="379"/>
    <x v="170"/>
    <x v="144"/>
    <x v="8"/>
    <d v="2017-04-30T00:00:00"/>
    <d v="2015-05-05T00:00:00"/>
    <s v="Standard Class"/>
    <s v="RA-19915"/>
    <s v="Russell Applegate"/>
    <s v="Consumer"/>
    <s v="United States"/>
    <s v="Houston"/>
    <x v="5"/>
    <n v="77095"/>
    <x v="2"/>
    <s v="OFF-AP-10000696"/>
    <x v="1"/>
    <s v="Appliances"/>
    <s v="Holmes Odor Grabber"/>
    <n v="8.6519999999999992"/>
    <n v="3"/>
    <n v="0.8"/>
    <n v="-20.3322"/>
  </r>
  <r>
    <n v="380"/>
    <x v="170"/>
    <x v="144"/>
    <x v="8"/>
    <d v="2017-04-30T00:00:00"/>
    <d v="2015-05-05T00:00:00"/>
    <s v="Standard Class"/>
    <s v="RA-19915"/>
    <s v="Russell Applegate"/>
    <s v="Consumer"/>
    <s v="United States"/>
    <s v="Houston"/>
    <x v="5"/>
    <n v="77095"/>
    <x v="2"/>
    <s v="OFF-ST-10003327"/>
    <x v="1"/>
    <s v="Storage"/>
    <s v="Akro-Mils 12-Gallon Tote"/>
    <n v="23.832000000000001"/>
    <n v="3"/>
    <n v="0.2"/>
    <n v="2.6810999999999998"/>
  </r>
  <r>
    <n v="381"/>
    <x v="170"/>
    <x v="144"/>
    <x v="8"/>
    <d v="2017-04-30T00:00:00"/>
    <d v="2015-05-05T00:00:00"/>
    <s v="Standard Class"/>
    <s v="RA-19915"/>
    <s v="Russell Applegate"/>
    <s v="Consumer"/>
    <s v="United States"/>
    <s v="Houston"/>
    <x v="5"/>
    <n v="77095"/>
    <x v="2"/>
    <s v="OFF-BI-10000309"/>
    <x v="1"/>
    <s v="Binders"/>
    <s v="GBC Twin Loop Wire Binding Elements, 9/16&quot; Spine, Black"/>
    <n v="12.176"/>
    <n v="4"/>
    <n v="0.8"/>
    <n v="-18.872800000000002"/>
  </r>
  <r>
    <n v="382"/>
    <x v="171"/>
    <x v="98"/>
    <x v="8"/>
    <d v="2018-04-30T00:00:00"/>
    <d v="2018-05-10T00:00:00"/>
    <s v="First Class"/>
    <s v="AS-10285"/>
    <s v="Alejandro Savely"/>
    <s v="Corporate"/>
    <s v="United States"/>
    <s v="San Francisco"/>
    <x v="1"/>
    <n v="94109"/>
    <x v="1"/>
    <s v="OFF-PA-10004734"/>
    <x v="1"/>
    <s v="Paper"/>
    <s v="Southworth Structures Collection"/>
    <n v="50.96"/>
    <n v="7"/>
    <n v="0"/>
    <n v="25.48"/>
  </r>
  <r>
    <n v="383"/>
    <x v="171"/>
    <x v="98"/>
    <x v="8"/>
    <d v="2018-04-30T00:00:00"/>
    <d v="2018-05-10T00:00:00"/>
    <s v="First Class"/>
    <s v="AS-10285"/>
    <s v="Alejandro Savely"/>
    <s v="Corporate"/>
    <s v="United States"/>
    <s v="San Francisco"/>
    <x v="1"/>
    <n v="94109"/>
    <x v="1"/>
    <s v="OFF-BI-10002225"/>
    <x v="1"/>
    <s v="Binders"/>
    <s v="Square Ring Data Binders, Rigid 75 Pt. Covers, 11&quot; x 14-7/8&quot;"/>
    <n v="49.536000000000001"/>
    <n v="3"/>
    <n v="0.2"/>
    <n v="17.337599999999998"/>
  </r>
  <r>
    <n v="384"/>
    <x v="172"/>
    <x v="145"/>
    <x v="11"/>
    <d v="2017-02-28T00:00:00"/>
    <d v="2017-05-06T00:00:00"/>
    <s v="Second Class"/>
    <s v="LA-16780"/>
    <s v="Laura Armstrong"/>
    <s v="Corporate"/>
    <s v="United States"/>
    <s v="Taylor"/>
    <x v="12"/>
    <n v="48180"/>
    <x v="2"/>
    <s v="TEC-AC-10004708"/>
    <x v="2"/>
    <s v="Accessories"/>
    <s v="Sony 32GB Class 10 Micro SDHC R40 Memory Card"/>
    <n v="41.9"/>
    <n v="2"/>
    <n v="0"/>
    <n v="8.7989999999999995"/>
  </r>
  <r>
    <n v="385"/>
    <x v="173"/>
    <x v="127"/>
    <x v="4"/>
    <d v="2017-03-31T00:00:00"/>
    <d v="2015-02-12T00:00:00"/>
    <s v="Standard Class"/>
    <s v="DO-13435"/>
    <s v="Denny Ordway"/>
    <s v="Consumer"/>
    <s v="United States"/>
    <s v="Pembroke Pines"/>
    <x v="2"/>
    <n v="33024"/>
    <x v="0"/>
    <s v="FUR-TA-10000617"/>
    <x v="0"/>
    <s v="Tables"/>
    <s v="Hon Practical Foundations 30 x 60 Training Table, Light Gray/Charcoal"/>
    <n v="375.45749999999998"/>
    <n v="3"/>
    <n v="0.45"/>
    <n v="-157.0095"/>
  </r>
  <r>
    <n v="386"/>
    <x v="173"/>
    <x v="127"/>
    <x v="4"/>
    <d v="2017-03-31T00:00:00"/>
    <d v="2015-02-12T00:00:00"/>
    <s v="Standard Class"/>
    <s v="DO-13435"/>
    <s v="Denny Ordway"/>
    <s v="Consumer"/>
    <s v="United States"/>
    <s v="Pembroke Pines"/>
    <x v="2"/>
    <n v="33024"/>
    <x v="0"/>
    <s v="TEC-AC-10002335"/>
    <x v="2"/>
    <s v="Accessories"/>
    <s v="Logitech Media Keyboard K200"/>
    <n v="83.975999999999999"/>
    <n v="3"/>
    <n v="0.2"/>
    <n v="-1.0497000000000001"/>
  </r>
  <r>
    <n v="387"/>
    <x v="174"/>
    <x v="146"/>
    <x v="4"/>
    <d v="2015-03-31T00:00:00"/>
    <d v="2015-07-12T00:00:00"/>
    <s v="Standard Class"/>
    <s v="DK-13225"/>
    <s v="Dean Katz"/>
    <s v="Corporate"/>
    <s v="United States"/>
    <s v="Philadelphia"/>
    <x v="9"/>
    <n v="19140"/>
    <x v="3"/>
    <s v="TEC-MA-10001681"/>
    <x v="2"/>
    <s v="Machines"/>
    <s v="Lexmark MarkNet N8150 Wireless Print Server"/>
    <n v="482.34"/>
    <n v="4"/>
    <n v="0.7"/>
    <n v="-337.63799999999998"/>
  </r>
  <r>
    <n v="388"/>
    <x v="174"/>
    <x v="146"/>
    <x v="4"/>
    <d v="2015-03-31T00:00:00"/>
    <d v="2015-07-12T00:00:00"/>
    <s v="Standard Class"/>
    <s v="DK-13225"/>
    <s v="Dean Katz"/>
    <s v="Corporate"/>
    <s v="United States"/>
    <s v="Philadelphia"/>
    <x v="9"/>
    <n v="19140"/>
    <x v="3"/>
    <s v="FUR-FU-10001935"/>
    <x v="0"/>
    <s v="Furnishings"/>
    <s v="3M Hangers With Command Adhesive"/>
    <n v="2.96"/>
    <n v="1"/>
    <n v="0.2"/>
    <n v="0.77700000000000002"/>
  </r>
  <r>
    <n v="389"/>
    <x v="175"/>
    <x v="147"/>
    <x v="1"/>
    <d v="2015-12-31T00:00:00"/>
    <d v="2016-02-11T00:00:00"/>
    <s v="First Class"/>
    <s v="NG-18430"/>
    <s v="Nathan Gelder"/>
    <s v="Consumer"/>
    <s v="United States"/>
    <s v="Cincinnati"/>
    <x v="24"/>
    <n v="45231"/>
    <x v="3"/>
    <s v="OFF-AR-10004757"/>
    <x v="1"/>
    <s v="Art"/>
    <s v="Crayola Colored Pencils"/>
    <n v="2.6240000000000001"/>
    <n v="1"/>
    <n v="0.2"/>
    <n v="0.4264"/>
  </r>
  <r>
    <n v="390"/>
    <x v="176"/>
    <x v="148"/>
    <x v="2"/>
    <d v="2017-11-30T00:00:00"/>
    <d v="2018-03-12T00:00:00"/>
    <s v="Standard Class"/>
    <s v="MV-18190"/>
    <s v="Mike Vittorini"/>
    <s v="Consumer"/>
    <s v="United States"/>
    <s v="New York City"/>
    <x v="15"/>
    <n v="10009"/>
    <x v="3"/>
    <s v="OFF-BI-10000050"/>
    <x v="1"/>
    <s v="Binders"/>
    <s v="Angle-D Binders with Locking Rings, Label Holders"/>
    <n v="23.36"/>
    <n v="4"/>
    <n v="0.2"/>
    <n v="7.8840000000000003"/>
  </r>
  <r>
    <n v="391"/>
    <x v="176"/>
    <x v="148"/>
    <x v="2"/>
    <d v="2017-11-30T00:00:00"/>
    <d v="2018-03-12T00:00:00"/>
    <s v="Standard Class"/>
    <s v="MV-18190"/>
    <s v="Mike Vittorini"/>
    <s v="Consumer"/>
    <s v="United States"/>
    <s v="New York City"/>
    <x v="15"/>
    <n v="10009"/>
    <x v="3"/>
    <s v="TEC-AC-10001998"/>
    <x v="2"/>
    <s v="Accessories"/>
    <s v="Logitech LS21 Speaker System - PC Multimedia - 2.1-CH - Wired"/>
    <n v="39.979999999999997"/>
    <n v="2"/>
    <n v="0"/>
    <n v="13.5932"/>
  </r>
  <r>
    <n v="392"/>
    <x v="177"/>
    <x v="149"/>
    <x v="3"/>
    <d v="2015-09-30T00:00:00"/>
    <d v="2015-11-09T00:00:00"/>
    <s v="Second Class"/>
    <s v="JG-15115"/>
    <s v="Jack Garza"/>
    <s v="Consumer"/>
    <s v="United States"/>
    <s v="Des Moines"/>
    <x v="4"/>
    <n v="98198"/>
    <x v="1"/>
    <s v="TEC-PH-10003012"/>
    <x v="2"/>
    <s v="Phones"/>
    <s v="Nortel Meridian M3904 Professional Digital phone"/>
    <n v="246.38399999999999"/>
    <n v="2"/>
    <n v="0.2"/>
    <n v="27.7182"/>
  </r>
  <r>
    <n v="393"/>
    <x v="177"/>
    <x v="149"/>
    <x v="3"/>
    <d v="2015-09-30T00:00:00"/>
    <d v="2015-11-09T00:00:00"/>
    <s v="Second Class"/>
    <s v="JG-15115"/>
    <s v="Jack Garza"/>
    <s v="Consumer"/>
    <s v="United States"/>
    <s v="Des Moines"/>
    <x v="4"/>
    <n v="98198"/>
    <x v="1"/>
    <s v="TEC-CO-10002313"/>
    <x v="2"/>
    <s v="Copiers"/>
    <s v="Canon PC1080F Personal Copier"/>
    <n v="1799.97"/>
    <n v="3"/>
    <n v="0"/>
    <n v="701.98829999999998"/>
  </r>
  <r>
    <n v="394"/>
    <x v="178"/>
    <x v="150"/>
    <x v="9"/>
    <d v="2014-07-31T00:00:00"/>
    <d v="2014-10-06T00:00:00"/>
    <s v="Second Class"/>
    <s v="BP-11095"/>
    <s v="Bart Pistole"/>
    <s v="Corporate"/>
    <s v="United States"/>
    <s v="Peoria"/>
    <x v="10"/>
    <n v="61604"/>
    <x v="2"/>
    <s v="OFF-BI-10003982"/>
    <x v="1"/>
    <s v="Binders"/>
    <s v="Wilson Jones Century Plastic Molded Ring Binders"/>
    <n v="12.462"/>
    <n v="3"/>
    <n v="0.8"/>
    <n v="-20.5623"/>
  </r>
  <r>
    <n v="395"/>
    <x v="179"/>
    <x v="151"/>
    <x v="10"/>
    <d v="2019-06-30T00:00:00"/>
    <d v="2017-05-07T00:00:00"/>
    <s v="Standard Class"/>
    <s v="VP-21730"/>
    <s v="Victor Preis"/>
    <s v="Home Office"/>
    <s v="United States"/>
    <s v="Las Vegas"/>
    <x v="33"/>
    <n v="89115"/>
    <x v="1"/>
    <s v="OFF-BI-10004492"/>
    <x v="1"/>
    <s v="Binders"/>
    <s v="Tuf-Vin Binders"/>
    <n v="75.792000000000002"/>
    <n v="3"/>
    <n v="0.2"/>
    <n v="25.579799999999999"/>
  </r>
  <r>
    <n v="396"/>
    <x v="180"/>
    <x v="152"/>
    <x v="5"/>
    <d v="2018-05-31T00:00:00"/>
    <d v="2018-07-10T00:00:00"/>
    <s v="Second Class"/>
    <s v="SS-20140"/>
    <s v="Saphhira Shifley"/>
    <s v="Corporate"/>
    <s v="United States"/>
    <s v="Warwick"/>
    <x v="34"/>
    <n v="2886"/>
    <x v="3"/>
    <s v="OFF-ST-10000798"/>
    <x v="1"/>
    <s v="Storage"/>
    <s v="2300 Heavy-Duty Transfer File Systems by Perma"/>
    <n v="49.96"/>
    <n v="2"/>
    <n v="0"/>
    <n v="9.4923999999999999"/>
  </r>
  <r>
    <n v="397"/>
    <x v="180"/>
    <x v="152"/>
    <x v="5"/>
    <d v="2018-05-31T00:00:00"/>
    <d v="2018-07-10T00:00:00"/>
    <s v="Second Class"/>
    <s v="SS-20140"/>
    <s v="Saphhira Shifley"/>
    <s v="Corporate"/>
    <s v="United States"/>
    <s v="Warwick"/>
    <x v="34"/>
    <n v="2886"/>
    <x v="3"/>
    <s v="OFF-PA-10002552"/>
    <x v="1"/>
    <s v="Paper"/>
    <s v="Xerox 1958"/>
    <n v="12.96"/>
    <n v="2"/>
    <n v="0"/>
    <n v="6.2207999999999997"/>
  </r>
  <r>
    <n v="398"/>
    <x v="181"/>
    <x v="88"/>
    <x v="9"/>
    <d v="2017-07-31T00:00:00"/>
    <d v="2015-04-11T00:00:00"/>
    <s v="Standard Class"/>
    <s v="HP-14815"/>
    <s v="Harold Pawlan"/>
    <s v="Home Office"/>
    <s v="United States"/>
    <s v="Jackson"/>
    <x v="12"/>
    <n v="49201"/>
    <x v="2"/>
    <s v="OFF-SU-10002573"/>
    <x v="1"/>
    <s v="Supplies"/>
    <s v="Acme 10&quot; Easy Grip Assistive Scissors"/>
    <n v="70.12"/>
    <n v="4"/>
    <n v="0"/>
    <n v="21.036000000000001"/>
  </r>
  <r>
    <n v="399"/>
    <x v="182"/>
    <x v="153"/>
    <x v="0"/>
    <d v="2016-08-31T00:00:00"/>
    <d v="2016-10-09T00:00:00"/>
    <s v="Second Class"/>
    <s v="AG-10675"/>
    <s v="Anna Gayman"/>
    <s v="Consumer"/>
    <s v="United States"/>
    <s v="Houston"/>
    <x v="5"/>
    <n v="77036"/>
    <x v="2"/>
    <s v="OFF-ST-10001580"/>
    <x v="1"/>
    <s v="Storage"/>
    <s v="Super Decoflex Portable Personal File"/>
    <n v="35.951999999999998"/>
    <n v="3"/>
    <n v="0.2"/>
    <n v="3.5952000000000002"/>
  </r>
  <r>
    <n v="400"/>
    <x v="182"/>
    <x v="153"/>
    <x v="0"/>
    <d v="2016-08-31T00:00:00"/>
    <d v="2016-10-09T00:00:00"/>
    <s v="Second Class"/>
    <s v="AG-10675"/>
    <s v="Anna Gayman"/>
    <s v="Consumer"/>
    <s v="United States"/>
    <s v="Houston"/>
    <x v="5"/>
    <n v="77036"/>
    <x v="2"/>
    <s v="FUR-BO-10004834"/>
    <x v="0"/>
    <s v="Bookcases"/>
    <s v="Riverside Palais Royal Lawyers Bookcase, Royale Cherry Finish"/>
    <n v="2396.2656000000002"/>
    <n v="4"/>
    <n v="0.32"/>
    <n v="-317.15280000000001"/>
  </r>
  <r>
    <n v="401"/>
    <x v="182"/>
    <x v="153"/>
    <x v="0"/>
    <d v="2016-08-31T00:00:00"/>
    <d v="2016-10-09T00:00:00"/>
    <s v="Second Class"/>
    <s v="AG-10675"/>
    <s v="Anna Gayman"/>
    <s v="Consumer"/>
    <s v="United States"/>
    <s v="Houston"/>
    <x v="5"/>
    <n v="77036"/>
    <x v="2"/>
    <s v="OFF-ST-10000934"/>
    <x v="1"/>
    <s v="Storage"/>
    <s v="Contico 72&quot;H Heavy-Duty Storage System"/>
    <n v="131.136"/>
    <n v="4"/>
    <n v="0.2"/>
    <n v="-32.783999999999999"/>
  </r>
  <r>
    <n v="402"/>
    <x v="182"/>
    <x v="153"/>
    <x v="0"/>
    <d v="2016-08-31T00:00:00"/>
    <d v="2016-10-09T00:00:00"/>
    <s v="Second Class"/>
    <s v="AG-10675"/>
    <s v="Anna Gayman"/>
    <s v="Consumer"/>
    <s v="United States"/>
    <s v="Houston"/>
    <x v="5"/>
    <n v="77036"/>
    <x v="2"/>
    <s v="TEC-AC-10000158"/>
    <x v="2"/>
    <s v="Accessories"/>
    <s v="Sony 64GB Class 10 Micro SDHC R40 Memory Card"/>
    <n v="57.584000000000003"/>
    <n v="2"/>
    <n v="0.2"/>
    <n v="0.7198"/>
  </r>
  <r>
    <n v="403"/>
    <x v="183"/>
    <x v="154"/>
    <x v="1"/>
    <d v="2015-12-31T00:00:00"/>
    <d v="2016-02-12T00:00:00"/>
    <s v="First Class"/>
    <s v="LF-17185"/>
    <s v="Luke Foster"/>
    <s v="Consumer"/>
    <s v="United States"/>
    <s v="Miami"/>
    <x v="2"/>
    <n v="33180"/>
    <x v="0"/>
    <s v="OFF-PA-10001947"/>
    <x v="1"/>
    <s v="Paper"/>
    <s v="Xerox 1974"/>
    <n v="9.5679999999999996"/>
    <n v="2"/>
    <n v="0.2"/>
    <n v="3.4683999999999999"/>
  </r>
  <r>
    <n v="404"/>
    <x v="184"/>
    <x v="155"/>
    <x v="8"/>
    <d v="2015-04-30T00:00:00"/>
    <d v="2015-08-04T00:00:00"/>
    <s v="Standard Class"/>
    <s v="SP-20650"/>
    <s v="Stephanie Phelps"/>
    <s v="Corporate"/>
    <s v="United States"/>
    <s v="Wilmington"/>
    <x v="3"/>
    <n v="28403"/>
    <x v="0"/>
    <s v="OFF-AR-10003478"/>
    <x v="1"/>
    <s v="Art"/>
    <s v="Avery Hi-Liter EverBold Pen Style Fluorescent Highlighters, 4/Pack"/>
    <n v="39.072000000000003"/>
    <n v="6"/>
    <n v="0.2"/>
    <n v="9.7680000000000007"/>
  </r>
  <r>
    <n v="405"/>
    <x v="185"/>
    <x v="156"/>
    <x v="1"/>
    <d v="2018-12-31T00:00:00"/>
    <d v="2019-05-12T00:00:00"/>
    <s v="Standard Class"/>
    <s v="RF-19840"/>
    <s v="Roy Französisch"/>
    <s v="Consumer"/>
    <s v="United States"/>
    <s v="New York City"/>
    <x v="15"/>
    <n v="10024"/>
    <x v="3"/>
    <s v="OFF-AP-10004249"/>
    <x v="1"/>
    <s v="Appliances"/>
    <s v="Staple holder"/>
    <n v="35.909999999999997"/>
    <n v="3"/>
    <n v="0"/>
    <n v="9.6957000000000004"/>
  </r>
  <r>
    <n v="406"/>
    <x v="186"/>
    <x v="157"/>
    <x v="0"/>
    <d v="2017-08-31T00:00:00"/>
    <d v="2017-12-12T00:00:00"/>
    <s v="Standard Class"/>
    <s v="KH-16510"/>
    <s v="Keith Herrera"/>
    <s v="Consumer"/>
    <s v="United States"/>
    <s v="San Francisco"/>
    <x v="1"/>
    <n v="94110"/>
    <x v="1"/>
    <s v="TEC-AC-10000158"/>
    <x v="2"/>
    <s v="Accessories"/>
    <s v="Sony 64GB Class 10 Micro SDHC R40 Memory Card"/>
    <n v="179.95"/>
    <n v="5"/>
    <n v="0"/>
    <n v="37.789499999999997"/>
  </r>
  <r>
    <n v="407"/>
    <x v="186"/>
    <x v="157"/>
    <x v="0"/>
    <d v="2017-08-31T00:00:00"/>
    <d v="2017-12-12T00:00:00"/>
    <s v="Standard Class"/>
    <s v="KH-16510"/>
    <s v="Keith Herrera"/>
    <s v="Consumer"/>
    <s v="United States"/>
    <s v="San Francisco"/>
    <x v="1"/>
    <n v="94110"/>
    <x v="1"/>
    <s v="TEC-CO-10004115"/>
    <x v="2"/>
    <s v="Copiers"/>
    <s v="Sharp AL-1530CS Digital Copier"/>
    <n v="1199.9760000000001"/>
    <n v="3"/>
    <n v="0.2"/>
    <n v="434.99130000000002"/>
  </r>
  <r>
    <n v="408"/>
    <x v="186"/>
    <x v="157"/>
    <x v="0"/>
    <d v="2017-08-31T00:00:00"/>
    <d v="2017-12-12T00:00:00"/>
    <s v="Standard Class"/>
    <s v="KH-16510"/>
    <s v="Keith Herrera"/>
    <s v="Consumer"/>
    <s v="United States"/>
    <s v="San Francisco"/>
    <x v="1"/>
    <n v="94110"/>
    <x v="1"/>
    <s v="OFF-PA-10003724"/>
    <x v="1"/>
    <s v="Paper"/>
    <s v="Wirebound Message Book, 4 per Page"/>
    <n v="27.15"/>
    <n v="5"/>
    <n v="0"/>
    <n v="13.3035"/>
  </r>
  <r>
    <n v="409"/>
    <x v="186"/>
    <x v="157"/>
    <x v="0"/>
    <d v="2017-08-31T00:00:00"/>
    <d v="2017-12-12T00:00:00"/>
    <s v="Standard Class"/>
    <s v="KH-16510"/>
    <s v="Keith Herrera"/>
    <s v="Consumer"/>
    <s v="United States"/>
    <s v="San Francisco"/>
    <x v="1"/>
    <n v="94110"/>
    <x v="1"/>
    <s v="FUR-TA-10002041"/>
    <x v="0"/>
    <s v="Tables"/>
    <s v="Bevis Round Conference Table Top, X-Base"/>
    <n v="1004.024"/>
    <n v="7"/>
    <n v="0.2"/>
    <n v="-112.95269999999999"/>
  </r>
  <r>
    <n v="410"/>
    <x v="186"/>
    <x v="157"/>
    <x v="0"/>
    <d v="2017-08-31T00:00:00"/>
    <d v="2017-12-12T00:00:00"/>
    <s v="Standard Class"/>
    <s v="KH-16510"/>
    <s v="Keith Herrera"/>
    <s v="Consumer"/>
    <s v="United States"/>
    <s v="San Francisco"/>
    <x v="1"/>
    <n v="94110"/>
    <x v="1"/>
    <s v="OFF-PA-10002893"/>
    <x v="1"/>
    <s v="Paper"/>
    <s v="Wirebound Service Call Books, 5 1/2&quot; x 4&quot;"/>
    <n v="9.68"/>
    <n v="1"/>
    <n v="0"/>
    <n v="4.6463999999999999"/>
  </r>
  <r>
    <n v="411"/>
    <x v="186"/>
    <x v="157"/>
    <x v="0"/>
    <d v="2017-08-31T00:00:00"/>
    <d v="2017-12-12T00:00:00"/>
    <s v="Standard Class"/>
    <s v="KH-16510"/>
    <s v="Keith Herrera"/>
    <s v="Consumer"/>
    <s v="United States"/>
    <s v="San Francisco"/>
    <x v="1"/>
    <n v="94110"/>
    <x v="1"/>
    <s v="OFF-LA-10003766"/>
    <x v="1"/>
    <s v="Labels"/>
    <s v="Self-Adhesive Removable Labels"/>
    <n v="28.35"/>
    <n v="9"/>
    <n v="0"/>
    <n v="13.608000000000001"/>
  </r>
  <r>
    <n v="412"/>
    <x v="186"/>
    <x v="157"/>
    <x v="0"/>
    <d v="2017-08-31T00:00:00"/>
    <d v="2017-12-12T00:00:00"/>
    <s v="Standard Class"/>
    <s v="KH-16510"/>
    <s v="Keith Herrera"/>
    <s v="Consumer"/>
    <s v="United States"/>
    <s v="San Francisco"/>
    <x v="1"/>
    <n v="94110"/>
    <x v="1"/>
    <s v="OFF-PA-10001970"/>
    <x v="1"/>
    <s v="Paper"/>
    <s v="Xerox 1908"/>
    <n v="55.98"/>
    <n v="1"/>
    <n v="0"/>
    <n v="27.430199999999999"/>
  </r>
  <r>
    <n v="413"/>
    <x v="186"/>
    <x v="157"/>
    <x v="0"/>
    <d v="2017-08-31T00:00:00"/>
    <d v="2017-12-12T00:00:00"/>
    <s v="Standard Class"/>
    <s v="KH-16510"/>
    <s v="Keith Herrera"/>
    <s v="Consumer"/>
    <s v="United States"/>
    <s v="San Francisco"/>
    <x v="1"/>
    <n v="94110"/>
    <x v="1"/>
    <s v="FUR-BO-10001972"/>
    <x v="0"/>
    <s v="Bookcases"/>
    <s v="O'Sullivan 4-Shelf Bookcase in Odessa Pine"/>
    <n v="1336.829"/>
    <n v="13"/>
    <n v="0.15"/>
    <n v="31.454799999999999"/>
  </r>
  <r>
    <n v="414"/>
    <x v="186"/>
    <x v="157"/>
    <x v="0"/>
    <d v="2017-08-31T00:00:00"/>
    <d v="2017-12-12T00:00:00"/>
    <s v="Standard Class"/>
    <s v="KH-16510"/>
    <s v="Keith Herrera"/>
    <s v="Consumer"/>
    <s v="United States"/>
    <s v="San Francisco"/>
    <x v="1"/>
    <n v="94110"/>
    <x v="1"/>
    <s v="FUR-CH-10003956"/>
    <x v="0"/>
    <s v="Chairs"/>
    <s v="Novimex High-Tech Fabric Mesh Task Chair"/>
    <n v="113.568"/>
    <n v="2"/>
    <n v="0.2"/>
    <n v="-18.454799999999999"/>
  </r>
  <r>
    <n v="415"/>
    <x v="187"/>
    <x v="127"/>
    <x v="4"/>
    <d v="2017-03-31T00:00:00"/>
    <d v="2017-07-11T00:00:00"/>
    <s v="Standard Class"/>
    <s v="KC-16675"/>
    <s v="Kimberly Carter"/>
    <s v="Corporate"/>
    <s v="United States"/>
    <s v="Seattle"/>
    <x v="4"/>
    <n v="98105"/>
    <x v="1"/>
    <s v="OFF-PA-10000157"/>
    <x v="1"/>
    <s v="Paper"/>
    <s v="Xerox 191"/>
    <n v="139.86000000000001"/>
    <n v="7"/>
    <n v="0"/>
    <n v="65.734200000000001"/>
  </r>
  <r>
    <n v="416"/>
    <x v="187"/>
    <x v="127"/>
    <x v="4"/>
    <d v="2017-03-31T00:00:00"/>
    <d v="2017-07-11T00:00:00"/>
    <s v="Standard Class"/>
    <s v="KC-16675"/>
    <s v="Kimberly Carter"/>
    <s v="Corporate"/>
    <s v="United States"/>
    <s v="Seattle"/>
    <x v="4"/>
    <n v="98105"/>
    <x v="1"/>
    <s v="FUR-CH-10001891"/>
    <x v="0"/>
    <s v="Chairs"/>
    <s v="Global Deluxe Office Fabric Chairs"/>
    <n v="307.13600000000002"/>
    <n v="4"/>
    <n v="0.2"/>
    <n v="26.874400000000001"/>
  </r>
  <r>
    <n v="417"/>
    <x v="188"/>
    <x v="91"/>
    <x v="1"/>
    <d v="2018-12-31T00:00:00"/>
    <d v="2019-04-06T00:00:00"/>
    <s v="Standard Class"/>
    <s v="CJ-12010"/>
    <s v="Caroline Jumper"/>
    <s v="Consumer"/>
    <s v="United States"/>
    <s v="Huntington Beach"/>
    <x v="1"/>
    <n v="92646"/>
    <x v="1"/>
    <s v="OFF-AR-10004344"/>
    <x v="1"/>
    <s v="Art"/>
    <s v="Bulldog Vacuum Base Pencil Sharpener"/>
    <n v="95.92"/>
    <n v="8"/>
    <n v="0"/>
    <n v="25.898399999999999"/>
  </r>
  <r>
    <n v="418"/>
    <x v="189"/>
    <x v="33"/>
    <x v="11"/>
    <d v="2017-02-28T00:00:00"/>
    <d v="2017-06-04T00:00:00"/>
    <s v="Standard Class"/>
    <s v="PB-19150"/>
    <s v="Philip Brown"/>
    <s v="Consumer"/>
    <s v="United States"/>
    <s v="Los Angeles"/>
    <x v="1"/>
    <n v="90004"/>
    <x v="1"/>
    <s v="FUR-CH-10004886"/>
    <x v="0"/>
    <s v="Chairs"/>
    <s v="Bevis Steel Folding Chairs"/>
    <n v="383.8"/>
    <n v="5"/>
    <n v="0.2"/>
    <n v="38.380000000000003"/>
  </r>
  <r>
    <n v="419"/>
    <x v="190"/>
    <x v="44"/>
    <x v="10"/>
    <d v="2017-06-30T00:00:00"/>
    <d v="2017-10-11T00:00:00"/>
    <s v="Standard Class"/>
    <s v="VB-21745"/>
    <s v="Victoria Brennan"/>
    <s v="Corporate"/>
    <s v="United States"/>
    <s v="Richmond"/>
    <x v="0"/>
    <n v="40475"/>
    <x v="0"/>
    <s v="OFF-PA-10003845"/>
    <x v="1"/>
    <s v="Paper"/>
    <s v="Xerox 1987"/>
    <n v="5.78"/>
    <n v="1"/>
    <n v="0"/>
    <n v="2.8321999999999998"/>
  </r>
  <r>
    <n v="420"/>
    <x v="191"/>
    <x v="158"/>
    <x v="8"/>
    <d v="2017-04-30T00:00:00"/>
    <d v="2017-09-03T00:00:00"/>
    <s v="Standard Class"/>
    <s v="SP-20860"/>
    <s v="Sung Pak"/>
    <s v="Corporate"/>
    <s v="United States"/>
    <s v="Los Angeles"/>
    <x v="1"/>
    <n v="90045"/>
    <x v="1"/>
    <s v="OFF-AR-10001573"/>
    <x v="1"/>
    <s v="Art"/>
    <s v="American Pencil"/>
    <n v="9.32"/>
    <n v="4"/>
    <n v="0"/>
    <n v="2.7027999999999999"/>
  </r>
  <r>
    <n v="421"/>
    <x v="191"/>
    <x v="158"/>
    <x v="8"/>
    <d v="2017-04-30T00:00:00"/>
    <d v="2017-09-03T00:00:00"/>
    <s v="Standard Class"/>
    <s v="SP-20860"/>
    <s v="Sung Pak"/>
    <s v="Corporate"/>
    <s v="United States"/>
    <s v="Los Angeles"/>
    <x v="1"/>
    <n v="90045"/>
    <x v="1"/>
    <s v="OFF-EN-10000483"/>
    <x v="1"/>
    <s v="Envelopes"/>
    <s v="White Envelopes, White Envelopes with Clear Poly Window"/>
    <n v="15.25"/>
    <n v="1"/>
    <n v="0"/>
    <n v="7.0149999999999997"/>
  </r>
  <r>
    <n v="422"/>
    <x v="192"/>
    <x v="159"/>
    <x v="6"/>
    <d v="2015-10-31T00:00:00"/>
    <d v="2016-01-06T00:00:00"/>
    <s v="First Class"/>
    <s v="JE-15745"/>
    <s v="Joel Eaton"/>
    <s v="Consumer"/>
    <s v="United States"/>
    <s v="Louisville"/>
    <x v="22"/>
    <n v="80027"/>
    <x v="1"/>
    <s v="TEC-AC-10004114"/>
    <x v="2"/>
    <s v="Accessories"/>
    <s v="KeyTronic 6101 Series - Keyboard - Black"/>
    <n v="196.75200000000001"/>
    <n v="6"/>
    <n v="0.2"/>
    <n v="56.566200000000002"/>
  </r>
  <r>
    <n v="423"/>
    <x v="193"/>
    <x v="15"/>
    <x v="9"/>
    <d v="2018-07-31T00:00:00"/>
    <d v="2018-11-10T00:00:00"/>
    <s v="Standard Class"/>
    <s v="MP-17965"/>
    <s v="Michael Paige"/>
    <s v="Corporate"/>
    <s v="United States"/>
    <s v="Lawrence"/>
    <x v="31"/>
    <n v="1841"/>
    <x v="3"/>
    <s v="FUR-FU-10004712"/>
    <x v="0"/>
    <s v="Furnishings"/>
    <s v="Westinghouse Mesh Shade Clip-On Gooseneck Lamp, Black"/>
    <n v="56.56"/>
    <n v="4"/>
    <n v="0"/>
    <n v="14.7056"/>
  </r>
  <r>
    <n v="424"/>
    <x v="193"/>
    <x v="15"/>
    <x v="9"/>
    <d v="2018-07-31T00:00:00"/>
    <d v="2018-11-10T00:00:00"/>
    <s v="Standard Class"/>
    <s v="MP-17965"/>
    <s v="Michael Paige"/>
    <s v="Corporate"/>
    <s v="United States"/>
    <s v="Lawrence"/>
    <x v="31"/>
    <n v="1841"/>
    <x v="3"/>
    <s v="OFF-ST-10000918"/>
    <x v="1"/>
    <s v="Storage"/>
    <s v="Crate-A-Files"/>
    <n v="32.700000000000003"/>
    <n v="3"/>
    <n v="0"/>
    <n v="8.5020000000000007"/>
  </r>
  <r>
    <n v="425"/>
    <x v="194"/>
    <x v="160"/>
    <x v="3"/>
    <d v="2018-09-30T00:00:00"/>
    <d v="2018-11-08T00:00:00"/>
    <s v="Second Class"/>
    <s v="NF-18385"/>
    <s v="Natalie Fritzler"/>
    <s v="Consumer"/>
    <s v="United States"/>
    <s v="Jackson"/>
    <x v="35"/>
    <n v="39212"/>
    <x v="0"/>
    <s v="FUR-CH-10000015"/>
    <x v="0"/>
    <s v="Chairs"/>
    <s v="Hon Multipurpose Stacking Arm Chairs"/>
    <n v="866.4"/>
    <n v="4"/>
    <n v="0"/>
    <n v="225.26400000000001"/>
  </r>
  <r>
    <n v="426"/>
    <x v="195"/>
    <x v="51"/>
    <x v="2"/>
    <d v="2018-11-30T00:00:00"/>
    <d v="2019-02-11T00:00:00"/>
    <s v="Second Class"/>
    <s v="JM-15265"/>
    <s v="Janet Molinari"/>
    <s v="Corporate"/>
    <s v="United States"/>
    <s v="Canton"/>
    <x v="12"/>
    <n v="48187"/>
    <x v="2"/>
    <s v="FUR-FU-10003347"/>
    <x v="0"/>
    <s v="Furnishings"/>
    <s v="Coloredge Poster Frame"/>
    <n v="28.4"/>
    <n v="2"/>
    <n v="0"/>
    <n v="11.076000000000001"/>
  </r>
  <r>
    <n v="427"/>
    <x v="195"/>
    <x v="51"/>
    <x v="2"/>
    <d v="2018-11-30T00:00:00"/>
    <d v="2019-02-11T00:00:00"/>
    <s v="Second Class"/>
    <s v="JM-15265"/>
    <s v="Janet Molinari"/>
    <s v="Corporate"/>
    <s v="United States"/>
    <s v="Canton"/>
    <x v="12"/>
    <n v="48187"/>
    <x v="2"/>
    <s v="OFF-BI-10001543"/>
    <x v="1"/>
    <s v="Binders"/>
    <s v="GBC VeloBinder Manual Binding System"/>
    <n v="287.92"/>
    <n v="8"/>
    <n v="0"/>
    <n v="138.20160000000001"/>
  </r>
  <r>
    <n v="428"/>
    <x v="196"/>
    <x v="161"/>
    <x v="1"/>
    <d v="2014-12-31T00:00:00"/>
    <d v="2015-01-09T00:00:00"/>
    <s v="First Class"/>
    <s v="SD-20485"/>
    <s v="Shirley Daniels"/>
    <s v="Home Office"/>
    <s v="United States"/>
    <s v="New Rochelle"/>
    <x v="15"/>
    <n v="10801"/>
    <x v="3"/>
    <s v="TEC-MA-10000029"/>
    <x v="2"/>
    <s v="Machines"/>
    <s v="Epson WorkForce WF-2530 All-in-One Printer, Copier Scanner"/>
    <n v="69.989999999999995"/>
    <n v="1"/>
    <n v="0"/>
    <n v="30.095700000000001"/>
  </r>
  <r>
    <n v="429"/>
    <x v="197"/>
    <x v="63"/>
    <x v="7"/>
    <d v="2017-01-31T00:00:00"/>
    <d v="2017-08-10T00:00:00"/>
    <s v="Standard Class"/>
    <s v="KH-16630"/>
    <s v="Ken Heidel"/>
    <s v="Corporate"/>
    <s v="United States"/>
    <s v="San Antonio"/>
    <x v="5"/>
    <n v="78207"/>
    <x v="2"/>
    <s v="OFF-AR-10000369"/>
    <x v="1"/>
    <s v="Art"/>
    <s v="Design Ebony Sketching Pencil"/>
    <n v="6.6719999999999997"/>
    <n v="6"/>
    <n v="0.2"/>
    <n v="0.50039999999999996"/>
  </r>
  <r>
    <n v="430"/>
    <x v="198"/>
    <x v="162"/>
    <x v="4"/>
    <d v="2017-03-31T00:00:00"/>
    <d v="2017-09-04T00:00:00"/>
    <s v="Standard Class"/>
    <s v="RB-19795"/>
    <s v="Ross Baird"/>
    <s v="Home Office"/>
    <s v="United States"/>
    <s v="Gastonia"/>
    <x v="3"/>
    <n v="28052"/>
    <x v="0"/>
    <s v="OFF-BI-10004584"/>
    <x v="1"/>
    <s v="Binders"/>
    <s v="GBC ProClick 150 Presentation Binding System"/>
    <n v="189.58799999999999"/>
    <n v="2"/>
    <n v="0.7"/>
    <n v="-145.35079999999999"/>
  </r>
  <r>
    <n v="431"/>
    <x v="198"/>
    <x v="162"/>
    <x v="4"/>
    <d v="2017-03-31T00:00:00"/>
    <d v="2017-09-04T00:00:00"/>
    <s v="Standard Class"/>
    <s v="RB-19795"/>
    <s v="Ross Baird"/>
    <s v="Home Office"/>
    <s v="United States"/>
    <s v="Gastonia"/>
    <x v="3"/>
    <n v="28052"/>
    <x v="0"/>
    <s v="TEC-AC-10004659"/>
    <x v="2"/>
    <s v="Accessories"/>
    <s v="Imation Secure+ Hardware Encrypted USB 2.0 Flash Drive; 16GB"/>
    <n v="408.74400000000003"/>
    <n v="7"/>
    <n v="0.2"/>
    <n v="76.639499999999998"/>
  </r>
  <r>
    <n v="432"/>
    <x v="198"/>
    <x v="162"/>
    <x v="4"/>
    <d v="2017-03-31T00:00:00"/>
    <d v="2017-09-04T00:00:00"/>
    <s v="Standard Class"/>
    <s v="RB-19795"/>
    <s v="Ross Baird"/>
    <s v="Home Office"/>
    <s v="United States"/>
    <s v="Gastonia"/>
    <x v="3"/>
    <n v="28052"/>
    <x v="0"/>
    <s v="TEC-AC-10004659"/>
    <x v="2"/>
    <s v="Accessories"/>
    <s v="Imation Secure+ Hardware Encrypted USB 2.0 Flash Drive; 16GB"/>
    <n v="291.95999999999998"/>
    <n v="5"/>
    <n v="0.2"/>
    <n v="54.7425"/>
  </r>
  <r>
    <n v="433"/>
    <x v="198"/>
    <x v="162"/>
    <x v="4"/>
    <d v="2017-03-31T00:00:00"/>
    <d v="2017-09-04T00:00:00"/>
    <s v="Standard Class"/>
    <s v="RB-19795"/>
    <s v="Ross Baird"/>
    <s v="Home Office"/>
    <s v="United States"/>
    <s v="Gastonia"/>
    <x v="3"/>
    <n v="28052"/>
    <x v="0"/>
    <s v="OFF-ST-10000617"/>
    <x v="1"/>
    <s v="Storage"/>
    <s v="Woodgrain Magazine Files by Perma"/>
    <n v="4.7679999999999998"/>
    <n v="2"/>
    <n v="0.2"/>
    <n v="-0.77480000000000004"/>
  </r>
  <r>
    <n v="434"/>
    <x v="199"/>
    <x v="108"/>
    <x v="10"/>
    <d v="2016-06-30T00:00:00"/>
    <d v="2016-07-06T00:00:00"/>
    <s v="First Class"/>
    <s v="DB-13060"/>
    <s v="Dave Brooks"/>
    <s v="Consumer"/>
    <s v="United States"/>
    <s v="Lowell"/>
    <x v="31"/>
    <n v="1852"/>
    <x v="3"/>
    <s v="OFF-ST-10003306"/>
    <x v="1"/>
    <s v="Storage"/>
    <s v="Letter Size Cart"/>
    <n v="714.3"/>
    <n v="5"/>
    <n v="0"/>
    <n v="207.14699999999999"/>
  </r>
  <r>
    <n v="435"/>
    <x v="200"/>
    <x v="163"/>
    <x v="9"/>
    <d v="2015-07-31T00:00:00"/>
    <d v="2016-01-12T00:00:00"/>
    <s v="Standard Class"/>
    <s v="MK-18160"/>
    <s v="Mike Kennedy"/>
    <s v="Consumer"/>
    <s v="United States"/>
    <s v="Jacksonville"/>
    <x v="2"/>
    <n v="32216"/>
    <x v="0"/>
    <s v="OFF-BI-10000773"/>
    <x v="1"/>
    <s v="Binders"/>
    <s v="Insertable Tab Post Binder Dividers"/>
    <n v="4.8120000000000003"/>
    <n v="2"/>
    <n v="0.7"/>
    <n v="-3.6892"/>
  </r>
  <r>
    <n v="436"/>
    <x v="200"/>
    <x v="163"/>
    <x v="9"/>
    <d v="2015-07-31T00:00:00"/>
    <d v="2016-01-12T00:00:00"/>
    <s v="Standard Class"/>
    <s v="MK-18160"/>
    <s v="Mike Kennedy"/>
    <s v="Consumer"/>
    <s v="United States"/>
    <s v="Jacksonville"/>
    <x v="2"/>
    <n v="32216"/>
    <x v="0"/>
    <s v="TEC-AC-10002600"/>
    <x v="2"/>
    <s v="Accessories"/>
    <s v="Belkin QODE FastFit Bluetooth Keyboard"/>
    <n v="247.8"/>
    <n v="5"/>
    <n v="0.2"/>
    <n v="-18.585000000000001"/>
  </r>
  <r>
    <n v="437"/>
    <x v="201"/>
    <x v="1"/>
    <x v="1"/>
    <d v="2016-12-31T00:00:00"/>
    <d v="2017-02-06T00:00:00"/>
    <s v="Second Class"/>
    <s v="PO-19180"/>
    <s v="Philisse Overcash"/>
    <s v="Home Office"/>
    <s v="United States"/>
    <s v="Chicago"/>
    <x v="10"/>
    <n v="60623"/>
    <x v="2"/>
    <s v="TEC-MA-10002937"/>
    <x v="2"/>
    <s v="Machines"/>
    <s v="Canon Color ImageCLASS MF8580Cdw Wireless Laser All-In-One Printer, Copier, Scanner"/>
    <n v="1007.979"/>
    <n v="3"/>
    <n v="0.3"/>
    <n v="43.199100000000001"/>
  </r>
  <r>
    <n v="438"/>
    <x v="201"/>
    <x v="1"/>
    <x v="1"/>
    <d v="2016-12-31T00:00:00"/>
    <d v="2017-02-06T00:00:00"/>
    <s v="Second Class"/>
    <s v="PO-19180"/>
    <s v="Philisse Overcash"/>
    <s v="Home Office"/>
    <s v="United States"/>
    <s v="Chicago"/>
    <x v="10"/>
    <n v="60623"/>
    <x v="2"/>
    <s v="OFF-PA-10001970"/>
    <x v="1"/>
    <s v="Paper"/>
    <s v="Xerox 1908"/>
    <n v="313.488"/>
    <n v="7"/>
    <n v="0.2"/>
    <n v="113.63939999999999"/>
  </r>
  <r>
    <n v="439"/>
    <x v="202"/>
    <x v="164"/>
    <x v="4"/>
    <d v="2018-03-31T00:00:00"/>
    <d v="2018-07-09T00:00:00"/>
    <s v="Standard Class"/>
    <s v="BB-11545"/>
    <s v="Brenda Bowman"/>
    <s v="Corporate"/>
    <s v="United States"/>
    <s v="Houston"/>
    <x v="5"/>
    <n v="77070"/>
    <x v="2"/>
    <s v="OFF-PA-10002230"/>
    <x v="1"/>
    <s v="Paper"/>
    <s v="Xerox 1897"/>
    <n v="31.872"/>
    <n v="8"/>
    <n v="0.2"/>
    <n v="11.553599999999999"/>
  </r>
  <r>
    <n v="440"/>
    <x v="203"/>
    <x v="165"/>
    <x v="0"/>
    <d v="2018-08-31T00:00:00"/>
    <d v="2018-11-01T00:00:00"/>
    <s v="Second Class"/>
    <s v="CV-12805"/>
    <s v="Cynthia Voltz"/>
    <s v="Corporate"/>
    <s v="United States"/>
    <s v="New York City"/>
    <x v="15"/>
    <n v="10024"/>
    <x v="3"/>
    <s v="FUR-CH-10003396"/>
    <x v="0"/>
    <s v="Chairs"/>
    <s v="Global Deluxe Steno Chair"/>
    <n v="207.846"/>
    <n v="3"/>
    <n v="0.1"/>
    <n v="2.3094000000000001"/>
  </r>
  <r>
    <n v="441"/>
    <x v="204"/>
    <x v="14"/>
    <x v="5"/>
    <d v="2016-05-31T00:00:00"/>
    <d v="2016-07-09T00:00:00"/>
    <s v="Second Class"/>
    <s v="PK-19075"/>
    <s v="Pete Kriz"/>
    <s v="Consumer"/>
    <s v="United States"/>
    <s v="Detroit"/>
    <x v="12"/>
    <n v="48227"/>
    <x v="2"/>
    <s v="FUR-FU-10000246"/>
    <x v="0"/>
    <s v="Furnishings"/>
    <s v="Aluminum Document Frame"/>
    <n v="12.22"/>
    <n v="1"/>
    <n v="0"/>
    <n v="3.6659999999999999"/>
  </r>
  <r>
    <n v="442"/>
    <x v="204"/>
    <x v="14"/>
    <x v="5"/>
    <d v="2016-05-31T00:00:00"/>
    <d v="2016-07-09T00:00:00"/>
    <s v="Second Class"/>
    <s v="PK-19075"/>
    <s v="Pete Kriz"/>
    <s v="Consumer"/>
    <s v="United States"/>
    <s v="Detroit"/>
    <x v="12"/>
    <n v="48227"/>
    <x v="2"/>
    <s v="OFF-ST-10000060"/>
    <x v="1"/>
    <s v="Storage"/>
    <s v="Fellowes Bankers Box Staxonsteel Drawer File/Stacking System"/>
    <n v="194.94"/>
    <n v="3"/>
    <n v="0"/>
    <n v="23.392800000000001"/>
  </r>
  <r>
    <n v="443"/>
    <x v="204"/>
    <x v="14"/>
    <x v="5"/>
    <d v="2016-05-31T00:00:00"/>
    <d v="2016-07-09T00:00:00"/>
    <s v="Second Class"/>
    <s v="PK-19075"/>
    <s v="Pete Kriz"/>
    <s v="Consumer"/>
    <s v="United States"/>
    <s v="Detroit"/>
    <x v="12"/>
    <n v="48227"/>
    <x v="2"/>
    <s v="OFF-ST-10003058"/>
    <x v="1"/>
    <s v="Storage"/>
    <s v="Eldon Mobile Mega Data Cart  Mega Stackable  Add-On Trays"/>
    <n v="70.95"/>
    <n v="3"/>
    <n v="0"/>
    <n v="20.575500000000002"/>
  </r>
  <r>
    <n v="444"/>
    <x v="204"/>
    <x v="14"/>
    <x v="5"/>
    <d v="2016-05-31T00:00:00"/>
    <d v="2016-07-09T00:00:00"/>
    <s v="Second Class"/>
    <s v="PK-19075"/>
    <s v="Pete Kriz"/>
    <s v="Consumer"/>
    <s v="United States"/>
    <s v="Detroit"/>
    <x v="12"/>
    <n v="48227"/>
    <x v="2"/>
    <s v="OFF-PA-10002222"/>
    <x v="1"/>
    <s v="Paper"/>
    <s v="Xerox Color Copier Paper, 11&quot; x 17&quot;, Ream"/>
    <n v="91.36"/>
    <n v="4"/>
    <n v="0"/>
    <n v="42.025599999999997"/>
  </r>
  <r>
    <n v="445"/>
    <x v="204"/>
    <x v="14"/>
    <x v="5"/>
    <d v="2016-05-31T00:00:00"/>
    <d v="2016-07-09T00:00:00"/>
    <s v="Second Class"/>
    <s v="PK-19075"/>
    <s v="Pete Kriz"/>
    <s v="Consumer"/>
    <s v="United States"/>
    <s v="Detroit"/>
    <x v="12"/>
    <n v="48227"/>
    <x v="2"/>
    <s v="FUR-CH-10002372"/>
    <x v="0"/>
    <s v="Chairs"/>
    <s v="Office Star - Ergonomically Designed Knee Chair"/>
    <n v="242.94"/>
    <n v="3"/>
    <n v="0"/>
    <n v="29.152799999999999"/>
  </r>
  <r>
    <n v="446"/>
    <x v="204"/>
    <x v="14"/>
    <x v="5"/>
    <d v="2016-05-31T00:00:00"/>
    <d v="2016-07-09T00:00:00"/>
    <s v="Second Class"/>
    <s v="PK-19075"/>
    <s v="Pete Kriz"/>
    <s v="Consumer"/>
    <s v="United States"/>
    <s v="Detroit"/>
    <x v="12"/>
    <n v="48227"/>
    <x v="2"/>
    <s v="OFF-LA-10001317"/>
    <x v="1"/>
    <s v="Labels"/>
    <s v="Avery 520"/>
    <n v="22.05"/>
    <n v="7"/>
    <n v="0"/>
    <n v="10.584"/>
  </r>
  <r>
    <n v="447"/>
    <x v="205"/>
    <x v="166"/>
    <x v="0"/>
    <d v="2018-08-31T00:00:00"/>
    <d v="2019-01-03T00:00:00"/>
    <s v="Second Class"/>
    <s v="TB-21595"/>
    <s v="Troy Blackwell"/>
    <s v="Consumer"/>
    <s v="United States"/>
    <s v="Columbus"/>
    <x v="14"/>
    <n v="47201"/>
    <x v="2"/>
    <s v="FUR-FU-10000206"/>
    <x v="0"/>
    <s v="Furnishings"/>
    <s v="GE General Purpose, Extra Long Life, Showcase &amp; Floodlight Incandescent Bulbs"/>
    <n v="2.91"/>
    <n v="1"/>
    <n v="0"/>
    <n v="1.3676999999999999"/>
  </r>
  <r>
    <n v="448"/>
    <x v="206"/>
    <x v="167"/>
    <x v="7"/>
    <d v="2016-01-31T00:00:00"/>
    <d v="2016-03-04T00:00:00"/>
    <s v="Second Class"/>
    <s v="RB-19360"/>
    <s v="Raymond Buch"/>
    <s v="Consumer"/>
    <s v="United States"/>
    <s v="Auburn"/>
    <x v="15"/>
    <n v="13021"/>
    <x v="3"/>
    <s v="OFF-AR-10000588"/>
    <x v="1"/>
    <s v="Art"/>
    <s v="Newell 345"/>
    <n v="59.52"/>
    <n v="3"/>
    <n v="0"/>
    <n v="15.475199999999999"/>
  </r>
  <r>
    <n v="449"/>
    <x v="206"/>
    <x v="167"/>
    <x v="7"/>
    <d v="2016-01-31T00:00:00"/>
    <d v="2016-03-04T00:00:00"/>
    <s v="Second Class"/>
    <s v="RB-19360"/>
    <s v="Raymond Buch"/>
    <s v="Consumer"/>
    <s v="United States"/>
    <s v="Auburn"/>
    <x v="15"/>
    <n v="13021"/>
    <x v="3"/>
    <s v="OFF-ST-10001469"/>
    <x v="1"/>
    <s v="Storage"/>
    <s v="Fellowes Bankers Box Recycled Super Stor/Drawer"/>
    <n v="161.94"/>
    <n v="3"/>
    <n v="0"/>
    <n v="9.7164000000000001"/>
  </r>
  <r>
    <n v="450"/>
    <x v="206"/>
    <x v="167"/>
    <x v="7"/>
    <d v="2016-01-31T00:00:00"/>
    <d v="2016-03-04T00:00:00"/>
    <s v="Second Class"/>
    <s v="RB-19360"/>
    <s v="Raymond Buch"/>
    <s v="Consumer"/>
    <s v="United States"/>
    <s v="Auburn"/>
    <x v="15"/>
    <n v="13021"/>
    <x v="3"/>
    <s v="OFF-AR-10001953"/>
    <x v="1"/>
    <s v="Art"/>
    <s v="Boston 1645 Deluxe Heavier-Duty Electric Pencil Sharpener"/>
    <n v="263.88"/>
    <n v="6"/>
    <n v="0"/>
    <n v="71.247600000000006"/>
  </r>
  <r>
    <n v="451"/>
    <x v="206"/>
    <x v="167"/>
    <x v="7"/>
    <d v="2016-01-31T00:00:00"/>
    <d v="2016-03-04T00:00:00"/>
    <s v="Second Class"/>
    <s v="RB-19360"/>
    <s v="Raymond Buch"/>
    <s v="Consumer"/>
    <s v="United States"/>
    <s v="Auburn"/>
    <x v="15"/>
    <n v="13021"/>
    <x v="3"/>
    <s v="OFF-AR-10003156"/>
    <x v="1"/>
    <s v="Art"/>
    <s v="50 Colored Long Pencils"/>
    <n v="30.48"/>
    <n v="3"/>
    <n v="0"/>
    <n v="7.9248000000000003"/>
  </r>
  <r>
    <n v="452"/>
    <x v="206"/>
    <x v="167"/>
    <x v="7"/>
    <d v="2016-01-31T00:00:00"/>
    <d v="2016-03-04T00:00:00"/>
    <s v="Second Class"/>
    <s v="RB-19360"/>
    <s v="Raymond Buch"/>
    <s v="Consumer"/>
    <s v="United States"/>
    <s v="Auburn"/>
    <x v="15"/>
    <n v="13021"/>
    <x v="3"/>
    <s v="OFF-AR-10004974"/>
    <x v="1"/>
    <s v="Art"/>
    <s v="Newell 342"/>
    <n v="9.84"/>
    <n v="3"/>
    <n v="0"/>
    <n v="2.8536000000000001"/>
  </r>
  <r>
    <n v="453"/>
    <x v="206"/>
    <x v="167"/>
    <x v="7"/>
    <d v="2016-01-31T00:00:00"/>
    <d v="2016-03-04T00:00:00"/>
    <s v="Second Class"/>
    <s v="RB-19360"/>
    <s v="Raymond Buch"/>
    <s v="Consumer"/>
    <s v="United States"/>
    <s v="Auburn"/>
    <x v="15"/>
    <n v="13021"/>
    <x v="3"/>
    <s v="TEC-PH-10002365"/>
    <x v="2"/>
    <s v="Phones"/>
    <s v="Belkin Grip Candy Sheer Case / Cover for iPhone 5 and 5S"/>
    <n v="35.119999999999997"/>
    <n v="4"/>
    <n v="0"/>
    <n v="9.1311999999999998"/>
  </r>
  <r>
    <n v="454"/>
    <x v="207"/>
    <x v="168"/>
    <x v="0"/>
    <d v="2018-08-31T00:00:00"/>
    <d v="2018-12-10T00:00:00"/>
    <s v="Standard Class"/>
    <s v="EB-13705"/>
    <s v="Ed Braxton"/>
    <s v="Corporate"/>
    <s v="United States"/>
    <s v="Akron"/>
    <x v="24"/>
    <n v="44312"/>
    <x v="3"/>
    <s v="FUR-TA-10001539"/>
    <x v="0"/>
    <s v="Tables"/>
    <s v="Chromcraft Rectangular Conference Tables"/>
    <n v="284.36399999999998"/>
    <n v="2"/>
    <n v="0.4"/>
    <n v="-75.830399999999997"/>
  </r>
  <r>
    <n v="455"/>
    <x v="207"/>
    <x v="168"/>
    <x v="0"/>
    <d v="2018-08-31T00:00:00"/>
    <d v="2018-12-10T00:00:00"/>
    <s v="Standard Class"/>
    <s v="EB-13705"/>
    <s v="Ed Braxton"/>
    <s v="Corporate"/>
    <s v="United States"/>
    <s v="Akron"/>
    <x v="24"/>
    <n v="44312"/>
    <x v="3"/>
    <s v="OFF-ST-10000142"/>
    <x v="1"/>
    <s v="Storage"/>
    <s v="Deluxe Rollaway Locking File with Drawer"/>
    <n v="665.40800000000002"/>
    <n v="2"/>
    <n v="0.2"/>
    <n v="66.540800000000004"/>
  </r>
  <r>
    <n v="456"/>
    <x v="208"/>
    <x v="95"/>
    <x v="7"/>
    <d v="2017-01-31T00:00:00"/>
    <d v="2017-05-12T00:00:00"/>
    <s v="Standard Class"/>
    <s v="KH-16630"/>
    <s v="Ken Heidel"/>
    <s v="Corporate"/>
    <s v="United States"/>
    <s v="Norman"/>
    <x v="26"/>
    <n v="73071"/>
    <x v="2"/>
    <s v="TEC-AC-10001772"/>
    <x v="2"/>
    <s v="Accessories"/>
    <s v="Memorex Mini Travel Drive 16 GB USB 2.0 Flash Drive"/>
    <n v="63.88"/>
    <n v="4"/>
    <n v="0"/>
    <n v="24.9132"/>
  </r>
  <r>
    <n v="457"/>
    <x v="209"/>
    <x v="169"/>
    <x v="1"/>
    <d v="2014-12-31T00:00:00"/>
    <d v="2015-06-02T00:00:00"/>
    <s v="Standard Class"/>
    <s v="SC-20095"/>
    <s v="Sanjit Chand"/>
    <s v="Consumer"/>
    <s v="United States"/>
    <s v="Concord"/>
    <x v="1"/>
    <n v="94521"/>
    <x v="1"/>
    <s v="FUR-CH-10000225"/>
    <x v="0"/>
    <s v="Chairs"/>
    <s v="Global Geo Office Task Chair, Gray"/>
    <n v="129.56800000000001"/>
    <n v="2"/>
    <n v="0.2"/>
    <n v="-24.294"/>
  </r>
  <r>
    <n v="458"/>
    <x v="210"/>
    <x v="32"/>
    <x v="11"/>
    <d v="2018-02-28T00:00:00"/>
    <d v="2016-01-10T00:00:00"/>
    <s v="Standard Class"/>
    <s v="NF-18385"/>
    <s v="Natalie Fritzler"/>
    <s v="Consumer"/>
    <s v="United States"/>
    <s v="Decatur"/>
    <x v="10"/>
    <n v="62521"/>
    <x v="2"/>
    <s v="FUR-CH-10002331"/>
    <x v="0"/>
    <s v="Chairs"/>
    <s v="Hon 4700 Series Mobuis Mid-Back Task Chairs with Adjustable Arms"/>
    <n v="747.55799999999999"/>
    <n v="3"/>
    <n v="0.3"/>
    <n v="-96.114599999999996"/>
  </r>
  <r>
    <n v="459"/>
    <x v="210"/>
    <x v="32"/>
    <x v="11"/>
    <d v="2018-02-28T00:00:00"/>
    <d v="2016-01-10T00:00:00"/>
    <s v="Standard Class"/>
    <s v="NF-18385"/>
    <s v="Natalie Fritzler"/>
    <s v="Consumer"/>
    <s v="United States"/>
    <s v="Decatur"/>
    <x v="10"/>
    <n v="62521"/>
    <x v="2"/>
    <s v="OFF-EN-10001415"/>
    <x v="1"/>
    <s v="Envelopes"/>
    <s v="Staple envelope"/>
    <n v="8.9280000000000008"/>
    <n v="2"/>
    <n v="0.2"/>
    <n v="3.3479999999999999"/>
  </r>
  <r>
    <n v="460"/>
    <x v="211"/>
    <x v="82"/>
    <x v="4"/>
    <d v="2016-03-31T00:00:00"/>
    <d v="2016-10-12T00:00:00"/>
    <s v="Standard Class"/>
    <s v="JH-15985"/>
    <s v="Joseph Holt"/>
    <s v="Consumer"/>
    <s v="United States"/>
    <s v="Seattle"/>
    <x v="4"/>
    <n v="98115"/>
    <x v="1"/>
    <s v="OFF-AP-10002472"/>
    <x v="1"/>
    <s v="Appliances"/>
    <s v="3M Office Air Cleaner"/>
    <n v="103.92"/>
    <n v="4"/>
    <n v="0"/>
    <n v="36.372"/>
  </r>
  <r>
    <n v="461"/>
    <x v="211"/>
    <x v="82"/>
    <x v="4"/>
    <d v="2016-03-31T00:00:00"/>
    <d v="2016-10-12T00:00:00"/>
    <s v="Standard Class"/>
    <s v="JH-15985"/>
    <s v="Joseph Holt"/>
    <s v="Consumer"/>
    <s v="United States"/>
    <s v="Seattle"/>
    <x v="4"/>
    <n v="98115"/>
    <x v="1"/>
    <s v="TEC-AC-10004571"/>
    <x v="2"/>
    <s v="Accessories"/>
    <s v="Logitech G700s Rechargeable Gaming Mouse"/>
    <n v="899.91"/>
    <n v="9"/>
    <n v="0"/>
    <n v="377.9622"/>
  </r>
  <r>
    <n v="462"/>
    <x v="211"/>
    <x v="82"/>
    <x v="4"/>
    <d v="2016-03-31T00:00:00"/>
    <d v="2016-10-12T00:00:00"/>
    <s v="Standard Class"/>
    <s v="JH-15985"/>
    <s v="Joseph Holt"/>
    <s v="Consumer"/>
    <s v="United States"/>
    <s v="Seattle"/>
    <x v="4"/>
    <n v="98115"/>
    <x v="1"/>
    <s v="OFF-BI-10001098"/>
    <x v="1"/>
    <s v="Binders"/>
    <s v="Acco D-Ring Binder w/DublLock"/>
    <n v="51.311999999999998"/>
    <n v="3"/>
    <n v="0.2"/>
    <n v="18.6006"/>
  </r>
  <r>
    <n v="463"/>
    <x v="212"/>
    <x v="170"/>
    <x v="6"/>
    <d v="2017-10-31T00:00:00"/>
    <d v="2018-05-04T00:00:00"/>
    <s v="Standard Class"/>
    <s v="TN-21040"/>
    <s v="Tanja Norvell"/>
    <s v="Home Office"/>
    <s v="United States"/>
    <s v="Phoenix"/>
    <x v="16"/>
    <n v="85023"/>
    <x v="1"/>
    <s v="FUR-FU-10000023"/>
    <x v="0"/>
    <s v="Furnishings"/>
    <s v="Eldon Wave Desk Accessories"/>
    <n v="23.56"/>
    <n v="5"/>
    <n v="0.2"/>
    <n v="7.0679999999999996"/>
  </r>
  <r>
    <n v="464"/>
    <x v="212"/>
    <x v="170"/>
    <x v="6"/>
    <d v="2017-10-31T00:00:00"/>
    <d v="2018-05-04T00:00:00"/>
    <s v="Standard Class"/>
    <s v="TN-21040"/>
    <s v="Tanja Norvell"/>
    <s v="Home Office"/>
    <s v="United States"/>
    <s v="Phoenix"/>
    <x v="16"/>
    <n v="85023"/>
    <x v="1"/>
    <s v="FUR-TA-10001889"/>
    <x v="0"/>
    <s v="Tables"/>
    <s v="Bush Advantage Collection Racetrack Conference Table"/>
    <n v="1272.6300000000001"/>
    <n v="6"/>
    <n v="0.5"/>
    <n v="-814.48320000000001"/>
  </r>
  <r>
    <n v="465"/>
    <x v="212"/>
    <x v="170"/>
    <x v="6"/>
    <d v="2017-10-31T00:00:00"/>
    <d v="2018-05-04T00:00:00"/>
    <s v="Standard Class"/>
    <s v="TN-21040"/>
    <s v="Tanja Norvell"/>
    <s v="Home Office"/>
    <s v="United States"/>
    <s v="Phoenix"/>
    <x v="16"/>
    <n v="85023"/>
    <x v="1"/>
    <s v="OFF-BI-10000315"/>
    <x v="1"/>
    <s v="Binders"/>
    <s v="Poly Designer Cover &amp; Back"/>
    <n v="28.484999999999999"/>
    <n v="5"/>
    <n v="0.7"/>
    <n v="-20.888999999999999"/>
  </r>
  <r>
    <n v="466"/>
    <x v="212"/>
    <x v="170"/>
    <x v="6"/>
    <d v="2017-10-31T00:00:00"/>
    <d v="2018-05-04T00:00:00"/>
    <s v="Standard Class"/>
    <s v="TN-21040"/>
    <s v="Tanja Norvell"/>
    <s v="Home Office"/>
    <s v="United States"/>
    <s v="Phoenix"/>
    <x v="16"/>
    <n v="85023"/>
    <x v="1"/>
    <s v="OFF-SU-10003505"/>
    <x v="1"/>
    <s v="Supplies"/>
    <s v="Premier Electric Letter Opener"/>
    <n v="185.376"/>
    <n v="2"/>
    <n v="0.2"/>
    <n v="-34.758000000000003"/>
  </r>
  <r>
    <n v="467"/>
    <x v="212"/>
    <x v="170"/>
    <x v="6"/>
    <d v="2017-10-31T00:00:00"/>
    <d v="2018-05-04T00:00:00"/>
    <s v="Standard Class"/>
    <s v="TN-21040"/>
    <s v="Tanja Norvell"/>
    <s v="Home Office"/>
    <s v="United States"/>
    <s v="Phoenix"/>
    <x v="16"/>
    <n v="85023"/>
    <x v="1"/>
    <s v="OFF-AP-10002578"/>
    <x v="1"/>
    <s v="Appliances"/>
    <s v="Fellowes Premier Superior Surge Suppressor, 10-Outlet, With Phone and Remote"/>
    <n v="78.272000000000006"/>
    <n v="2"/>
    <n v="0.2"/>
    <n v="5.8704000000000001"/>
  </r>
  <r>
    <n v="468"/>
    <x v="213"/>
    <x v="171"/>
    <x v="5"/>
    <d v="2016-05-31T00:00:00"/>
    <d v="2016-12-01T00:00:00"/>
    <s v="Standard Class"/>
    <s v="JS-15940"/>
    <s v="Joni Sundaresam"/>
    <s v="Home Office"/>
    <s v="United States"/>
    <s v="Park Ridge"/>
    <x v="10"/>
    <n v="60068"/>
    <x v="2"/>
    <s v="FUR-FU-10002918"/>
    <x v="0"/>
    <s v="Furnishings"/>
    <s v="Eldon ClusterMat Chair Mat with Cordless Antistatic Protection"/>
    <n v="254.744"/>
    <n v="7"/>
    <n v="0.6"/>
    <n v="-312.06139999999999"/>
  </r>
  <r>
    <n v="469"/>
    <x v="214"/>
    <x v="172"/>
    <x v="9"/>
    <d v="2019-07-31T00:00:00"/>
    <d v="2017-04-04T00:00:00"/>
    <s v="Standard Class"/>
    <s v="DS-13180"/>
    <s v="David Smith"/>
    <s v="Corporate"/>
    <s v="United States"/>
    <s v="Amarillo"/>
    <x v="5"/>
    <n v="79109"/>
    <x v="2"/>
    <s v="FUR-BO-10002824"/>
    <x v="0"/>
    <s v="Bookcases"/>
    <s v="Bush Mission Pointe Library"/>
    <n v="205.33279999999999"/>
    <n v="2"/>
    <n v="0.32"/>
    <n v="-36.235199999999999"/>
  </r>
  <r>
    <n v="470"/>
    <x v="215"/>
    <x v="74"/>
    <x v="8"/>
    <d v="2017-04-30T00:00:00"/>
    <d v="2017-08-12T00:00:00"/>
    <s v="Second Class"/>
    <s v="CC-12670"/>
    <s v="Craig Carreira"/>
    <s v="Consumer"/>
    <s v="United States"/>
    <s v="Chicago"/>
    <x v="10"/>
    <n v="60610"/>
    <x v="2"/>
    <s v="OFF-BI-10002194"/>
    <x v="1"/>
    <s v="Binders"/>
    <s v="Cardinal Hold-It CD Pocket"/>
    <n v="4.7880000000000003"/>
    <n v="3"/>
    <n v="0.8"/>
    <n v="-7.9001999999999999"/>
  </r>
  <r>
    <n v="471"/>
    <x v="216"/>
    <x v="16"/>
    <x v="0"/>
    <d v="2016-08-31T00:00:00"/>
    <d v="2016-12-12T00:00:00"/>
    <s v="Standard Class"/>
    <s v="MH-17785"/>
    <s v="Maya Herman"/>
    <s v="Corporate"/>
    <s v="United States"/>
    <s v="Lindenhurst"/>
    <x v="15"/>
    <n v="11757"/>
    <x v="3"/>
    <s v="OFF-PA-10004071"/>
    <x v="1"/>
    <s v="Paper"/>
    <s v="Eaton Premium Continuous-Feed Paper, 25% Cotton, Letter Size, White, 1000 Shts/Box"/>
    <n v="55.48"/>
    <n v="1"/>
    <n v="0"/>
    <n v="26.630400000000002"/>
  </r>
  <r>
    <n v="472"/>
    <x v="217"/>
    <x v="173"/>
    <x v="3"/>
    <d v="2014-09-30T00:00:00"/>
    <d v="2014-11-11T00:00:00"/>
    <s v="Second Class"/>
    <s v="JP-15520"/>
    <s v="Jeremy Pistek"/>
    <s v="Consumer"/>
    <s v="United States"/>
    <s v="San Francisco"/>
    <x v="1"/>
    <n v="94110"/>
    <x v="1"/>
    <s v="OFF-ST-10002743"/>
    <x v="1"/>
    <s v="Storage"/>
    <s v="SAFCO Boltless Steel Shelving"/>
    <n v="340.92"/>
    <n v="3"/>
    <n v="0"/>
    <n v="3.4091999999999998"/>
  </r>
  <r>
    <n v="473"/>
    <x v="217"/>
    <x v="173"/>
    <x v="3"/>
    <d v="2014-09-30T00:00:00"/>
    <d v="2014-11-11T00:00:00"/>
    <s v="Second Class"/>
    <s v="JP-15520"/>
    <s v="Jeremy Pistek"/>
    <s v="Consumer"/>
    <s v="United States"/>
    <s v="San Francisco"/>
    <x v="1"/>
    <n v="94110"/>
    <x v="1"/>
    <s v="FUR-BO-10001601"/>
    <x v="0"/>
    <s v="Bookcases"/>
    <s v="Sauder Mission Library with Doors, Fruitwood Finish"/>
    <n v="222.666"/>
    <n v="2"/>
    <n v="0.15"/>
    <n v="10.478400000000001"/>
  </r>
  <r>
    <n v="474"/>
    <x v="217"/>
    <x v="173"/>
    <x v="3"/>
    <d v="2014-09-30T00:00:00"/>
    <d v="2014-11-11T00:00:00"/>
    <s v="Second Class"/>
    <s v="JP-15520"/>
    <s v="Jeremy Pistek"/>
    <s v="Consumer"/>
    <s v="United States"/>
    <s v="San Francisco"/>
    <x v="1"/>
    <n v="94110"/>
    <x v="1"/>
    <s v="TEC-PH-10002680"/>
    <x v="2"/>
    <s v="Phones"/>
    <s v="Samsung Galaxy Note 3"/>
    <n v="703.96799999999996"/>
    <n v="4"/>
    <n v="0.2"/>
    <n v="87.995999999999995"/>
  </r>
  <r>
    <n v="475"/>
    <x v="217"/>
    <x v="173"/>
    <x v="3"/>
    <d v="2014-09-30T00:00:00"/>
    <d v="2014-11-11T00:00:00"/>
    <s v="Second Class"/>
    <s v="JP-15520"/>
    <s v="Jeremy Pistek"/>
    <s v="Consumer"/>
    <s v="United States"/>
    <s v="San Francisco"/>
    <x v="1"/>
    <n v="94110"/>
    <x v="1"/>
    <s v="OFF-ST-10001321"/>
    <x v="1"/>
    <s v="Storage"/>
    <s v="Decoflex Hanging Personal Folder File, Blue"/>
    <n v="92.52"/>
    <n v="6"/>
    <n v="0"/>
    <n v="24.980399999999999"/>
  </r>
  <r>
    <n v="476"/>
    <x v="217"/>
    <x v="173"/>
    <x v="3"/>
    <d v="2014-09-30T00:00:00"/>
    <d v="2014-11-11T00:00:00"/>
    <s v="Second Class"/>
    <s v="JP-15520"/>
    <s v="Jeremy Pistek"/>
    <s v="Consumer"/>
    <s v="United States"/>
    <s v="San Francisco"/>
    <x v="1"/>
    <n v="94110"/>
    <x v="1"/>
    <s v="OFF-PA-10001509"/>
    <x v="1"/>
    <s v="Paper"/>
    <s v="Recycled Desk Saver Line &quot;While You Were Out&quot; Book, 5 1/2&quot; X 4&quot;"/>
    <n v="62.65"/>
    <n v="7"/>
    <n v="0"/>
    <n v="28.818999999999999"/>
  </r>
  <r>
    <n v="477"/>
    <x v="217"/>
    <x v="173"/>
    <x v="3"/>
    <d v="2014-09-30T00:00:00"/>
    <d v="2014-11-11T00:00:00"/>
    <s v="Second Class"/>
    <s v="JP-15520"/>
    <s v="Jeremy Pistek"/>
    <s v="Consumer"/>
    <s v="United States"/>
    <s v="San Francisco"/>
    <x v="1"/>
    <n v="94110"/>
    <x v="1"/>
    <s v="OFF-PA-10003465"/>
    <x v="1"/>
    <s v="Paper"/>
    <s v="Xerox 1912"/>
    <n v="94.85"/>
    <n v="5"/>
    <n v="0"/>
    <n v="45.527999999999999"/>
  </r>
  <r>
    <n v="478"/>
    <x v="218"/>
    <x v="174"/>
    <x v="1"/>
    <d v="2016-12-31T00:00:00"/>
    <d v="2017-07-07T00:00:00"/>
    <s v="Standard Class"/>
    <s v="KH-16690"/>
    <s v="Kristen Hastings"/>
    <s v="Corporate"/>
    <s v="United States"/>
    <s v="Los Angeles"/>
    <x v="1"/>
    <n v="90008"/>
    <x v="1"/>
    <s v="TEC-PH-10000149"/>
    <x v="2"/>
    <s v="Phones"/>
    <s v="Cisco SPA525G2 IP Phone - Wireless"/>
    <n v="95.76"/>
    <n v="6"/>
    <n v="0.2"/>
    <n v="7.1820000000000004"/>
  </r>
  <r>
    <n v="479"/>
    <x v="219"/>
    <x v="175"/>
    <x v="4"/>
    <d v="2018-03-31T00:00:00"/>
    <d v="2016-02-11T00:00:00"/>
    <s v="Standard Class"/>
    <s v="JE-15475"/>
    <s v="Jeremy Ellison"/>
    <s v="Consumer"/>
    <s v="United States"/>
    <s v="Troy"/>
    <x v="15"/>
    <n v="12180"/>
    <x v="3"/>
    <s v="FUR-FU-10002671"/>
    <x v="0"/>
    <s v="Furnishings"/>
    <s v="Electrix 20W Halogen Replacement Bulb for Zoom-In Desk Lamp"/>
    <n v="40.200000000000003"/>
    <n v="3"/>
    <n v="0"/>
    <n v="19.295999999999999"/>
  </r>
  <r>
    <n v="480"/>
    <x v="220"/>
    <x v="176"/>
    <x v="11"/>
    <d v="2018-02-28T00:00:00"/>
    <d v="2016-02-07T00:00:00"/>
    <s v="Standard Class"/>
    <s v="JG-15805"/>
    <s v="John Grady"/>
    <s v="Corporate"/>
    <s v="United States"/>
    <s v="New York City"/>
    <x v="15"/>
    <n v="10024"/>
    <x v="3"/>
    <s v="OFF-AR-10003045"/>
    <x v="1"/>
    <s v="Art"/>
    <s v="Prang Colored Pencils"/>
    <n v="14.7"/>
    <n v="5"/>
    <n v="0"/>
    <n v="6.6150000000000002"/>
  </r>
  <r>
    <n v="481"/>
    <x v="220"/>
    <x v="176"/>
    <x v="11"/>
    <d v="2018-02-28T00:00:00"/>
    <d v="2016-02-07T00:00:00"/>
    <s v="Standard Class"/>
    <s v="JG-15805"/>
    <s v="John Grady"/>
    <s v="Corporate"/>
    <s v="United States"/>
    <s v="New York City"/>
    <x v="15"/>
    <n v="10024"/>
    <x v="3"/>
    <s v="OFF-ST-10000689"/>
    <x v="1"/>
    <s v="Storage"/>
    <s v="Fellowes Strictly Business Drawer File, Letter/Legal Size"/>
    <n v="704.25"/>
    <n v="5"/>
    <n v="0"/>
    <n v="84.51"/>
  </r>
  <r>
    <n v="482"/>
    <x v="221"/>
    <x v="177"/>
    <x v="10"/>
    <d v="2014-06-30T00:00:00"/>
    <d v="2014-10-10T00:00:00"/>
    <s v="Standard Class"/>
    <s v="XP-21865"/>
    <s v="Xylona Preis"/>
    <s v="Consumer"/>
    <s v="United States"/>
    <s v="San Diego"/>
    <x v="1"/>
    <n v="92024"/>
    <x v="1"/>
    <s v="TEC-AC-10001445"/>
    <x v="2"/>
    <s v="Accessories"/>
    <s v="Imation USB 2.0 Swivel Flash Drive USB flash drive - 4 GB - Pink"/>
    <n v="9.09"/>
    <n v="3"/>
    <n v="0"/>
    <n v="1.9089"/>
  </r>
  <r>
    <n v="483"/>
    <x v="222"/>
    <x v="178"/>
    <x v="6"/>
    <d v="2015-10-31T00:00:00"/>
    <d v="2016-03-07T00:00:00"/>
    <s v="Standard Class"/>
    <s v="EM-14065"/>
    <s v="Erin Mull"/>
    <s v="Consumer"/>
    <s v="United States"/>
    <s v="New York City"/>
    <x v="15"/>
    <n v="10024"/>
    <x v="3"/>
    <s v="OFF-AR-10002053"/>
    <x v="1"/>
    <s v="Art"/>
    <s v="Premium Writing Pencils, Soft, #2 by Central Association for the Blind"/>
    <n v="5.96"/>
    <n v="2"/>
    <n v="0"/>
    <n v="1.6688000000000001"/>
  </r>
  <r>
    <n v="484"/>
    <x v="222"/>
    <x v="178"/>
    <x v="6"/>
    <d v="2015-10-31T00:00:00"/>
    <d v="2016-03-07T00:00:00"/>
    <s v="Standard Class"/>
    <s v="EM-14065"/>
    <s v="Erin Mull"/>
    <s v="Consumer"/>
    <s v="United States"/>
    <s v="New York City"/>
    <x v="15"/>
    <n v="10024"/>
    <x v="3"/>
    <s v="TEC-AC-10002567"/>
    <x v="2"/>
    <s v="Accessories"/>
    <s v="Logitech G602 Wireless Gaming Mouse"/>
    <n v="159.97999999999999"/>
    <n v="2"/>
    <n v="0"/>
    <n v="57.592799999999997"/>
  </r>
  <r>
    <n v="485"/>
    <x v="223"/>
    <x v="179"/>
    <x v="6"/>
    <d v="2017-10-31T00:00:00"/>
    <d v="2018-01-06T00:00:00"/>
    <s v="First Class"/>
    <s v="MT-18070"/>
    <s v="Michelle Tran"/>
    <s v="Home Office"/>
    <s v="United States"/>
    <s v="Los Angeles"/>
    <x v="1"/>
    <n v="90045"/>
    <x v="1"/>
    <s v="OFF-LA-10003923"/>
    <x v="1"/>
    <s v="Labels"/>
    <s v="Alphabetical Labels for Top Tab Filing"/>
    <n v="29.6"/>
    <n v="2"/>
    <n v="0"/>
    <n v="14.8"/>
  </r>
  <r>
    <n v="486"/>
    <x v="223"/>
    <x v="179"/>
    <x v="6"/>
    <d v="2017-10-31T00:00:00"/>
    <d v="2018-01-06T00:00:00"/>
    <s v="First Class"/>
    <s v="MT-18070"/>
    <s v="Michelle Tran"/>
    <s v="Home Office"/>
    <s v="United States"/>
    <s v="Los Angeles"/>
    <x v="1"/>
    <n v="90045"/>
    <x v="1"/>
    <s v="FUR-BO-10001337"/>
    <x v="0"/>
    <s v="Bookcases"/>
    <s v="O'Sullivan Living Dimensions 2-Shelf Bookcases"/>
    <n v="514.16499999999996"/>
    <n v="5"/>
    <n v="0.15"/>
    <n v="-30.245000000000001"/>
  </r>
  <r>
    <n v="487"/>
    <x v="223"/>
    <x v="179"/>
    <x v="6"/>
    <d v="2017-10-31T00:00:00"/>
    <d v="2018-01-06T00:00:00"/>
    <s v="First Class"/>
    <s v="MT-18070"/>
    <s v="Michelle Tran"/>
    <s v="Home Office"/>
    <s v="United States"/>
    <s v="Los Angeles"/>
    <x v="1"/>
    <n v="90045"/>
    <x v="1"/>
    <s v="TEC-PH-10001924"/>
    <x v="2"/>
    <s v="Phones"/>
    <s v="iHome FM Clock Radio with Lightning Dock"/>
    <n v="279.95999999999998"/>
    <n v="5"/>
    <n v="0.2"/>
    <n v="17.497499999999999"/>
  </r>
  <r>
    <n v="488"/>
    <x v="224"/>
    <x v="180"/>
    <x v="5"/>
    <d v="2016-05-31T00:00:00"/>
    <d v="2016-07-10T00:00:00"/>
    <s v="First Class"/>
    <s v="SA-20830"/>
    <s v="Sue Ann Reed"/>
    <s v="Consumer"/>
    <s v="United States"/>
    <s v="Chicago"/>
    <x v="10"/>
    <n v="60610"/>
    <x v="2"/>
    <s v="TEC-PH-10001363"/>
    <x v="2"/>
    <s v="Phones"/>
    <s v="Apple iPhone 5S"/>
    <n v="2735.9520000000002"/>
    <n v="6"/>
    <n v="0.2"/>
    <n v="341.99400000000003"/>
  </r>
  <r>
    <n v="489"/>
    <x v="225"/>
    <x v="3"/>
    <x v="3"/>
    <d v="2014-09-30T00:00:00"/>
    <d v="2015-01-06T00:00:00"/>
    <s v="Second Class"/>
    <s v="CW-11905"/>
    <s v="Carl Weiss"/>
    <s v="Home Office"/>
    <s v="United States"/>
    <s v="Huntsville"/>
    <x v="5"/>
    <n v="77340"/>
    <x v="2"/>
    <s v="TEC-PH-10000376"/>
    <x v="2"/>
    <s v="Phones"/>
    <s v="Square Credit Card Reader"/>
    <n v="7.992"/>
    <n v="1"/>
    <n v="0.2"/>
    <n v="0.59940000000000004"/>
  </r>
  <r>
    <n v="490"/>
    <x v="225"/>
    <x v="3"/>
    <x v="3"/>
    <d v="2014-09-30T00:00:00"/>
    <d v="2015-01-06T00:00:00"/>
    <s v="Second Class"/>
    <s v="CW-11905"/>
    <s v="Carl Weiss"/>
    <s v="Home Office"/>
    <s v="United States"/>
    <s v="Huntsville"/>
    <x v="5"/>
    <n v="77340"/>
    <x v="2"/>
    <s v="TEC-AC-10000303"/>
    <x v="2"/>
    <s v="Accessories"/>
    <s v="Logitech M510 Wireless Mouse"/>
    <n v="63.984000000000002"/>
    <n v="2"/>
    <n v="0.2"/>
    <n v="10.397399999999999"/>
  </r>
  <r>
    <n v="491"/>
    <x v="225"/>
    <x v="3"/>
    <x v="3"/>
    <d v="2014-09-30T00:00:00"/>
    <d v="2015-01-06T00:00:00"/>
    <s v="Second Class"/>
    <s v="CW-11905"/>
    <s v="Carl Weiss"/>
    <s v="Home Office"/>
    <s v="United States"/>
    <s v="Huntsville"/>
    <x v="5"/>
    <n v="77340"/>
    <x v="2"/>
    <s v="OFF-AR-10001953"/>
    <x v="1"/>
    <s v="Art"/>
    <s v="Boston 1645 Deluxe Heavier-Duty Electric Pencil Sharpener"/>
    <n v="70.367999999999995"/>
    <n v="2"/>
    <n v="0.2"/>
    <n v="6.1571999999999996"/>
  </r>
  <r>
    <n v="492"/>
    <x v="226"/>
    <x v="79"/>
    <x v="11"/>
    <d v="2015-02-28T00:00:00"/>
    <d v="2015-07-09T00:00:00"/>
    <s v="Standard Class"/>
    <s v="AJ-10960"/>
    <s v="Astrea Jones"/>
    <s v="Consumer"/>
    <s v="United States"/>
    <s v="Rochester"/>
    <x v="15"/>
    <n v="14609"/>
    <x v="3"/>
    <s v="OFF-ST-10001809"/>
    <x v="1"/>
    <s v="Storage"/>
    <s v="Fellowes Officeware Wire Shelving"/>
    <n v="449.15"/>
    <n v="5"/>
    <n v="0"/>
    <n v="8.9830000000000005"/>
  </r>
  <r>
    <n v="493"/>
    <x v="226"/>
    <x v="79"/>
    <x v="11"/>
    <d v="2015-02-28T00:00:00"/>
    <d v="2015-07-09T00:00:00"/>
    <s v="Standard Class"/>
    <s v="AJ-10960"/>
    <s v="Astrea Jones"/>
    <s v="Consumer"/>
    <s v="United States"/>
    <s v="Rochester"/>
    <x v="15"/>
    <n v="14609"/>
    <x v="3"/>
    <s v="OFF-EN-10003845"/>
    <x v="1"/>
    <s v="Envelopes"/>
    <s v="Colored Envelopes"/>
    <n v="11.07"/>
    <n v="3"/>
    <n v="0"/>
    <n v="5.0922000000000001"/>
  </r>
  <r>
    <n v="494"/>
    <x v="227"/>
    <x v="181"/>
    <x v="3"/>
    <d v="2016-09-30T00:00:00"/>
    <d v="2017-02-05T00:00:00"/>
    <s v="Standard Class"/>
    <s v="SS-20590"/>
    <s v="Sonia Sunley"/>
    <s v="Consumer"/>
    <s v="United States"/>
    <s v="Seattle"/>
    <x v="4"/>
    <n v="98115"/>
    <x v="1"/>
    <s v="TEC-AC-10000991"/>
    <x v="2"/>
    <s v="Accessories"/>
    <s v="Sony Micro Vault Click 8 GB USB 2.0 Flash Drive"/>
    <n v="93.98"/>
    <n v="2"/>
    <n v="0"/>
    <n v="13.1572"/>
  </r>
  <r>
    <n v="495"/>
    <x v="228"/>
    <x v="182"/>
    <x v="10"/>
    <d v="2017-06-30T00:00:00"/>
    <d v="2017-09-03T00:00:00"/>
    <s v="Second Class"/>
    <s v="RO-19780"/>
    <s v="Rose O'Brian"/>
    <s v="Consumer"/>
    <s v="United States"/>
    <s v="Memphis"/>
    <x v="18"/>
    <n v="38109"/>
    <x v="0"/>
    <s v="FUR-TA-10001857"/>
    <x v="0"/>
    <s v="Tables"/>
    <s v="Balt Solid Wood Rectangular Table"/>
    <n v="189.88200000000001"/>
    <n v="3"/>
    <n v="0.4"/>
    <n v="-94.941000000000003"/>
  </r>
  <r>
    <n v="496"/>
    <x v="229"/>
    <x v="17"/>
    <x v="4"/>
    <d v="2017-03-31T00:00:00"/>
    <d v="2017-07-12T00:00:00"/>
    <s v="Standard Class"/>
    <s v="MD-17350"/>
    <s v="Maribeth Dona"/>
    <s v="Consumer"/>
    <s v="United States"/>
    <s v="Fayetteville"/>
    <x v="36"/>
    <n v="72701"/>
    <x v="0"/>
    <s v="OFF-EN-10001434"/>
    <x v="1"/>
    <s v="Envelopes"/>
    <s v="Strathmore #10 Envelopes, Ultimate White"/>
    <n v="105.42"/>
    <n v="2"/>
    <n v="0"/>
    <n v="51.655799999999999"/>
  </r>
  <r>
    <n v="497"/>
    <x v="230"/>
    <x v="183"/>
    <x v="7"/>
    <d v="2018-01-31T00:00:00"/>
    <d v="2018-07-07T00:00:00"/>
    <s v="Standard Class"/>
    <s v="SC-20095"/>
    <s v="Sanjit Chand"/>
    <s v="Consumer"/>
    <s v="United States"/>
    <s v="Costa Mesa"/>
    <x v="1"/>
    <n v="92627"/>
    <x v="1"/>
    <s v="OFF-BI-10002498"/>
    <x v="1"/>
    <s v="Binders"/>
    <s v="Clear Mylar Reinforcing Strips"/>
    <n v="119.616"/>
    <n v="8"/>
    <n v="0.2"/>
    <n v="40.370399999999997"/>
  </r>
  <r>
    <n v="498"/>
    <x v="230"/>
    <x v="183"/>
    <x v="7"/>
    <d v="2018-01-31T00:00:00"/>
    <d v="2018-07-07T00:00:00"/>
    <s v="Standard Class"/>
    <s v="SC-20095"/>
    <s v="Sanjit Chand"/>
    <s v="Consumer"/>
    <s v="United States"/>
    <s v="Costa Mesa"/>
    <x v="1"/>
    <n v="92627"/>
    <x v="1"/>
    <s v="FUR-FU-10004864"/>
    <x v="0"/>
    <s v="Furnishings"/>
    <s v="Howard Miller 14-1/2&quot; Diameter Chrome Round Wall Clock"/>
    <n v="255.76"/>
    <n v="4"/>
    <n v="0"/>
    <n v="81.843199999999996"/>
  </r>
  <r>
    <n v="499"/>
    <x v="230"/>
    <x v="183"/>
    <x v="7"/>
    <d v="2018-01-31T00:00:00"/>
    <d v="2018-07-07T00:00:00"/>
    <s v="Standard Class"/>
    <s v="SC-20095"/>
    <s v="Sanjit Chand"/>
    <s v="Consumer"/>
    <s v="United States"/>
    <s v="Costa Mesa"/>
    <x v="1"/>
    <n v="92627"/>
    <x v="1"/>
    <s v="FUR-CH-10002602"/>
    <x v="0"/>
    <s v="Chairs"/>
    <s v="DMI Arturo Collection Mission-style Design Wood Chair"/>
    <n v="241.56800000000001"/>
    <n v="2"/>
    <n v="0.2"/>
    <n v="18.117599999999999"/>
  </r>
  <r>
    <n v="500"/>
    <x v="230"/>
    <x v="183"/>
    <x v="7"/>
    <d v="2018-01-31T00:00:00"/>
    <d v="2018-07-07T00:00:00"/>
    <s v="Standard Class"/>
    <s v="SC-20095"/>
    <s v="Sanjit Chand"/>
    <s v="Consumer"/>
    <s v="United States"/>
    <s v="Costa Mesa"/>
    <x v="1"/>
    <n v="92627"/>
    <x v="1"/>
    <s v="FUR-FU-10000073"/>
    <x v="0"/>
    <s v="Furnishings"/>
    <s v="Deflect-O Glasstique Clear Desk Accessories"/>
    <n v="69.3"/>
    <n v="9"/>
    <n v="0"/>
    <n v="22.869"/>
  </r>
  <r>
    <n v="501"/>
    <x v="231"/>
    <x v="184"/>
    <x v="10"/>
    <d v="2018-06-30T00:00:00"/>
    <d v="2016-04-06T00:00:00"/>
    <s v="Standard Class"/>
    <s v="MY-17380"/>
    <s v="Maribeth Yedwab"/>
    <s v="Corporate"/>
    <s v="United States"/>
    <s v="Parker"/>
    <x v="22"/>
    <n v="80134"/>
    <x v="1"/>
    <s v="OFF-BI-10001670"/>
    <x v="1"/>
    <s v="Binders"/>
    <s v="Vinyl Sectional Post Binders"/>
    <n v="22.62"/>
    <n v="2"/>
    <n v="0.7"/>
    <n v="-15.08"/>
  </r>
  <r>
    <n v="502"/>
    <x v="231"/>
    <x v="184"/>
    <x v="10"/>
    <d v="2018-06-30T00:00:00"/>
    <d v="2016-04-06T00:00:00"/>
    <s v="Standard Class"/>
    <s v="MY-17380"/>
    <s v="Maribeth Yedwab"/>
    <s v="Corporate"/>
    <s v="United States"/>
    <s v="Parker"/>
    <x v="22"/>
    <n v="80134"/>
    <x v="1"/>
    <s v="OFF-BI-10001658"/>
    <x v="1"/>
    <s v="Binders"/>
    <s v="GBC Standard Therm-A-Bind Covers"/>
    <n v="14.952"/>
    <n v="2"/>
    <n v="0.7"/>
    <n v="-11.961600000000001"/>
  </r>
  <r>
    <n v="503"/>
    <x v="231"/>
    <x v="184"/>
    <x v="10"/>
    <d v="2018-06-30T00:00:00"/>
    <d v="2016-04-06T00:00:00"/>
    <s v="Standard Class"/>
    <s v="MY-17380"/>
    <s v="Maribeth Yedwab"/>
    <s v="Corporate"/>
    <s v="United States"/>
    <s v="Parker"/>
    <x v="22"/>
    <n v="80134"/>
    <x v="1"/>
    <s v="FUR-CH-10001215"/>
    <x v="0"/>
    <s v="Chairs"/>
    <s v="Global Troy Executive Leather Low-Back Tilter"/>
    <n v="801.56799999999998"/>
    <n v="2"/>
    <n v="0.2"/>
    <n v="50.097999999999999"/>
  </r>
  <r>
    <n v="504"/>
    <x v="231"/>
    <x v="184"/>
    <x v="10"/>
    <d v="2018-06-30T00:00:00"/>
    <d v="2016-04-06T00:00:00"/>
    <s v="Standard Class"/>
    <s v="MY-17380"/>
    <s v="Maribeth Yedwab"/>
    <s v="Corporate"/>
    <s v="United States"/>
    <s v="Parker"/>
    <x v="22"/>
    <n v="80134"/>
    <x v="1"/>
    <s v="OFF-BI-10000831"/>
    <x v="1"/>
    <s v="Binders"/>
    <s v="Storex Flexible Poly Binders with Double Pockets"/>
    <n v="2.3759999999999999"/>
    <n v="3"/>
    <n v="0.7"/>
    <n v="-1.9008"/>
  </r>
  <r>
    <n v="505"/>
    <x v="231"/>
    <x v="184"/>
    <x v="10"/>
    <d v="2018-06-30T00:00:00"/>
    <d v="2016-04-06T00:00:00"/>
    <s v="Standard Class"/>
    <s v="MY-17380"/>
    <s v="Maribeth Yedwab"/>
    <s v="Corporate"/>
    <s v="United States"/>
    <s v="Parker"/>
    <x v="22"/>
    <n v="80134"/>
    <x v="1"/>
    <s v="OFF-PA-10000357"/>
    <x v="1"/>
    <s v="Paper"/>
    <s v="White Dual Perf Computer Printout Paper, 2700 Sheets, 1 Part, Heavyweight, 20 lbs., 14 7/8 x 11"/>
    <n v="32.792000000000002"/>
    <n v="1"/>
    <n v="0.2"/>
    <n v="11.8871"/>
  </r>
  <r>
    <n v="506"/>
    <x v="232"/>
    <x v="104"/>
    <x v="1"/>
    <d v="2017-12-31T00:00:00"/>
    <d v="2018-03-11T00:00:00"/>
    <s v="Second Class"/>
    <s v="EB-13705"/>
    <s v="Ed Braxton"/>
    <s v="Corporate"/>
    <s v="United States"/>
    <s v="New York City"/>
    <x v="15"/>
    <n v="10024"/>
    <x v="3"/>
    <s v="OFF-BI-10003274"/>
    <x v="1"/>
    <s v="Binders"/>
    <s v="Avery Durable Slant Ring Binders, No Labels"/>
    <n v="15.92"/>
    <n v="5"/>
    <n v="0.2"/>
    <n v="5.3730000000000002"/>
  </r>
  <r>
    <n v="507"/>
    <x v="233"/>
    <x v="185"/>
    <x v="8"/>
    <d v="2016-04-30T00:00:00"/>
    <d v="2016-10-03T00:00:00"/>
    <s v="Standard Class"/>
    <s v="CM-12385"/>
    <s v="Christopher Martinez"/>
    <s v="Consumer"/>
    <s v="United States"/>
    <s v="Atlanta"/>
    <x v="32"/>
    <n v="30318"/>
    <x v="0"/>
    <s v="OFF-AR-10001662"/>
    <x v="1"/>
    <s v="Art"/>
    <s v="Rogers Handheld Barrel Pencil Sharpener"/>
    <n v="2.74"/>
    <n v="1"/>
    <n v="0"/>
    <n v="0.73980000000000001"/>
  </r>
  <r>
    <n v="508"/>
    <x v="233"/>
    <x v="185"/>
    <x v="8"/>
    <d v="2016-04-30T00:00:00"/>
    <d v="2016-10-03T00:00:00"/>
    <s v="Standard Class"/>
    <s v="CM-12385"/>
    <s v="Christopher Martinez"/>
    <s v="Consumer"/>
    <s v="United States"/>
    <s v="Atlanta"/>
    <x v="32"/>
    <n v="30318"/>
    <x v="0"/>
    <s v="OFF-AR-10003856"/>
    <x v="1"/>
    <s v="Art"/>
    <s v="Newell 344"/>
    <n v="8.34"/>
    <n v="3"/>
    <n v="0"/>
    <n v="2.1684000000000001"/>
  </r>
  <r>
    <n v="509"/>
    <x v="233"/>
    <x v="185"/>
    <x v="8"/>
    <d v="2016-04-30T00:00:00"/>
    <d v="2016-10-03T00:00:00"/>
    <s v="Standard Class"/>
    <s v="CM-12385"/>
    <s v="Christopher Martinez"/>
    <s v="Consumer"/>
    <s v="United States"/>
    <s v="Atlanta"/>
    <x v="32"/>
    <n v="30318"/>
    <x v="0"/>
    <s v="OFF-ST-10001228"/>
    <x v="1"/>
    <s v="Storage"/>
    <s v="Personal File Boxes with Fold-Down Carry Handle"/>
    <n v="46.74"/>
    <n v="3"/>
    <n v="0"/>
    <n v="11.685"/>
  </r>
  <r>
    <n v="510"/>
    <x v="233"/>
    <x v="185"/>
    <x v="8"/>
    <d v="2016-04-30T00:00:00"/>
    <d v="2016-10-03T00:00:00"/>
    <s v="Standard Class"/>
    <s v="CM-12385"/>
    <s v="Christopher Martinez"/>
    <s v="Consumer"/>
    <s v="United States"/>
    <s v="Atlanta"/>
    <x v="32"/>
    <n v="30318"/>
    <x v="0"/>
    <s v="OFF-BI-10003527"/>
    <x v="1"/>
    <s v="Binders"/>
    <s v="Fellowes PB500 Electric Punch Plastic Comb Binding Machine with Manual Bind"/>
    <n v="6354.95"/>
    <n v="5"/>
    <n v="0"/>
    <n v="3177.4749999999999"/>
  </r>
  <r>
    <n v="511"/>
    <x v="234"/>
    <x v="186"/>
    <x v="11"/>
    <d v="2019-02-28T00:00:00"/>
    <d v="2019-03-11T00:00:00"/>
    <s v="First Class"/>
    <s v="LS-17245"/>
    <s v="Lynn Smith"/>
    <s v="Consumer"/>
    <s v="United States"/>
    <s v="Gladstone"/>
    <x v="25"/>
    <n v="64118"/>
    <x v="2"/>
    <s v="FUR-FU-10001290"/>
    <x v="0"/>
    <s v="Furnishings"/>
    <s v="Executive Impressions Supervisor Wall Clock"/>
    <n v="126.3"/>
    <n v="3"/>
    <n v="0"/>
    <n v="40.415999999999997"/>
  </r>
  <r>
    <n v="512"/>
    <x v="234"/>
    <x v="186"/>
    <x v="11"/>
    <d v="2019-02-28T00:00:00"/>
    <d v="2019-03-11T00:00:00"/>
    <s v="First Class"/>
    <s v="LS-17245"/>
    <s v="Lynn Smith"/>
    <s v="Consumer"/>
    <s v="United States"/>
    <s v="Gladstone"/>
    <x v="25"/>
    <n v="64118"/>
    <x v="2"/>
    <s v="TEC-AC-10002399"/>
    <x v="2"/>
    <s v="Accessories"/>
    <s v="SanDisk Cruzer 32 GB USB Flash Drive"/>
    <n v="38.04"/>
    <n v="2"/>
    <n v="0"/>
    <n v="12.172800000000001"/>
  </r>
  <r>
    <n v="513"/>
    <x v="235"/>
    <x v="187"/>
    <x v="0"/>
    <d v="2017-08-31T00:00:00"/>
    <d v="2017-11-10T00:00:00"/>
    <s v="First Class"/>
    <s v="LF-17185"/>
    <s v="Luke Foster"/>
    <s v="Consumer"/>
    <s v="United States"/>
    <s v="Newark"/>
    <x v="24"/>
    <n v="43055"/>
    <x v="3"/>
    <s v="OFF-AR-10002053"/>
    <x v="1"/>
    <s v="Art"/>
    <s v="Premium Writing Pencils, Soft, #2 by Central Association for the Blind"/>
    <n v="7.1520000000000001"/>
    <n v="3"/>
    <n v="0.2"/>
    <n v="0.71519999999999995"/>
  </r>
  <r>
    <n v="514"/>
    <x v="236"/>
    <x v="188"/>
    <x v="3"/>
    <d v="2018-09-30T00:00:00"/>
    <d v="2019-01-12T00:00:00"/>
    <s v="Standard Class"/>
    <s v="BN-11515"/>
    <s v="Bradley Nguyen"/>
    <s v="Consumer"/>
    <s v="United States"/>
    <s v="Los Angeles"/>
    <x v="1"/>
    <n v="90049"/>
    <x v="1"/>
    <s v="OFF-AR-10003811"/>
    <x v="1"/>
    <s v="Art"/>
    <s v="Newell 327"/>
    <n v="6.63"/>
    <n v="3"/>
    <n v="0"/>
    <n v="1.7901"/>
  </r>
  <r>
    <n v="515"/>
    <x v="236"/>
    <x v="188"/>
    <x v="3"/>
    <d v="2018-09-30T00:00:00"/>
    <d v="2019-01-12T00:00:00"/>
    <s v="Standard Class"/>
    <s v="BN-11515"/>
    <s v="Bradley Nguyen"/>
    <s v="Consumer"/>
    <s v="United States"/>
    <s v="Los Angeles"/>
    <x v="1"/>
    <n v="90049"/>
    <x v="1"/>
    <s v="OFF-AR-10001246"/>
    <x v="1"/>
    <s v="Art"/>
    <s v="Newell 317"/>
    <n v="5.88"/>
    <n v="2"/>
    <n v="0"/>
    <n v="1.7052"/>
  </r>
  <r>
    <n v="516"/>
    <x v="237"/>
    <x v="189"/>
    <x v="6"/>
    <d v="2018-10-31T00:00:00"/>
    <d v="2019-03-01T00:00:00"/>
    <s v="Standard Class"/>
    <s v="AD-10180"/>
    <s v="Alan Dominguez"/>
    <s v="Home Office"/>
    <s v="United States"/>
    <s v="Great Falls"/>
    <x v="37"/>
    <n v="59405"/>
    <x v="1"/>
    <s v="TEC-CO-10003236"/>
    <x v="2"/>
    <s v="Copiers"/>
    <s v="Canon Image Class D660 Copier"/>
    <n v="2999.95"/>
    <n v="5"/>
    <n v="0"/>
    <n v="1379.9770000000001"/>
  </r>
  <r>
    <n v="517"/>
    <x v="237"/>
    <x v="189"/>
    <x v="6"/>
    <d v="2018-10-31T00:00:00"/>
    <d v="2019-03-01T00:00:00"/>
    <s v="Standard Class"/>
    <s v="AD-10180"/>
    <s v="Alan Dominguez"/>
    <s v="Home Office"/>
    <s v="United States"/>
    <s v="Great Falls"/>
    <x v="37"/>
    <n v="59405"/>
    <x v="1"/>
    <s v="OFF-ST-10004507"/>
    <x v="1"/>
    <s v="Storage"/>
    <s v="Advantus Rolling Storage Box"/>
    <n v="51.45"/>
    <n v="3"/>
    <n v="0"/>
    <n v="13.891500000000001"/>
  </r>
  <r>
    <n v="518"/>
    <x v="237"/>
    <x v="189"/>
    <x v="6"/>
    <d v="2018-10-31T00:00:00"/>
    <d v="2019-03-01T00:00:00"/>
    <s v="Standard Class"/>
    <s v="AD-10180"/>
    <s v="Alan Dominguez"/>
    <s v="Home Office"/>
    <s v="United States"/>
    <s v="Great Falls"/>
    <x v="37"/>
    <n v="59405"/>
    <x v="1"/>
    <s v="OFF-PA-10001667"/>
    <x v="1"/>
    <s v="Paper"/>
    <s v="Great White Multi-Use Recycled Paper (20Lb. and 84 Bright)"/>
    <n v="11.96"/>
    <n v="2"/>
    <n v="0"/>
    <n v="5.3819999999999997"/>
  </r>
  <r>
    <n v="519"/>
    <x v="237"/>
    <x v="189"/>
    <x v="6"/>
    <d v="2018-10-31T00:00:00"/>
    <d v="2019-03-01T00:00:00"/>
    <s v="Standard Class"/>
    <s v="AD-10180"/>
    <s v="Alan Dominguez"/>
    <s v="Home Office"/>
    <s v="United States"/>
    <s v="Great Falls"/>
    <x v="37"/>
    <n v="59405"/>
    <x v="1"/>
    <s v="OFF-ST-10004459"/>
    <x v="1"/>
    <s v="Storage"/>
    <s v="Tennsco Single-Tier Lockers"/>
    <n v="1126.02"/>
    <n v="3"/>
    <n v="0"/>
    <n v="56.301000000000002"/>
  </r>
  <r>
    <n v="520"/>
    <x v="238"/>
    <x v="190"/>
    <x v="6"/>
    <d v="2016-10-31T00:00:00"/>
    <d v="2017-02-03T00:00:00"/>
    <s v="Standard Class"/>
    <s v="DB-13210"/>
    <s v="Dean Braden"/>
    <s v="Consumer"/>
    <s v="United States"/>
    <s v="Houston"/>
    <x v="5"/>
    <n v="77041"/>
    <x v="2"/>
    <s v="TEC-AC-10000171"/>
    <x v="2"/>
    <s v="Accessories"/>
    <s v="Verbatim 25 GB 6x Blu-ray Single Layer Recordable Disc, 25/Pack"/>
    <n v="18.391999999999999"/>
    <n v="1"/>
    <n v="0.2"/>
    <n v="5.2877000000000001"/>
  </r>
  <r>
    <n v="521"/>
    <x v="238"/>
    <x v="190"/>
    <x v="6"/>
    <d v="2016-10-31T00:00:00"/>
    <d v="2017-02-03T00:00:00"/>
    <s v="Standard Class"/>
    <s v="DB-13210"/>
    <s v="Dean Braden"/>
    <s v="Consumer"/>
    <s v="United States"/>
    <s v="Houston"/>
    <x v="5"/>
    <n v="77041"/>
    <x v="2"/>
    <s v="OFF-ST-10000736"/>
    <x v="1"/>
    <s v="Storage"/>
    <s v="Carina Double Wide Media Storage Towers in Natural &amp; Black"/>
    <n v="129.56800000000001"/>
    <n v="2"/>
    <n v="0.2"/>
    <n v="-25.913599999999999"/>
  </r>
  <r>
    <n v="522"/>
    <x v="238"/>
    <x v="190"/>
    <x v="6"/>
    <d v="2016-10-31T00:00:00"/>
    <d v="2017-02-03T00:00:00"/>
    <s v="Standard Class"/>
    <s v="DB-13210"/>
    <s v="Dean Braden"/>
    <s v="Consumer"/>
    <s v="United States"/>
    <s v="Houston"/>
    <x v="5"/>
    <n v="77041"/>
    <x v="2"/>
    <s v="OFF-BI-10000285"/>
    <x v="1"/>
    <s v="Binders"/>
    <s v="XtraLife ClearVue Slant-D Ring Binders by Cardinal"/>
    <n v="14.112"/>
    <n v="9"/>
    <n v="0.8"/>
    <n v="-21.167999999999999"/>
  </r>
  <r>
    <n v="523"/>
    <x v="239"/>
    <x v="191"/>
    <x v="2"/>
    <d v="2018-11-30T00:00:00"/>
    <d v="2019-01-01T00:00:00"/>
    <s v="First Class"/>
    <s v="MC-17605"/>
    <s v="Matt Connell"/>
    <s v="Corporate"/>
    <s v="United States"/>
    <s v="Detroit"/>
    <x v="12"/>
    <n v="48234"/>
    <x v="2"/>
    <s v="FUR-TA-10001857"/>
    <x v="0"/>
    <s v="Tables"/>
    <s v="Balt Solid Wood Rectangular Table"/>
    <n v="210.98"/>
    <n v="2"/>
    <n v="0"/>
    <n v="21.097999999999999"/>
  </r>
  <r>
    <n v="524"/>
    <x v="240"/>
    <x v="192"/>
    <x v="3"/>
    <d v="2017-09-30T00:00:00"/>
    <d v="2017-11-05T00:00:00"/>
    <s v="First Class"/>
    <s v="LH-17155"/>
    <s v="Logan Haushalter"/>
    <s v="Consumer"/>
    <s v="United States"/>
    <s v="Los Angeles"/>
    <x v="1"/>
    <n v="90032"/>
    <x v="1"/>
    <s v="TEC-PH-10003555"/>
    <x v="2"/>
    <s v="Phones"/>
    <s v="Motorola HK250 Universal Bluetooth Headset"/>
    <n v="55.176000000000002"/>
    <n v="3"/>
    <n v="0.2"/>
    <n v="-12.4146"/>
  </r>
  <r>
    <n v="525"/>
    <x v="240"/>
    <x v="192"/>
    <x v="3"/>
    <d v="2017-09-30T00:00:00"/>
    <d v="2017-11-05T00:00:00"/>
    <s v="First Class"/>
    <s v="LH-17155"/>
    <s v="Logan Haushalter"/>
    <s v="Consumer"/>
    <s v="United States"/>
    <s v="Los Angeles"/>
    <x v="1"/>
    <n v="90032"/>
    <x v="1"/>
    <s v="TEC-AC-10003832"/>
    <x v="2"/>
    <s v="Accessories"/>
    <s v="Imation 16GB Mini TravelDrive USB 2.0 Flash Drive"/>
    <n v="66.260000000000005"/>
    <n v="2"/>
    <n v="0"/>
    <n v="27.166599999999999"/>
  </r>
  <r>
    <n v="526"/>
    <x v="241"/>
    <x v="193"/>
    <x v="11"/>
    <d v="2017-02-28T00:00:00"/>
    <d v="2016-02-01T00:00:00"/>
    <s v="Standard Class"/>
    <s v="BD-11605"/>
    <s v="Brian Dahlen"/>
    <s v="Consumer"/>
    <s v="United States"/>
    <s v="Lawrence"/>
    <x v="31"/>
    <n v="1841"/>
    <x v="3"/>
    <s v="OFF-FA-10002815"/>
    <x v="1"/>
    <s v="Fasteners"/>
    <s v="Staples"/>
    <n v="22.2"/>
    <n v="5"/>
    <n v="0"/>
    <n v="10.433999999999999"/>
  </r>
  <r>
    <n v="527"/>
    <x v="242"/>
    <x v="194"/>
    <x v="3"/>
    <d v="2018-09-30T00:00:00"/>
    <d v="2019-02-10T00:00:00"/>
    <s v="Standard Class"/>
    <s v="PH-18790"/>
    <s v="Patricia Hirasaki"/>
    <s v="Home Office"/>
    <s v="United States"/>
    <s v="Lakeland"/>
    <x v="2"/>
    <n v="33801"/>
    <x v="0"/>
    <s v="FUR-CH-10003379"/>
    <x v="0"/>
    <s v="Chairs"/>
    <s v="Global Commerce Series High-Back Swivel/Tilt Chairs"/>
    <n v="683.952"/>
    <n v="3"/>
    <n v="0.2"/>
    <n v="42.747"/>
  </r>
  <r>
    <n v="528"/>
    <x v="242"/>
    <x v="194"/>
    <x v="3"/>
    <d v="2018-09-30T00:00:00"/>
    <d v="2019-02-10T00:00:00"/>
    <s v="Standard Class"/>
    <s v="PH-18790"/>
    <s v="Patricia Hirasaki"/>
    <s v="Home Office"/>
    <s v="United States"/>
    <s v="Lakeland"/>
    <x v="2"/>
    <n v="33801"/>
    <x v="0"/>
    <s v="FUR-FU-10001756"/>
    <x v="0"/>
    <s v="Furnishings"/>
    <s v="Eldon Expressions Desk Accessory, Wood Photo Frame, Mahogany"/>
    <n v="45.695999999999998"/>
    <n v="3"/>
    <n v="0.2"/>
    <n v="5.1407999999999996"/>
  </r>
  <r>
    <n v="529"/>
    <x v="243"/>
    <x v="37"/>
    <x v="4"/>
    <d v="2015-03-31T00:00:00"/>
    <d v="2015-07-09T00:00:00"/>
    <s v="Standard Class"/>
    <s v="MG-18145"/>
    <s v="Mike Gockenbach"/>
    <s v="Consumer"/>
    <s v="United States"/>
    <s v="Philadelphia"/>
    <x v="9"/>
    <n v="19134"/>
    <x v="3"/>
    <s v="OFF-ST-10004963"/>
    <x v="1"/>
    <s v="Storage"/>
    <s v="Eldon Gobal File Keepers"/>
    <n v="36.335999999999999"/>
    <n v="3"/>
    <n v="0.2"/>
    <n v="-7.2671999999999999"/>
  </r>
  <r>
    <n v="530"/>
    <x v="243"/>
    <x v="37"/>
    <x v="4"/>
    <d v="2015-03-31T00:00:00"/>
    <d v="2015-07-09T00:00:00"/>
    <s v="Standard Class"/>
    <s v="MG-18145"/>
    <s v="Mike Gockenbach"/>
    <s v="Consumer"/>
    <s v="United States"/>
    <s v="Philadelphia"/>
    <x v="9"/>
    <n v="19134"/>
    <x v="3"/>
    <s v="OFF-SU-10002881"/>
    <x v="1"/>
    <s v="Supplies"/>
    <s v="Martin Yale Chadless Opener Electric Letter Opener"/>
    <n v="666.24800000000005"/>
    <n v="1"/>
    <n v="0.2"/>
    <n v="-149.9058"/>
  </r>
  <r>
    <n v="531"/>
    <x v="243"/>
    <x v="37"/>
    <x v="4"/>
    <d v="2015-03-31T00:00:00"/>
    <d v="2015-07-09T00:00:00"/>
    <s v="Standard Class"/>
    <s v="MG-18145"/>
    <s v="Mike Gockenbach"/>
    <s v="Consumer"/>
    <s v="United States"/>
    <s v="Philadelphia"/>
    <x v="9"/>
    <n v="19134"/>
    <x v="3"/>
    <s v="OFF-EN-10001335"/>
    <x v="1"/>
    <s v="Envelopes"/>
    <s v="White Business Envelopes with Contemporary Seam, Recycled White Business Envelopes"/>
    <n v="52.512"/>
    <n v="6"/>
    <n v="0.2"/>
    <n v="19.692"/>
  </r>
  <r>
    <n v="532"/>
    <x v="244"/>
    <x v="83"/>
    <x v="9"/>
    <d v="2015-07-31T00:00:00"/>
    <d v="2015-09-11T00:00:00"/>
    <s v="Second Class"/>
    <s v="KB-16240"/>
    <s v="Karen Bern"/>
    <s v="Corporate"/>
    <s v="United States"/>
    <s v="Los Angeles"/>
    <x v="1"/>
    <n v="90036"/>
    <x v="1"/>
    <s v="FUR-CH-10000595"/>
    <x v="0"/>
    <s v="Chairs"/>
    <s v="Safco Contoured Stacking Chairs"/>
    <n v="190.72"/>
    <n v="1"/>
    <n v="0.2"/>
    <n v="11.92"/>
  </r>
  <r>
    <n v="533"/>
    <x v="245"/>
    <x v="195"/>
    <x v="9"/>
    <d v="2017-07-31T00:00:00"/>
    <d v="2017-11-09T00:00:00"/>
    <s v="Standard Class"/>
    <s v="JC-15340"/>
    <s v="Jasper Cacioppo"/>
    <s v="Consumer"/>
    <s v="United States"/>
    <s v="Los Angeles"/>
    <x v="1"/>
    <n v="90032"/>
    <x v="1"/>
    <s v="FUR-FU-10000448"/>
    <x v="0"/>
    <s v="Furnishings"/>
    <s v="Tenex Chairmats For Use With Carpeted Floors"/>
    <n v="47.94"/>
    <n v="3"/>
    <n v="0"/>
    <n v="2.3969999999999998"/>
  </r>
  <r>
    <n v="534"/>
    <x v="246"/>
    <x v="196"/>
    <x v="5"/>
    <d v="2018-05-31T00:00:00"/>
    <d v="2016-01-06T00:00:00"/>
    <s v="Second Class"/>
    <s v="RL-19615"/>
    <s v="Rob Lucas"/>
    <s v="Consumer"/>
    <s v="United States"/>
    <s v="Montgomery"/>
    <x v="19"/>
    <n v="36116"/>
    <x v="0"/>
    <s v="TEC-PH-10000984"/>
    <x v="2"/>
    <s v="Phones"/>
    <s v="Panasonic KX-TG9471B"/>
    <n v="979.95"/>
    <n v="5"/>
    <n v="0"/>
    <n v="274.38600000000002"/>
  </r>
  <r>
    <n v="535"/>
    <x v="246"/>
    <x v="196"/>
    <x v="5"/>
    <d v="2018-05-31T00:00:00"/>
    <d v="2016-01-06T00:00:00"/>
    <s v="Second Class"/>
    <s v="RL-19615"/>
    <s v="Rob Lucas"/>
    <s v="Consumer"/>
    <s v="United States"/>
    <s v="Montgomery"/>
    <x v="19"/>
    <n v="36116"/>
    <x v="0"/>
    <s v="OFF-BI-10002557"/>
    <x v="1"/>
    <s v="Binders"/>
    <s v="Presstex Flexible Ring Binders"/>
    <n v="22.75"/>
    <n v="5"/>
    <n v="0"/>
    <n v="11.375"/>
  </r>
  <r>
    <n v="536"/>
    <x v="247"/>
    <x v="197"/>
    <x v="6"/>
    <d v="2016-10-31T00:00:00"/>
    <d v="2017-04-07T00:00:00"/>
    <s v="Standard Class"/>
    <s v="AA-10375"/>
    <s v="Allen Armold"/>
    <s v="Consumer"/>
    <s v="United States"/>
    <s v="Mesa"/>
    <x v="16"/>
    <n v="85204"/>
    <x v="1"/>
    <s v="OFF-ST-10001325"/>
    <x v="1"/>
    <s v="Storage"/>
    <s v="Sterilite Officeware Hinged File Box"/>
    <n v="16.768000000000001"/>
    <n v="2"/>
    <n v="0.2"/>
    <n v="1.4672000000000001"/>
  </r>
  <r>
    <n v="537"/>
    <x v="248"/>
    <x v="198"/>
    <x v="4"/>
    <d v="2017-03-31T00:00:00"/>
    <d v="2017-08-09T00:00:00"/>
    <s v="Second Class"/>
    <s v="EP-13915"/>
    <s v="Emily Phan"/>
    <s v="Consumer"/>
    <s v="United States"/>
    <s v="Chicago"/>
    <x v="10"/>
    <n v="60653"/>
    <x v="2"/>
    <s v="OFF-BI-10002429"/>
    <x v="1"/>
    <s v="Binders"/>
    <s v="Premier Elliptical Ring Binder, Black"/>
    <n v="42.616"/>
    <n v="7"/>
    <n v="0.8"/>
    <n v="-68.185599999999994"/>
  </r>
  <r>
    <n v="538"/>
    <x v="249"/>
    <x v="146"/>
    <x v="4"/>
    <d v="2015-03-31T00:00:00"/>
    <d v="2015-08-12T00:00:00"/>
    <s v="Standard Class"/>
    <s v="MP-17470"/>
    <s v="Mark Packer"/>
    <s v="Home Office"/>
    <s v="United States"/>
    <s v="New York City"/>
    <x v="15"/>
    <n v="10009"/>
    <x v="3"/>
    <s v="OFF-BI-10004528"/>
    <x v="1"/>
    <s v="Binders"/>
    <s v="Cardinal Poly Pocket Divider Pockets for Ring Binders"/>
    <n v="10.752000000000001"/>
    <n v="4"/>
    <n v="0.2"/>
    <n v="3.36"/>
  </r>
  <r>
    <n v="539"/>
    <x v="250"/>
    <x v="163"/>
    <x v="9"/>
    <d v="2015-07-31T00:00:00"/>
    <d v="2015-11-12T00:00:00"/>
    <s v="Standard Class"/>
    <s v="DK-12985"/>
    <s v="Darren Koutras"/>
    <s v="Consumer"/>
    <s v="United States"/>
    <s v="Henderson"/>
    <x v="0"/>
    <n v="42420"/>
    <x v="0"/>
    <s v="OFF-AP-10001271"/>
    <x v="1"/>
    <s v="Appliances"/>
    <s v="Eureka The Boss Cordless Rechargeable Stick Vac"/>
    <n v="152.94"/>
    <n v="3"/>
    <n v="0"/>
    <n v="41.293799999999997"/>
  </r>
  <r>
    <n v="540"/>
    <x v="250"/>
    <x v="163"/>
    <x v="9"/>
    <d v="2015-07-31T00:00:00"/>
    <d v="2015-11-12T00:00:00"/>
    <s v="Standard Class"/>
    <s v="DK-12985"/>
    <s v="Darren Koutras"/>
    <s v="Consumer"/>
    <s v="United States"/>
    <s v="Henderson"/>
    <x v="0"/>
    <n v="42420"/>
    <x v="0"/>
    <s v="FUR-CH-10002647"/>
    <x v="0"/>
    <s v="Chairs"/>
    <s v="Situations Contoured Folding Chairs, 4/Set"/>
    <n v="283.92"/>
    <n v="4"/>
    <n v="0"/>
    <n v="70.98"/>
  </r>
  <r>
    <n v="541"/>
    <x v="251"/>
    <x v="199"/>
    <x v="7"/>
    <d v="2014-01-31T00:00:00"/>
    <d v="2014-03-02T00:00:00"/>
    <s v="First Class"/>
    <s v="BD-11500"/>
    <s v="Bradley Drucker"/>
    <s v="Consumer"/>
    <s v="United States"/>
    <s v="Green Bay"/>
    <x v="6"/>
    <n v="54302"/>
    <x v="2"/>
    <s v="TEC-AC-10001432"/>
    <x v="2"/>
    <s v="Accessories"/>
    <s v="Enermax Aurora Lite Keyboard"/>
    <n v="468.9"/>
    <n v="6"/>
    <n v="0"/>
    <n v="206.316"/>
  </r>
  <r>
    <n v="542"/>
    <x v="252"/>
    <x v="200"/>
    <x v="11"/>
    <d v="2017-02-28T00:00:00"/>
    <d v="2017-05-07T00:00:00"/>
    <s v="First Class"/>
    <s v="ES-14080"/>
    <s v="Erin Smith"/>
    <s v="Corporate"/>
    <s v="United States"/>
    <s v="Tucson"/>
    <x v="16"/>
    <n v="85705"/>
    <x v="1"/>
    <s v="TEC-PH-10002262"/>
    <x v="2"/>
    <s v="Phones"/>
    <s v="LG Electronics Tone+ HBS-730 Bluetooth Headset"/>
    <n v="380.86399999999998"/>
    <n v="8"/>
    <n v="0.2"/>
    <n v="38.086399999999998"/>
  </r>
  <r>
    <n v="543"/>
    <x v="253"/>
    <x v="120"/>
    <x v="10"/>
    <d v="2016-06-30T00:00:00"/>
    <d v="2016-11-12T00:00:00"/>
    <s v="Standard Class"/>
    <s v="LM-17065"/>
    <s v="Liz MacKendrick"/>
    <s v="Consumer"/>
    <s v="United States"/>
    <s v="Springfield"/>
    <x v="24"/>
    <n v="45503"/>
    <x v="3"/>
    <s v="OFF-ST-10001809"/>
    <x v="1"/>
    <s v="Storage"/>
    <s v="Fellowes Officeware Wire Shelving"/>
    <n v="646.77599999999995"/>
    <n v="9"/>
    <n v="0.2"/>
    <n v="-145.52459999999999"/>
  </r>
  <r>
    <n v="544"/>
    <x v="254"/>
    <x v="201"/>
    <x v="2"/>
    <d v="2014-11-30T00:00:00"/>
    <d v="2015-04-05T00:00:00"/>
    <s v="Standard Class"/>
    <s v="PG-18895"/>
    <s v="Paul Gonzalez"/>
    <s v="Consumer"/>
    <s v="United States"/>
    <s v="Fort Worth"/>
    <x v="5"/>
    <n v="76106"/>
    <x v="2"/>
    <s v="TEC-AC-10001465"/>
    <x v="2"/>
    <s v="Accessories"/>
    <s v="SanDisk Cruzer 64 GB USB Flash Drive"/>
    <n v="58.112000000000002"/>
    <n v="2"/>
    <n v="0.2"/>
    <n v="7.2640000000000002"/>
  </r>
  <r>
    <n v="545"/>
    <x v="254"/>
    <x v="201"/>
    <x v="2"/>
    <d v="2014-11-30T00:00:00"/>
    <d v="2015-04-05T00:00:00"/>
    <s v="Standard Class"/>
    <s v="PG-18895"/>
    <s v="Paul Gonzalez"/>
    <s v="Consumer"/>
    <s v="United States"/>
    <s v="Fort Worth"/>
    <x v="5"/>
    <n v="76106"/>
    <x v="2"/>
    <s v="TEC-PH-10002597"/>
    <x v="2"/>
    <s v="Phones"/>
    <s v="Xblue XB-1670-86 X16 Small Office Telephone - Titanium"/>
    <n v="100.792"/>
    <n v="1"/>
    <n v="0.2"/>
    <n v="6.2995000000000001"/>
  </r>
  <r>
    <n v="546"/>
    <x v="254"/>
    <x v="201"/>
    <x v="2"/>
    <d v="2014-11-30T00:00:00"/>
    <d v="2015-04-05T00:00:00"/>
    <s v="Standard Class"/>
    <s v="PG-18895"/>
    <s v="Paul Gonzalez"/>
    <s v="Consumer"/>
    <s v="United States"/>
    <s v="Fort Worth"/>
    <x v="5"/>
    <n v="76106"/>
    <x v="2"/>
    <s v="FUR-FU-10000723"/>
    <x v="0"/>
    <s v="Furnishings"/>
    <s v="Deflect-o EconoMat Studded, No Bevel Mat for Low Pile Carpeting"/>
    <n v="66.111999999999995"/>
    <n v="4"/>
    <n v="0.6"/>
    <n v="-84.2928"/>
  </r>
  <r>
    <n v="547"/>
    <x v="255"/>
    <x v="118"/>
    <x v="9"/>
    <d v="2018-07-31T00:00:00"/>
    <d v="2018-10-11T00:00:00"/>
    <s v="First Class"/>
    <s v="AS-10135"/>
    <s v="Adrian Shami"/>
    <s v="Home Office"/>
    <s v="United States"/>
    <s v="New York City"/>
    <x v="15"/>
    <n v="10035"/>
    <x v="3"/>
    <s v="OFF-BI-10000404"/>
    <x v="1"/>
    <s v="Binders"/>
    <s v="Avery Printable Repositionable Plastic Tabs"/>
    <n v="41.28"/>
    <n v="6"/>
    <n v="0.2"/>
    <n v="13.932"/>
  </r>
  <r>
    <n v="548"/>
    <x v="255"/>
    <x v="118"/>
    <x v="9"/>
    <d v="2018-07-31T00:00:00"/>
    <d v="2018-10-11T00:00:00"/>
    <s v="First Class"/>
    <s v="AS-10135"/>
    <s v="Adrian Shami"/>
    <s v="Home Office"/>
    <s v="United States"/>
    <s v="New York City"/>
    <x v="15"/>
    <n v="10035"/>
    <x v="3"/>
    <s v="OFF-PA-10002986"/>
    <x v="1"/>
    <s v="Paper"/>
    <s v="Xerox 1898"/>
    <n v="13.36"/>
    <n v="2"/>
    <n v="0"/>
    <n v="6.4127999999999998"/>
  </r>
  <r>
    <n v="549"/>
    <x v="256"/>
    <x v="54"/>
    <x v="4"/>
    <d v="2016-03-31T00:00:00"/>
    <d v="2016-05-11T00:00:00"/>
    <s v="Second Class"/>
    <s v="DK-13225"/>
    <s v="Dean Katz"/>
    <s v="Corporate"/>
    <s v="United States"/>
    <s v="Chicago"/>
    <x v="10"/>
    <n v="60653"/>
    <x v="2"/>
    <s v="OFF-ST-10000604"/>
    <x v="1"/>
    <s v="Storage"/>
    <s v="Home/Office Personal File Carts"/>
    <n v="250.27199999999999"/>
    <n v="9"/>
    <n v="0.2"/>
    <n v="15.641999999999999"/>
  </r>
  <r>
    <n v="550"/>
    <x v="256"/>
    <x v="54"/>
    <x v="4"/>
    <d v="2016-03-31T00:00:00"/>
    <d v="2016-05-11T00:00:00"/>
    <s v="Second Class"/>
    <s v="DK-13225"/>
    <s v="Dean Katz"/>
    <s v="Corporate"/>
    <s v="United States"/>
    <s v="Chicago"/>
    <x v="10"/>
    <n v="60653"/>
    <x v="2"/>
    <s v="OFF-BI-10004738"/>
    <x v="1"/>
    <s v="Binders"/>
    <s v="Flexible Leather- Look Classic Collection Ring Binder"/>
    <n v="11.364000000000001"/>
    <n v="3"/>
    <n v="0.8"/>
    <n v="-17.045999999999999"/>
  </r>
  <r>
    <n v="551"/>
    <x v="256"/>
    <x v="54"/>
    <x v="4"/>
    <d v="2016-03-31T00:00:00"/>
    <d v="2016-05-11T00:00:00"/>
    <s v="Second Class"/>
    <s v="DK-13225"/>
    <s v="Dean Katz"/>
    <s v="Corporate"/>
    <s v="United States"/>
    <s v="Chicago"/>
    <x v="10"/>
    <n v="60653"/>
    <x v="2"/>
    <s v="OFF-SU-10001935"/>
    <x v="1"/>
    <s v="Supplies"/>
    <s v="Staple remover"/>
    <n v="8.7200000000000006"/>
    <n v="5"/>
    <n v="0.2"/>
    <n v="-1.744"/>
  </r>
  <r>
    <n v="552"/>
    <x v="257"/>
    <x v="162"/>
    <x v="4"/>
    <d v="2017-03-31T00:00:00"/>
    <d v="2017-05-04T00:00:00"/>
    <s v="Second Class"/>
    <s v="BD-11320"/>
    <s v="Bill Donatelli"/>
    <s v="Consumer"/>
    <s v="United States"/>
    <s v="San Francisco"/>
    <x v="1"/>
    <n v="94110"/>
    <x v="1"/>
    <s v="FUR-CH-10002024"/>
    <x v="0"/>
    <s v="Chairs"/>
    <s v="HON 5400 Series Task Chairs for Big and Tall"/>
    <n v="1121.568"/>
    <n v="2"/>
    <n v="0.2"/>
    <n v="0"/>
  </r>
  <r>
    <n v="553"/>
    <x v="258"/>
    <x v="202"/>
    <x v="2"/>
    <d v="2017-11-30T00:00:00"/>
    <d v="2017-12-09T00:00:00"/>
    <s v="First Class"/>
    <s v="RC-19960"/>
    <s v="Ryan Crowe"/>
    <s v="Consumer"/>
    <s v="United States"/>
    <s v="Jacksonville"/>
    <x v="2"/>
    <n v="32216"/>
    <x v="0"/>
    <s v="FUR-FU-10003039"/>
    <x v="0"/>
    <s v="Furnishings"/>
    <s v="Howard Miller 11-1/2&quot; Diameter Grantwood Wall Clock"/>
    <n v="34.503999999999998"/>
    <n v="1"/>
    <n v="0.2"/>
    <n v="6.0381999999999998"/>
  </r>
  <r>
    <n v="554"/>
    <x v="259"/>
    <x v="203"/>
    <x v="1"/>
    <d v="2018-12-31T00:00:00"/>
    <d v="2019-04-11T00:00:00"/>
    <s v="Standard Class"/>
    <s v="GT-14710"/>
    <s v="Greg Tran"/>
    <s v="Consumer"/>
    <s v="United States"/>
    <s v="Houston"/>
    <x v="5"/>
    <n v="77070"/>
    <x v="2"/>
    <s v="OFF-FA-10004248"/>
    <x v="1"/>
    <s v="Fasteners"/>
    <s v="Advantus T-Pin Paper Clips"/>
    <n v="10.824"/>
    <n v="3"/>
    <n v="0.2"/>
    <n v="2.5707"/>
  </r>
  <r>
    <n v="555"/>
    <x v="260"/>
    <x v="204"/>
    <x v="5"/>
    <d v="2019-05-31T00:00:00"/>
    <d v="2017-03-07T00:00:00"/>
    <s v="Second Class"/>
    <s v="DK-13225"/>
    <s v="Dean Katz"/>
    <s v="Corporate"/>
    <s v="United States"/>
    <s v="Anaheim"/>
    <x v="1"/>
    <n v="92804"/>
    <x v="1"/>
    <s v="OFF-ST-10001780"/>
    <x v="1"/>
    <s v="Storage"/>
    <s v="Tennsco 16-Compartment Lockers with Coat Rack"/>
    <n v="1295.78"/>
    <n v="2"/>
    <n v="0"/>
    <n v="310.98719999999997"/>
  </r>
  <r>
    <n v="556"/>
    <x v="261"/>
    <x v="205"/>
    <x v="4"/>
    <d v="2014-03-31T00:00:00"/>
    <d v="2014-07-03T00:00:00"/>
    <s v="Second Class"/>
    <s v="AJ-10945"/>
    <s v="Ashley Jarboe"/>
    <s v="Consumer"/>
    <s v="United States"/>
    <s v="Wilmington"/>
    <x v="3"/>
    <n v="28403"/>
    <x v="0"/>
    <s v="OFF-AR-10003560"/>
    <x v="1"/>
    <s v="Art"/>
    <s v="Zebra Zazzle Fluorescent Highlighters"/>
    <n v="19.456"/>
    <n v="4"/>
    <n v="0.2"/>
    <n v="3.4047999999999998"/>
  </r>
  <r>
    <n v="557"/>
    <x v="262"/>
    <x v="131"/>
    <x v="6"/>
    <d v="2016-10-31T00:00:00"/>
    <d v="2017-03-06T00:00:00"/>
    <s v="Standard Class"/>
    <s v="OT-18730"/>
    <s v="Olvera Toch"/>
    <s v="Consumer"/>
    <s v="United States"/>
    <s v="Los Angeles"/>
    <x v="1"/>
    <n v="90045"/>
    <x v="1"/>
    <s v="OFF-LA-10001297"/>
    <x v="1"/>
    <s v="Labels"/>
    <s v="Avery 473"/>
    <n v="20.7"/>
    <n v="2"/>
    <n v="0"/>
    <n v="9.9359999999999999"/>
  </r>
  <r>
    <n v="558"/>
    <x v="262"/>
    <x v="131"/>
    <x v="6"/>
    <d v="2016-10-31T00:00:00"/>
    <d v="2017-03-06T00:00:00"/>
    <s v="Standard Class"/>
    <s v="OT-18730"/>
    <s v="Olvera Toch"/>
    <s v="Consumer"/>
    <s v="United States"/>
    <s v="Los Angeles"/>
    <x v="1"/>
    <n v="90045"/>
    <x v="1"/>
    <s v="FUR-TA-10004256"/>
    <x v="0"/>
    <s v="Tables"/>
    <s v="Bretford “Just In Time” Height-Adjustable Multi-Task Work Tables"/>
    <n v="1335.68"/>
    <n v="4"/>
    <n v="0.2"/>
    <n v="-217.048"/>
  </r>
  <r>
    <n v="559"/>
    <x v="262"/>
    <x v="131"/>
    <x v="6"/>
    <d v="2016-10-31T00:00:00"/>
    <d v="2017-03-06T00:00:00"/>
    <s v="Standard Class"/>
    <s v="OT-18730"/>
    <s v="Olvera Toch"/>
    <s v="Consumer"/>
    <s v="United States"/>
    <s v="Los Angeles"/>
    <x v="1"/>
    <n v="90045"/>
    <x v="1"/>
    <s v="OFF-PA-10003441"/>
    <x v="1"/>
    <s v="Paper"/>
    <s v="Xerox 226"/>
    <n v="32.4"/>
    <n v="5"/>
    <n v="0"/>
    <n v="15.552"/>
  </r>
  <r>
    <n v="560"/>
    <x v="263"/>
    <x v="206"/>
    <x v="0"/>
    <d v="2018-08-31T00:00:00"/>
    <d v="2018-10-11T00:00:00"/>
    <s v="Second Class"/>
    <s v="LP-17080"/>
    <s v="Liz Pelletier"/>
    <s v="Consumer"/>
    <s v="United States"/>
    <s v="San Francisco"/>
    <x v="1"/>
    <n v="94110"/>
    <x v="1"/>
    <s v="FUR-FU-10003347"/>
    <x v="0"/>
    <s v="Furnishings"/>
    <s v="Coloredge Poster Frame"/>
    <n v="42.6"/>
    <n v="3"/>
    <n v="0"/>
    <n v="16.614000000000001"/>
  </r>
  <r>
    <n v="561"/>
    <x v="263"/>
    <x v="206"/>
    <x v="0"/>
    <d v="2018-08-31T00:00:00"/>
    <d v="2018-10-11T00:00:00"/>
    <s v="Second Class"/>
    <s v="LP-17080"/>
    <s v="Liz Pelletier"/>
    <s v="Consumer"/>
    <s v="United States"/>
    <s v="San Francisco"/>
    <x v="1"/>
    <n v="94110"/>
    <x v="1"/>
    <s v="OFF-BI-10000069"/>
    <x v="1"/>
    <s v="Binders"/>
    <s v="GBC Prepunched Paper, 19-Hole, for Binding Systems, 24-lb"/>
    <n v="84.055999999999997"/>
    <n v="7"/>
    <n v="0.2"/>
    <n v="27.318200000000001"/>
  </r>
  <r>
    <n v="562"/>
    <x v="264"/>
    <x v="79"/>
    <x v="11"/>
    <d v="2015-02-28T00:00:00"/>
    <d v="2015-06-09T00:00:00"/>
    <s v="Second Class"/>
    <s v="CA-12775"/>
    <s v="Cynthia Arntzen"/>
    <s v="Consumer"/>
    <s v="United States"/>
    <s v="Tampa"/>
    <x v="2"/>
    <n v="33614"/>
    <x v="0"/>
    <s v="OFF-AP-10003914"/>
    <x v="1"/>
    <s v="Appliances"/>
    <s v="Sanitaire Vibra Groomer IR Commercial Upright Vacuum, Replacement Belts"/>
    <n v="13"/>
    <n v="5"/>
    <n v="0.2"/>
    <n v="1.3"/>
  </r>
  <r>
    <n v="563"/>
    <x v="264"/>
    <x v="79"/>
    <x v="11"/>
    <d v="2015-02-28T00:00:00"/>
    <d v="2015-06-09T00:00:00"/>
    <s v="Second Class"/>
    <s v="CA-12775"/>
    <s v="Cynthia Arntzen"/>
    <s v="Consumer"/>
    <s v="United States"/>
    <s v="Tampa"/>
    <x v="2"/>
    <n v="33614"/>
    <x v="0"/>
    <s v="FUR-FU-10004020"/>
    <x v="0"/>
    <s v="Furnishings"/>
    <s v="Advantus Panel Wall Acrylic Frame"/>
    <n v="13.128"/>
    <n v="3"/>
    <n v="0.2"/>
    <n v="3.7743000000000002"/>
  </r>
  <r>
    <n v="564"/>
    <x v="265"/>
    <x v="163"/>
    <x v="9"/>
    <d v="2015-07-31T00:00:00"/>
    <d v="2015-09-12T00:00:00"/>
    <s v="First Class"/>
    <s v="JF-15490"/>
    <s v="Jeremy Farry"/>
    <s v="Consumer"/>
    <s v="United States"/>
    <s v="Seattle"/>
    <x v="4"/>
    <n v="98105"/>
    <x v="1"/>
    <s v="OFF-FA-10003467"/>
    <x v="1"/>
    <s v="Fasteners"/>
    <s v="Alliance Big Bands Rubber Bands, 12/Pack"/>
    <n v="3.96"/>
    <n v="2"/>
    <n v="0"/>
    <n v="0"/>
  </r>
  <r>
    <n v="565"/>
    <x v="265"/>
    <x v="163"/>
    <x v="9"/>
    <d v="2015-07-31T00:00:00"/>
    <d v="2015-09-12T00:00:00"/>
    <s v="First Class"/>
    <s v="JF-15490"/>
    <s v="Jeremy Farry"/>
    <s v="Consumer"/>
    <s v="United States"/>
    <s v="Seattle"/>
    <x v="4"/>
    <n v="98105"/>
    <x v="1"/>
    <s v="OFF-LA-10000634"/>
    <x v="1"/>
    <s v="Labels"/>
    <s v="Avery 509"/>
    <n v="2.61"/>
    <n v="1"/>
    <n v="0"/>
    <n v="1.2005999999999999"/>
  </r>
  <r>
    <n v="566"/>
    <x v="266"/>
    <x v="207"/>
    <x v="9"/>
    <d v="2017-07-31T00:00:00"/>
    <d v="2017-10-12T00:00:00"/>
    <s v="First Class"/>
    <s v="FP-14320"/>
    <s v="Frank Preis"/>
    <s v="Consumer"/>
    <s v="United States"/>
    <s v="Los Angeles"/>
    <x v="1"/>
    <n v="90008"/>
    <x v="1"/>
    <s v="TEC-PH-10002496"/>
    <x v="2"/>
    <s v="Phones"/>
    <s v="Cisco SPA301"/>
    <n v="374.37599999999998"/>
    <n v="3"/>
    <n v="0.2"/>
    <n v="46.796999999999997"/>
  </r>
  <r>
    <n v="567"/>
    <x v="267"/>
    <x v="63"/>
    <x v="7"/>
    <d v="2017-01-31T00:00:00"/>
    <d v="2017-08-10T00:00:00"/>
    <s v="Standard Class"/>
    <s v="EB-13840"/>
    <s v="Ellis Ballard"/>
    <s v="Corporate"/>
    <s v="United States"/>
    <s v="Seattle"/>
    <x v="4"/>
    <n v="98105"/>
    <x v="1"/>
    <s v="OFF-PA-10004530"/>
    <x v="1"/>
    <s v="Paper"/>
    <s v="Personal Creations Ink Jet Cards and Labels"/>
    <n v="91.84"/>
    <n v="8"/>
    <n v="0"/>
    <n v="45.001600000000003"/>
  </r>
  <r>
    <n v="568"/>
    <x v="267"/>
    <x v="63"/>
    <x v="7"/>
    <d v="2017-01-31T00:00:00"/>
    <d v="2017-08-10T00:00:00"/>
    <s v="Standard Class"/>
    <s v="EB-13840"/>
    <s v="Ellis Ballard"/>
    <s v="Corporate"/>
    <s v="United States"/>
    <s v="Seattle"/>
    <x v="4"/>
    <n v="98105"/>
    <x v="1"/>
    <s v="OFF-BI-10001107"/>
    <x v="1"/>
    <s v="Binders"/>
    <s v="GBC White Gloss Covers, Plain Front"/>
    <n v="81.087999999999994"/>
    <n v="7"/>
    <n v="0.2"/>
    <n v="27.3672"/>
  </r>
  <r>
    <n v="569"/>
    <x v="267"/>
    <x v="63"/>
    <x v="7"/>
    <d v="2017-01-31T00:00:00"/>
    <d v="2017-08-10T00:00:00"/>
    <s v="Standard Class"/>
    <s v="EB-13840"/>
    <s v="Ellis Ballard"/>
    <s v="Corporate"/>
    <s v="United States"/>
    <s v="Seattle"/>
    <x v="4"/>
    <n v="98105"/>
    <x v="1"/>
    <s v="OFF-PA-10004451"/>
    <x v="1"/>
    <s v="Paper"/>
    <s v="Xerox 222"/>
    <n v="19.440000000000001"/>
    <n v="3"/>
    <n v="0"/>
    <n v="9.3312000000000008"/>
  </r>
  <r>
    <n v="570"/>
    <x v="267"/>
    <x v="63"/>
    <x v="7"/>
    <d v="2017-01-31T00:00:00"/>
    <d v="2017-08-10T00:00:00"/>
    <s v="Standard Class"/>
    <s v="EB-13840"/>
    <s v="Ellis Ballard"/>
    <s v="Corporate"/>
    <s v="United States"/>
    <s v="Seattle"/>
    <x v="4"/>
    <n v="98105"/>
    <x v="1"/>
    <s v="FUR-CH-10004997"/>
    <x v="0"/>
    <s v="Chairs"/>
    <s v="Hon Every-Day Series Multi-Task Chairs"/>
    <n v="451.15199999999999"/>
    <n v="3"/>
    <n v="0.2"/>
    <n v="0"/>
  </r>
  <r>
    <n v="571"/>
    <x v="268"/>
    <x v="112"/>
    <x v="8"/>
    <d v="2019-04-30T00:00:00"/>
    <d v="2018-04-01T00:00:00"/>
    <s v="Standard Class"/>
    <s v="JF-15415"/>
    <s v="Jennifer Ferguson"/>
    <s v="Consumer"/>
    <s v="United States"/>
    <s v="New York City"/>
    <x v="15"/>
    <n v="10024"/>
    <x v="3"/>
    <s v="OFF-LA-10001297"/>
    <x v="1"/>
    <s v="Labels"/>
    <s v="Avery 473"/>
    <n v="72.45"/>
    <n v="7"/>
    <n v="0"/>
    <n v="34.776000000000003"/>
  </r>
  <r>
    <n v="572"/>
    <x v="268"/>
    <x v="112"/>
    <x v="8"/>
    <d v="2019-04-30T00:00:00"/>
    <d v="2018-04-01T00:00:00"/>
    <s v="Standard Class"/>
    <s v="JF-15415"/>
    <s v="Jennifer Ferguson"/>
    <s v="Consumer"/>
    <s v="United States"/>
    <s v="New York City"/>
    <x v="15"/>
    <n v="10024"/>
    <x v="3"/>
    <s v="OFF-FA-10000585"/>
    <x v="1"/>
    <s v="Fasteners"/>
    <s v="OIC Bulk Pack Metal Binder Clips"/>
    <n v="13.96"/>
    <n v="4"/>
    <n v="0"/>
    <n v="6.4215999999999998"/>
  </r>
  <r>
    <n v="573"/>
    <x v="268"/>
    <x v="112"/>
    <x v="8"/>
    <d v="2019-04-30T00:00:00"/>
    <d v="2018-04-01T00:00:00"/>
    <s v="Standard Class"/>
    <s v="JF-15415"/>
    <s v="Jennifer Ferguson"/>
    <s v="Consumer"/>
    <s v="United States"/>
    <s v="New York City"/>
    <x v="15"/>
    <n v="10024"/>
    <x v="3"/>
    <s v="OFF-BI-10001922"/>
    <x v="1"/>
    <s v="Binders"/>
    <s v="Storex Dura Pro Binders"/>
    <n v="33.264000000000003"/>
    <n v="7"/>
    <n v="0.2"/>
    <n v="11.226599999999999"/>
  </r>
  <r>
    <n v="574"/>
    <x v="268"/>
    <x v="112"/>
    <x v="8"/>
    <d v="2019-04-30T00:00:00"/>
    <d v="2018-04-01T00:00:00"/>
    <s v="Standard Class"/>
    <s v="JF-15415"/>
    <s v="Jennifer Ferguson"/>
    <s v="Consumer"/>
    <s v="United States"/>
    <s v="New York City"/>
    <x v="15"/>
    <n v="10024"/>
    <x v="3"/>
    <s v="TEC-PH-10000347"/>
    <x v="2"/>
    <s v="Phones"/>
    <s v="Cush Cases Heavy Duty Rugged Cover Case for Samsung Galaxy S5 - Purple"/>
    <n v="14.85"/>
    <n v="3"/>
    <n v="0"/>
    <n v="4.0095000000000001"/>
  </r>
  <r>
    <n v="575"/>
    <x v="269"/>
    <x v="54"/>
    <x v="4"/>
    <d v="2016-03-31T00:00:00"/>
    <d v="2016-07-11T00:00:00"/>
    <s v="Standard Class"/>
    <s v="SF-20200"/>
    <s v="Sarah Foster"/>
    <s v="Consumer"/>
    <s v="United States"/>
    <s v="Marysville"/>
    <x v="4"/>
    <n v="98270"/>
    <x v="1"/>
    <s v="OFF-AR-10003394"/>
    <x v="1"/>
    <s v="Art"/>
    <s v="Newell 332"/>
    <n v="8.82"/>
    <n v="3"/>
    <n v="0"/>
    <n v="2.3814000000000002"/>
  </r>
  <r>
    <n v="576"/>
    <x v="270"/>
    <x v="47"/>
    <x v="10"/>
    <d v="2016-06-30T00:00:00"/>
    <d v="2016-10-09T00:00:00"/>
    <s v="Second Class"/>
    <s v="TG-21640"/>
    <s v="Trudy Glocke"/>
    <s v="Consumer"/>
    <s v="United States"/>
    <s v="Long Beach"/>
    <x v="1"/>
    <n v="90805"/>
    <x v="1"/>
    <s v="OFF-PA-10004530"/>
    <x v="1"/>
    <s v="Paper"/>
    <s v="Personal Creations Ink Jet Cards and Labels"/>
    <n v="160.72"/>
    <n v="14"/>
    <n v="0"/>
    <n v="78.752799999999993"/>
  </r>
  <r>
    <n v="577"/>
    <x v="270"/>
    <x v="47"/>
    <x v="10"/>
    <d v="2016-06-30T00:00:00"/>
    <d v="2016-10-09T00:00:00"/>
    <s v="Second Class"/>
    <s v="TG-21640"/>
    <s v="Trudy Glocke"/>
    <s v="Consumer"/>
    <s v="United States"/>
    <s v="Long Beach"/>
    <x v="1"/>
    <n v="90805"/>
    <x v="1"/>
    <s v="OFF-PA-10001450"/>
    <x v="1"/>
    <s v="Paper"/>
    <s v="Rediform S.O.S. Phone Message Books"/>
    <n v="19.920000000000002"/>
    <n v="4"/>
    <n v="0"/>
    <n v="9.7607999999999997"/>
  </r>
  <r>
    <n v="578"/>
    <x v="270"/>
    <x v="47"/>
    <x v="10"/>
    <d v="2016-06-30T00:00:00"/>
    <d v="2016-10-09T00:00:00"/>
    <s v="Second Class"/>
    <s v="TG-21640"/>
    <s v="Trudy Glocke"/>
    <s v="Consumer"/>
    <s v="United States"/>
    <s v="Long Beach"/>
    <x v="1"/>
    <n v="90805"/>
    <x v="1"/>
    <s v="OFF-SU-10001574"/>
    <x v="1"/>
    <s v="Supplies"/>
    <s v="Acme Value Line Scissors"/>
    <n v="7.3"/>
    <n v="2"/>
    <n v="0"/>
    <n v="2.19"/>
  </r>
  <r>
    <n v="579"/>
    <x v="271"/>
    <x v="208"/>
    <x v="0"/>
    <d v="2018-08-31T00:00:00"/>
    <d v="2019-02-07T00:00:00"/>
    <s v="Standard Class"/>
    <s v="CS-11950"/>
    <s v="Carlos Soltero"/>
    <s v="Consumer"/>
    <s v="United States"/>
    <s v="Chicago"/>
    <x v="10"/>
    <n v="60610"/>
    <x v="2"/>
    <s v="OFF-ST-10002974"/>
    <x v="1"/>
    <s v="Storage"/>
    <s v="Trav-L-File Heavy-Duty Shuttle II, Black"/>
    <n v="69.712000000000003"/>
    <n v="2"/>
    <n v="0.2"/>
    <n v="8.7140000000000004"/>
  </r>
  <r>
    <n v="580"/>
    <x v="271"/>
    <x v="208"/>
    <x v="0"/>
    <d v="2018-08-31T00:00:00"/>
    <d v="2019-02-07T00:00:00"/>
    <s v="Standard Class"/>
    <s v="CS-11950"/>
    <s v="Carlos Soltero"/>
    <s v="Consumer"/>
    <s v="United States"/>
    <s v="Chicago"/>
    <x v="10"/>
    <n v="60610"/>
    <x v="2"/>
    <s v="FUR-FU-10001475"/>
    <x v="0"/>
    <s v="Furnishings"/>
    <s v="Contract Clock, 14&quot;, Brown"/>
    <n v="8.7919999999999998"/>
    <n v="1"/>
    <n v="0.6"/>
    <n v="-5.7148000000000003"/>
  </r>
  <r>
    <n v="581"/>
    <x v="272"/>
    <x v="209"/>
    <x v="6"/>
    <d v="2015-10-31T00:00:00"/>
    <d v="2016-02-09T00:00:00"/>
    <s v="Standard Class"/>
    <s v="CC-12145"/>
    <s v="Charles Crestani"/>
    <s v="Consumer"/>
    <s v="United States"/>
    <s v="Los Angeles"/>
    <x v="1"/>
    <n v="90004"/>
    <x v="1"/>
    <s v="OFF-SU-10004498"/>
    <x v="1"/>
    <s v="Supplies"/>
    <s v="Martin-Yale Premier Letter Opener"/>
    <n v="51.52"/>
    <n v="4"/>
    <n v="0"/>
    <n v="1.5456000000000001"/>
  </r>
  <r>
    <n v="582"/>
    <x v="273"/>
    <x v="95"/>
    <x v="7"/>
    <d v="2017-01-31T00:00:00"/>
    <d v="2017-05-12T00:00:00"/>
    <s v="Standard Class"/>
    <s v="DV-13465"/>
    <s v="Dianna Vittorini"/>
    <s v="Consumer"/>
    <s v="United States"/>
    <s v="Denver"/>
    <x v="22"/>
    <n v="80219"/>
    <x v="1"/>
    <s v="TEC-PH-10004977"/>
    <x v="2"/>
    <s v="Phones"/>
    <s v="GE 30524EE4"/>
    <n v="470.37599999999998"/>
    <n v="3"/>
    <n v="0.2"/>
    <n v="52.917299999999997"/>
  </r>
  <r>
    <n v="583"/>
    <x v="273"/>
    <x v="95"/>
    <x v="7"/>
    <d v="2017-01-31T00:00:00"/>
    <d v="2017-05-12T00:00:00"/>
    <s v="Standard Class"/>
    <s v="DV-13465"/>
    <s v="Dianna Vittorini"/>
    <s v="Consumer"/>
    <s v="United States"/>
    <s v="Denver"/>
    <x v="22"/>
    <n v="80219"/>
    <x v="1"/>
    <s v="TEC-PH-10000586"/>
    <x v="2"/>
    <s v="Phones"/>
    <s v="AT&amp;T SB67148 SynJ"/>
    <n v="105.584"/>
    <n v="2"/>
    <n v="0.2"/>
    <n v="9.2385999999999999"/>
  </r>
  <r>
    <n v="584"/>
    <x v="273"/>
    <x v="95"/>
    <x v="7"/>
    <d v="2017-01-31T00:00:00"/>
    <d v="2017-05-12T00:00:00"/>
    <s v="Standard Class"/>
    <s v="DV-13465"/>
    <s v="Dianna Vittorini"/>
    <s v="Consumer"/>
    <s v="United States"/>
    <s v="Denver"/>
    <x v="22"/>
    <n v="80219"/>
    <x v="1"/>
    <s v="OFF-AP-10000358"/>
    <x v="1"/>
    <s v="Appliances"/>
    <s v="Fellowes Basic Home/Office Series Surge Protectors"/>
    <n v="31.152000000000001"/>
    <n v="3"/>
    <n v="0.2"/>
    <n v="3.5045999999999999"/>
  </r>
  <r>
    <n v="585"/>
    <x v="273"/>
    <x v="95"/>
    <x v="7"/>
    <d v="2017-01-31T00:00:00"/>
    <d v="2017-05-12T00:00:00"/>
    <s v="Standard Class"/>
    <s v="DV-13465"/>
    <s v="Dianna Vittorini"/>
    <s v="Consumer"/>
    <s v="United States"/>
    <s v="Denver"/>
    <x v="22"/>
    <n v="80219"/>
    <x v="1"/>
    <s v="OFF-BI-10002764"/>
    <x v="1"/>
    <s v="Binders"/>
    <s v="Recycled Pressboard Report Cover with Reinforced Top Hinge"/>
    <n v="6.7830000000000004"/>
    <n v="7"/>
    <n v="0.7"/>
    <n v="-4.7481"/>
  </r>
  <r>
    <n v="586"/>
    <x v="273"/>
    <x v="95"/>
    <x v="7"/>
    <d v="2017-01-31T00:00:00"/>
    <d v="2017-05-12T00:00:00"/>
    <s v="Standard Class"/>
    <s v="DV-13465"/>
    <s v="Dianna Vittorini"/>
    <s v="Consumer"/>
    <s v="United States"/>
    <s v="Denver"/>
    <x v="22"/>
    <n v="80219"/>
    <x v="1"/>
    <s v="TEC-PH-10001254"/>
    <x v="2"/>
    <s v="Phones"/>
    <s v="Jabra BIZ 2300 Duo QD Duo Corded Headset"/>
    <n v="406.36799999999999"/>
    <n v="4"/>
    <n v="0.2"/>
    <n v="30.477599999999999"/>
  </r>
  <r>
    <n v="587"/>
    <x v="274"/>
    <x v="210"/>
    <x v="4"/>
    <d v="2015-03-31T00:00:00"/>
    <d v="2015-09-07T00:00:00"/>
    <s v="Standard Class"/>
    <s v="BD-11725"/>
    <s v="Bruce Degenhardt"/>
    <s v="Consumer"/>
    <s v="United States"/>
    <s v="Richmond"/>
    <x v="0"/>
    <n v="40475"/>
    <x v="0"/>
    <s v="FUR-CH-10003956"/>
    <x v="0"/>
    <s v="Chairs"/>
    <s v="Novimex High-Tech Fabric Mesh Task Chair"/>
    <n v="70.98"/>
    <n v="1"/>
    <n v="0"/>
    <n v="4.9686000000000003"/>
  </r>
  <r>
    <n v="588"/>
    <x v="274"/>
    <x v="210"/>
    <x v="4"/>
    <d v="2015-03-31T00:00:00"/>
    <d v="2015-09-07T00:00:00"/>
    <s v="Standard Class"/>
    <s v="BD-11725"/>
    <s v="Bruce Degenhardt"/>
    <s v="Consumer"/>
    <s v="United States"/>
    <s v="Richmond"/>
    <x v="0"/>
    <n v="40475"/>
    <x v="0"/>
    <s v="OFF-LA-10003930"/>
    <x v="1"/>
    <s v="Labels"/>
    <s v="Dot Matrix Printer Tape Reel Labels, White, 5000/Box"/>
    <n v="294.93"/>
    <n v="3"/>
    <n v="0"/>
    <n v="144.51570000000001"/>
  </r>
  <r>
    <n v="589"/>
    <x v="275"/>
    <x v="137"/>
    <x v="0"/>
    <d v="2017-08-31T00:00:00"/>
    <d v="2017-12-03T00:00:00"/>
    <s v="Standard Class"/>
    <s v="ZC-21910"/>
    <s v="Zuschuss Carroll"/>
    <s v="Consumer"/>
    <s v="United States"/>
    <s v="Salem"/>
    <x v="21"/>
    <n v="97301"/>
    <x v="1"/>
    <s v="TEC-PH-10003800"/>
    <x v="2"/>
    <s v="Phones"/>
    <s v="i.Sound Portable Power - 8000 mAh"/>
    <n v="84.784000000000006"/>
    <n v="2"/>
    <n v="0.2"/>
    <n v="-20.136199999999999"/>
  </r>
  <r>
    <n v="590"/>
    <x v="275"/>
    <x v="137"/>
    <x v="0"/>
    <d v="2017-08-31T00:00:00"/>
    <d v="2017-12-03T00:00:00"/>
    <s v="Standard Class"/>
    <s v="ZC-21910"/>
    <s v="Zuschuss Carroll"/>
    <s v="Consumer"/>
    <s v="United States"/>
    <s v="Salem"/>
    <x v="21"/>
    <n v="97301"/>
    <x v="1"/>
    <s v="OFF-PA-10002005"/>
    <x v="1"/>
    <s v="Paper"/>
    <s v="Xerox 225"/>
    <n v="20.736000000000001"/>
    <n v="4"/>
    <n v="0.2"/>
    <n v="7.2576000000000001"/>
  </r>
  <r>
    <n v="591"/>
    <x v="275"/>
    <x v="137"/>
    <x v="0"/>
    <d v="2017-08-31T00:00:00"/>
    <d v="2017-12-03T00:00:00"/>
    <s v="Standard Class"/>
    <s v="ZC-21910"/>
    <s v="Zuschuss Carroll"/>
    <s v="Consumer"/>
    <s v="United States"/>
    <s v="Salem"/>
    <x v="21"/>
    <n v="97301"/>
    <x v="1"/>
    <s v="OFF-BI-10002498"/>
    <x v="1"/>
    <s v="Binders"/>
    <s v="Clear Mylar Reinforcing Strips"/>
    <n v="16.821000000000002"/>
    <n v="3"/>
    <n v="0.7"/>
    <n v="-12.896100000000001"/>
  </r>
  <r>
    <n v="592"/>
    <x v="275"/>
    <x v="137"/>
    <x v="0"/>
    <d v="2017-08-31T00:00:00"/>
    <d v="2017-12-03T00:00:00"/>
    <s v="Standard Class"/>
    <s v="ZC-21910"/>
    <s v="Zuschuss Carroll"/>
    <s v="Consumer"/>
    <s v="United States"/>
    <s v="Salem"/>
    <x v="21"/>
    <n v="97301"/>
    <x v="1"/>
    <s v="OFF-PA-10004101"/>
    <x v="1"/>
    <s v="Paper"/>
    <s v="Xerox 1894"/>
    <n v="10.368"/>
    <n v="2"/>
    <n v="0.2"/>
    <n v="3.6288"/>
  </r>
  <r>
    <n v="593"/>
    <x v="276"/>
    <x v="211"/>
    <x v="3"/>
    <d v="2014-09-30T00:00:00"/>
    <d v="2015-01-01T00:00:00"/>
    <s v="Standard Class"/>
    <s v="MS-17830"/>
    <s v="Melanie Seite"/>
    <s v="Consumer"/>
    <s v="United States"/>
    <s v="Laredo"/>
    <x v="5"/>
    <n v="78041"/>
    <x v="2"/>
    <s v="OFF-AR-10004078"/>
    <x v="1"/>
    <s v="Art"/>
    <s v="Newell 312"/>
    <n v="9.3439999999999994"/>
    <n v="2"/>
    <n v="0.2"/>
    <n v="1.1679999999999999"/>
  </r>
  <r>
    <n v="594"/>
    <x v="276"/>
    <x v="211"/>
    <x v="3"/>
    <d v="2014-09-30T00:00:00"/>
    <d v="2015-01-01T00:00:00"/>
    <s v="Standard Class"/>
    <s v="MS-17830"/>
    <s v="Melanie Seite"/>
    <s v="Consumer"/>
    <s v="United States"/>
    <s v="Laredo"/>
    <x v="5"/>
    <n v="78041"/>
    <x v="2"/>
    <s v="TEC-AC-10001266"/>
    <x v="2"/>
    <s v="Accessories"/>
    <s v="Memorex Micro Travel Drive 8 GB"/>
    <n v="31.2"/>
    <n v="3"/>
    <n v="0.2"/>
    <n v="9.75"/>
  </r>
  <r>
    <n v="595"/>
    <x v="277"/>
    <x v="212"/>
    <x v="0"/>
    <d v="2014-08-31T00:00:00"/>
    <d v="2015-03-08T00:00:00"/>
    <s v="Standard Class"/>
    <s v="LR-16915"/>
    <s v="Lena Radford"/>
    <s v="Consumer"/>
    <s v="United States"/>
    <s v="San Diego"/>
    <x v="1"/>
    <n v="92024"/>
    <x v="1"/>
    <s v="OFF-AP-10004708"/>
    <x v="1"/>
    <s v="Appliances"/>
    <s v="Fellowes Superior 10 Outlet Split Surge Protector"/>
    <n v="76.12"/>
    <n v="2"/>
    <n v="0"/>
    <n v="22.0748"/>
  </r>
  <r>
    <n v="596"/>
    <x v="277"/>
    <x v="212"/>
    <x v="0"/>
    <d v="2014-08-31T00:00:00"/>
    <d v="2015-03-08T00:00:00"/>
    <s v="Standard Class"/>
    <s v="LR-16915"/>
    <s v="Lena Radford"/>
    <s v="Consumer"/>
    <s v="United States"/>
    <s v="San Diego"/>
    <x v="1"/>
    <n v="92024"/>
    <x v="1"/>
    <s v="TEC-CO-10004115"/>
    <x v="2"/>
    <s v="Copiers"/>
    <s v="Sharp AL-1530CS Digital Copier"/>
    <n v="1199.9760000000001"/>
    <n v="3"/>
    <n v="0.2"/>
    <n v="434.99130000000002"/>
  </r>
  <r>
    <n v="597"/>
    <x v="277"/>
    <x v="212"/>
    <x v="0"/>
    <d v="2014-08-31T00:00:00"/>
    <d v="2015-03-08T00:00:00"/>
    <s v="Standard Class"/>
    <s v="LR-16915"/>
    <s v="Lena Radford"/>
    <s v="Consumer"/>
    <s v="United States"/>
    <s v="San Diego"/>
    <x v="1"/>
    <n v="92024"/>
    <x v="1"/>
    <s v="TEC-PH-10002398"/>
    <x v="2"/>
    <s v="Phones"/>
    <s v="AT&amp;T 1070 Corded Phone"/>
    <n v="445.96"/>
    <n v="5"/>
    <n v="0.2"/>
    <n v="55.744999999999997"/>
  </r>
  <r>
    <n v="598"/>
    <x v="277"/>
    <x v="212"/>
    <x v="0"/>
    <d v="2014-08-31T00:00:00"/>
    <d v="2015-03-08T00:00:00"/>
    <s v="Standard Class"/>
    <s v="LR-16915"/>
    <s v="Lena Radford"/>
    <s v="Consumer"/>
    <s v="United States"/>
    <s v="San Diego"/>
    <x v="1"/>
    <n v="92024"/>
    <x v="1"/>
    <s v="FUR-FU-10001979"/>
    <x v="0"/>
    <s v="Furnishings"/>
    <s v="Dana Halogen Swing-Arm Architect Lamp"/>
    <n v="327.76"/>
    <n v="8"/>
    <n v="0"/>
    <n v="91.772800000000004"/>
  </r>
  <r>
    <n v="599"/>
    <x v="278"/>
    <x v="200"/>
    <x v="11"/>
    <d v="2017-02-28T00:00:00"/>
    <d v="2017-04-07T00:00:00"/>
    <s v="First Class"/>
    <s v="TP-21130"/>
    <s v="Theone Pippenger"/>
    <s v="Consumer"/>
    <s v="United States"/>
    <s v="Philadelphia"/>
    <x v="9"/>
    <n v="19134"/>
    <x v="3"/>
    <s v="OFF-SU-10004115"/>
    <x v="1"/>
    <s v="Supplies"/>
    <s v="Acme Stainless Steel Office Snips"/>
    <n v="11.632"/>
    <n v="2"/>
    <n v="0.2"/>
    <n v="1.0178"/>
  </r>
  <r>
    <n v="600"/>
    <x v="279"/>
    <x v="86"/>
    <x v="8"/>
    <d v="2017-04-30T00:00:00"/>
    <d v="2017-09-07T00:00:00"/>
    <s v="Standard Class"/>
    <s v="CK-12205"/>
    <s v="Chloris Kastensmidt"/>
    <s v="Consumer"/>
    <s v="United States"/>
    <s v="Philadelphia"/>
    <x v="9"/>
    <n v="19120"/>
    <x v="3"/>
    <s v="TEC-PH-10001425"/>
    <x v="2"/>
    <s v="Phones"/>
    <s v="Mophie Juice Pack Helium for iPhone"/>
    <n v="143.982"/>
    <n v="3"/>
    <n v="0.4"/>
    <n v="-28.796399999999998"/>
  </r>
  <r>
    <n v="601"/>
    <x v="279"/>
    <x v="86"/>
    <x v="8"/>
    <d v="2017-04-30T00:00:00"/>
    <d v="2017-09-07T00:00:00"/>
    <s v="Standard Class"/>
    <s v="CK-12205"/>
    <s v="Chloris Kastensmidt"/>
    <s v="Consumer"/>
    <s v="United States"/>
    <s v="Philadelphia"/>
    <x v="9"/>
    <n v="19120"/>
    <x v="3"/>
    <s v="TEC-PH-10003963"/>
    <x v="2"/>
    <s v="Phones"/>
    <s v="GE 2-Jack Phone Line Splitter"/>
    <n v="494.37599999999998"/>
    <n v="4"/>
    <n v="0.4"/>
    <n v="-115.3544"/>
  </r>
  <r>
    <n v="602"/>
    <x v="279"/>
    <x v="86"/>
    <x v="8"/>
    <d v="2017-04-30T00:00:00"/>
    <d v="2017-09-07T00:00:00"/>
    <s v="Standard Class"/>
    <s v="CK-12205"/>
    <s v="Chloris Kastensmidt"/>
    <s v="Consumer"/>
    <s v="United States"/>
    <s v="Philadelphia"/>
    <x v="9"/>
    <n v="19120"/>
    <x v="3"/>
    <s v="OFF-SU-10001574"/>
    <x v="1"/>
    <s v="Supplies"/>
    <s v="Acme Value Line Scissors"/>
    <n v="5.84"/>
    <n v="2"/>
    <n v="0.2"/>
    <n v="0.73"/>
  </r>
  <r>
    <n v="603"/>
    <x v="280"/>
    <x v="213"/>
    <x v="4"/>
    <d v="2015-03-31T00:00:00"/>
    <d v="2015-07-03T00:00:00"/>
    <s v="Standard Class"/>
    <s v="AS-10240"/>
    <s v="Alan Shonely"/>
    <s v="Consumer"/>
    <s v="United States"/>
    <s v="Tampa"/>
    <x v="2"/>
    <n v="33614"/>
    <x v="0"/>
    <s v="OFF-ST-10001490"/>
    <x v="1"/>
    <s v="Storage"/>
    <s v="Hot File 7-Pocket, Floor Stand"/>
    <n v="142.77600000000001"/>
    <n v="1"/>
    <n v="0.2"/>
    <n v="17.847000000000001"/>
  </r>
  <r>
    <n v="604"/>
    <x v="280"/>
    <x v="213"/>
    <x v="4"/>
    <d v="2015-03-31T00:00:00"/>
    <d v="2015-07-03T00:00:00"/>
    <s v="Standard Class"/>
    <s v="AS-10240"/>
    <s v="Alan Shonely"/>
    <s v="Consumer"/>
    <s v="United States"/>
    <s v="Tampa"/>
    <x v="2"/>
    <n v="33614"/>
    <x v="0"/>
    <s v="FUR-FU-10001756"/>
    <x v="0"/>
    <s v="Furnishings"/>
    <s v="Eldon Expressions Desk Accessory, Wood Photo Frame, Mahogany"/>
    <n v="45.695999999999998"/>
    <n v="3"/>
    <n v="0.2"/>
    <n v="5.1407999999999996"/>
  </r>
  <r>
    <n v="605"/>
    <x v="280"/>
    <x v="213"/>
    <x v="4"/>
    <d v="2015-03-31T00:00:00"/>
    <d v="2015-07-03T00:00:00"/>
    <s v="Standard Class"/>
    <s v="AS-10240"/>
    <s v="Alan Shonely"/>
    <s v="Consumer"/>
    <s v="United States"/>
    <s v="Tampa"/>
    <x v="2"/>
    <n v="33614"/>
    <x v="0"/>
    <s v="OFF-BI-10000773"/>
    <x v="1"/>
    <s v="Binders"/>
    <s v="Insertable Tab Post Binder Dividers"/>
    <n v="7.218"/>
    <n v="3"/>
    <n v="0.7"/>
    <n v="-5.5338000000000003"/>
  </r>
  <r>
    <n v="606"/>
    <x v="280"/>
    <x v="213"/>
    <x v="4"/>
    <d v="2015-03-31T00:00:00"/>
    <d v="2015-07-03T00:00:00"/>
    <s v="Standard Class"/>
    <s v="AS-10240"/>
    <s v="Alan Shonely"/>
    <s v="Consumer"/>
    <s v="United States"/>
    <s v="Tampa"/>
    <x v="2"/>
    <n v="33614"/>
    <x v="0"/>
    <s v="OFF-BI-10001543"/>
    <x v="1"/>
    <s v="Binders"/>
    <s v="GBC VeloBinder Manual Binding System"/>
    <n v="43.188000000000002"/>
    <n v="4"/>
    <n v="0.7"/>
    <n v="-31.671199999999999"/>
  </r>
  <r>
    <n v="607"/>
    <x v="280"/>
    <x v="213"/>
    <x v="4"/>
    <d v="2015-03-31T00:00:00"/>
    <d v="2015-07-03T00:00:00"/>
    <s v="Standard Class"/>
    <s v="AS-10240"/>
    <s v="Alan Shonely"/>
    <s v="Consumer"/>
    <s v="United States"/>
    <s v="Tampa"/>
    <x v="2"/>
    <n v="33614"/>
    <x v="0"/>
    <s v="OFF-PA-10002120"/>
    <x v="1"/>
    <s v="Paper"/>
    <s v="Xerox 1889"/>
    <n v="131.904"/>
    <n v="3"/>
    <n v="0.2"/>
    <n v="47.815199999999997"/>
  </r>
  <r>
    <n v="608"/>
    <x v="281"/>
    <x v="214"/>
    <x v="2"/>
    <d v="2015-11-30T00:00:00"/>
    <d v="2016-03-05T00:00:00"/>
    <s v="Standard Class"/>
    <s v="AR-10510"/>
    <s v="Andrew Roberts"/>
    <s v="Consumer"/>
    <s v="United States"/>
    <s v="Philadelphia"/>
    <x v="9"/>
    <n v="19134"/>
    <x v="3"/>
    <s v="OFF-BI-10000848"/>
    <x v="1"/>
    <s v="Binders"/>
    <s v="Angle-D Ring Binders"/>
    <n v="3.282"/>
    <n v="2"/>
    <n v="0.7"/>
    <n v="-2.6255999999999999"/>
  </r>
  <r>
    <n v="609"/>
    <x v="281"/>
    <x v="214"/>
    <x v="2"/>
    <d v="2015-11-30T00:00:00"/>
    <d v="2016-03-05T00:00:00"/>
    <s v="Standard Class"/>
    <s v="AR-10510"/>
    <s v="Andrew Roberts"/>
    <s v="Consumer"/>
    <s v="United States"/>
    <s v="Philadelphia"/>
    <x v="9"/>
    <n v="19134"/>
    <x v="3"/>
    <s v="OFF-AR-10001246"/>
    <x v="1"/>
    <s v="Art"/>
    <s v="Newell 317"/>
    <n v="21.167999999999999"/>
    <n v="9"/>
    <n v="0.2"/>
    <n v="2.3814000000000002"/>
  </r>
  <r>
    <n v="610"/>
    <x v="281"/>
    <x v="214"/>
    <x v="2"/>
    <d v="2015-11-30T00:00:00"/>
    <d v="2016-03-05T00:00:00"/>
    <s v="Standard Class"/>
    <s v="AR-10510"/>
    <s v="Andrew Roberts"/>
    <s v="Consumer"/>
    <s v="United States"/>
    <s v="Philadelphia"/>
    <x v="9"/>
    <n v="19134"/>
    <x v="3"/>
    <s v="TEC-PH-10003092"/>
    <x v="2"/>
    <s v="Phones"/>
    <s v="Motorola L804"/>
    <n v="55.188000000000002"/>
    <n v="2"/>
    <n v="0.4"/>
    <n v="-10.117800000000001"/>
  </r>
  <r>
    <n v="611"/>
    <x v="282"/>
    <x v="215"/>
    <x v="8"/>
    <d v="2018-04-30T00:00:00"/>
    <d v="2016-01-05T00:00:00"/>
    <s v="First Class"/>
    <s v="NB-18655"/>
    <s v="Nona Balk"/>
    <s v="Corporate"/>
    <s v="United States"/>
    <s v="Dallas"/>
    <x v="5"/>
    <n v="75217"/>
    <x v="2"/>
    <s v="TEC-PH-10003012"/>
    <x v="2"/>
    <s v="Phones"/>
    <s v="Nortel Meridian M3904 Professional Digital phone"/>
    <n v="369.57600000000002"/>
    <n v="3"/>
    <n v="0.2"/>
    <n v="41.577300000000001"/>
  </r>
  <r>
    <n v="612"/>
    <x v="282"/>
    <x v="215"/>
    <x v="8"/>
    <d v="2018-04-30T00:00:00"/>
    <d v="2016-01-05T00:00:00"/>
    <s v="First Class"/>
    <s v="NB-18655"/>
    <s v="Nona Balk"/>
    <s v="Corporate"/>
    <s v="United States"/>
    <s v="Dallas"/>
    <x v="5"/>
    <n v="75217"/>
    <x v="2"/>
    <s v="OFF-LA-10004345"/>
    <x v="1"/>
    <s v="Labels"/>
    <s v="Avery 493"/>
    <n v="15.712"/>
    <n v="4"/>
    <n v="0.2"/>
    <n v="5.6955999999999998"/>
  </r>
  <r>
    <n v="613"/>
    <x v="283"/>
    <x v="107"/>
    <x v="2"/>
    <d v="2016-11-30T00:00:00"/>
    <d v="2017-01-09T00:00:00"/>
    <s v="Second Class"/>
    <s v="GD-14590"/>
    <s v="Giulietta Dortch"/>
    <s v="Corporate"/>
    <s v="United States"/>
    <s v="Philadelphia"/>
    <x v="9"/>
    <n v="19143"/>
    <x v="3"/>
    <s v="OFF-PA-10001204"/>
    <x v="1"/>
    <s v="Paper"/>
    <s v="Xerox 1972"/>
    <n v="8.4480000000000004"/>
    <n v="2"/>
    <n v="0.2"/>
    <n v="2.64"/>
  </r>
  <r>
    <n v="614"/>
    <x v="283"/>
    <x v="107"/>
    <x v="2"/>
    <d v="2016-11-30T00:00:00"/>
    <d v="2017-01-09T00:00:00"/>
    <s v="Second Class"/>
    <s v="GD-14590"/>
    <s v="Giulietta Dortch"/>
    <s v="Corporate"/>
    <s v="United States"/>
    <s v="Philadelphia"/>
    <x v="9"/>
    <n v="19143"/>
    <x v="3"/>
    <s v="TEC-PH-10004667"/>
    <x v="2"/>
    <s v="Phones"/>
    <s v="Cisco 8x8 Inc. 6753i IP Business Phone System"/>
    <n v="728.94600000000003"/>
    <n v="9"/>
    <n v="0.4"/>
    <n v="-157.9383"/>
  </r>
  <r>
    <n v="615"/>
    <x v="284"/>
    <x v="216"/>
    <x v="11"/>
    <d v="2018-02-28T00:00:00"/>
    <d v="2018-05-11T00:00:00"/>
    <s v="Second Class"/>
    <s v="CK-12595"/>
    <s v="Clytie Kelty"/>
    <s v="Consumer"/>
    <s v="United States"/>
    <s v="Grove City"/>
    <x v="24"/>
    <n v="43123"/>
    <x v="3"/>
    <s v="TEC-PH-10000011"/>
    <x v="2"/>
    <s v="Phones"/>
    <s v="PureGear Roll-On Screen Protector"/>
    <n v="119.94"/>
    <n v="10"/>
    <n v="0.4"/>
    <n v="15.992000000000001"/>
  </r>
  <r>
    <n v="616"/>
    <x v="284"/>
    <x v="216"/>
    <x v="11"/>
    <d v="2018-02-28T00:00:00"/>
    <d v="2018-05-11T00:00:00"/>
    <s v="Second Class"/>
    <s v="CK-12595"/>
    <s v="Clytie Kelty"/>
    <s v="Consumer"/>
    <s v="United States"/>
    <s v="Grove City"/>
    <x v="24"/>
    <n v="43123"/>
    <x v="3"/>
    <s v="OFF-BI-10002949"/>
    <x v="1"/>
    <s v="Binders"/>
    <s v="Prestige Round Ring Binders"/>
    <n v="3.6480000000000001"/>
    <n v="2"/>
    <n v="0.7"/>
    <n v="-2.7968000000000002"/>
  </r>
  <r>
    <n v="617"/>
    <x v="285"/>
    <x v="128"/>
    <x v="10"/>
    <d v="2018-06-30T00:00:00"/>
    <d v="2018-11-08T00:00:00"/>
    <s v="Second Class"/>
    <s v="NG-18355"/>
    <s v="Nat Gilpin"/>
    <s v="Corporate"/>
    <s v="United States"/>
    <s v="New York City"/>
    <x v="15"/>
    <n v="10011"/>
    <x v="3"/>
    <s v="FUR-FU-10003849"/>
    <x v="0"/>
    <s v="Furnishings"/>
    <s v="DAX Metal Frame, Desktop, Stepped-Edge"/>
    <n v="40.479999999999997"/>
    <n v="2"/>
    <n v="0"/>
    <n v="15.7872"/>
  </r>
  <r>
    <n v="618"/>
    <x v="285"/>
    <x v="128"/>
    <x v="10"/>
    <d v="2018-06-30T00:00:00"/>
    <d v="2018-11-08T00:00:00"/>
    <s v="Second Class"/>
    <s v="NG-18355"/>
    <s v="Nat Gilpin"/>
    <s v="Corporate"/>
    <s v="United States"/>
    <s v="New York City"/>
    <x v="15"/>
    <n v="10011"/>
    <x v="3"/>
    <s v="FUR-FU-10000010"/>
    <x v="0"/>
    <s v="Furnishings"/>
    <s v="DAX Value U-Channel Document Frames, Easel Back"/>
    <n v="9.94"/>
    <n v="2"/>
    <n v="0"/>
    <n v="3.0813999999999999"/>
  </r>
  <r>
    <n v="619"/>
    <x v="285"/>
    <x v="128"/>
    <x v="10"/>
    <d v="2018-06-30T00:00:00"/>
    <d v="2018-11-08T00:00:00"/>
    <s v="Second Class"/>
    <s v="NG-18355"/>
    <s v="Nat Gilpin"/>
    <s v="Corporate"/>
    <s v="United States"/>
    <s v="New York City"/>
    <x v="15"/>
    <n v="10011"/>
    <x v="3"/>
    <s v="OFF-BI-10002824"/>
    <x v="1"/>
    <s v="Binders"/>
    <s v="Recycled Easel Ring Binders"/>
    <n v="107.42400000000001"/>
    <n v="9"/>
    <n v="0.2"/>
    <n v="33.57"/>
  </r>
  <r>
    <n v="620"/>
    <x v="285"/>
    <x v="128"/>
    <x v="10"/>
    <d v="2018-06-30T00:00:00"/>
    <d v="2018-11-08T00:00:00"/>
    <s v="Second Class"/>
    <s v="NG-18355"/>
    <s v="Nat Gilpin"/>
    <s v="Corporate"/>
    <s v="United States"/>
    <s v="New York City"/>
    <x v="15"/>
    <n v="10011"/>
    <x v="3"/>
    <s v="TEC-PH-10002538"/>
    <x v="2"/>
    <s v="Phones"/>
    <s v="Grandstream GXP1160 VoIP phone"/>
    <n v="37.909999999999997"/>
    <n v="1"/>
    <n v="0"/>
    <n v="10.9939"/>
  </r>
  <r>
    <n v="621"/>
    <x v="285"/>
    <x v="128"/>
    <x v="10"/>
    <d v="2018-06-30T00:00:00"/>
    <d v="2018-11-08T00:00:00"/>
    <s v="Second Class"/>
    <s v="NG-18355"/>
    <s v="Nat Gilpin"/>
    <s v="Corporate"/>
    <s v="United States"/>
    <s v="New York City"/>
    <x v="15"/>
    <n v="10011"/>
    <x v="3"/>
    <s v="FUR-FU-10000521"/>
    <x v="0"/>
    <s v="Furnishings"/>
    <s v="Seth Thomas 14&quot; Putty-Colored Wall Clock"/>
    <n v="88.02"/>
    <n v="3"/>
    <n v="0"/>
    <n v="27.286200000000001"/>
  </r>
  <r>
    <n v="622"/>
    <x v="286"/>
    <x v="58"/>
    <x v="11"/>
    <d v="2016-02-29T00:00:00"/>
    <d v="2016-07-12T00:00:00"/>
    <s v="Standard Class"/>
    <s v="CA-12265"/>
    <s v="Christina Anderson"/>
    <s v="Consumer"/>
    <s v="United States"/>
    <s v="Chicago"/>
    <x v="10"/>
    <n v="60610"/>
    <x v="2"/>
    <s v="OFF-BI-10002103"/>
    <x v="1"/>
    <s v="Binders"/>
    <s v="Cardinal Slant-D Ring Binder, Heavy Gauge Vinyl"/>
    <n v="8.69"/>
    <n v="5"/>
    <n v="0.8"/>
    <n v="-14.773"/>
  </r>
  <r>
    <n v="623"/>
    <x v="287"/>
    <x v="60"/>
    <x v="5"/>
    <d v="2017-05-31T00:00:00"/>
    <d v="2015-03-12T00:00:00"/>
    <s v="Standard Class"/>
    <s v="SF-20965"/>
    <s v="Sylvia Foulston"/>
    <s v="Corporate"/>
    <s v="United States"/>
    <s v="Dearborn"/>
    <x v="12"/>
    <n v="48126"/>
    <x v="2"/>
    <s v="FUR-CH-10004853"/>
    <x v="0"/>
    <s v="Chairs"/>
    <s v="Global Manager's Adjustable Task Chair, Storm"/>
    <n v="301.95999999999998"/>
    <n v="2"/>
    <n v="0"/>
    <n v="87.568399999999997"/>
  </r>
  <r>
    <n v="624"/>
    <x v="287"/>
    <x v="60"/>
    <x v="5"/>
    <d v="2017-05-31T00:00:00"/>
    <d v="2015-03-12T00:00:00"/>
    <s v="Standard Class"/>
    <s v="SF-20965"/>
    <s v="Sylvia Foulston"/>
    <s v="Corporate"/>
    <s v="United States"/>
    <s v="Dearborn"/>
    <x v="12"/>
    <n v="48126"/>
    <x v="2"/>
    <s v="OFF-AP-10000179"/>
    <x v="1"/>
    <s v="Appliances"/>
    <s v="Honeywell Enviracaire Portable HEPA Air Cleaner for up to 10 x 16 Room"/>
    <n v="555.21"/>
    <n v="5"/>
    <n v="0.1"/>
    <n v="178.90100000000001"/>
  </r>
  <r>
    <n v="625"/>
    <x v="287"/>
    <x v="60"/>
    <x v="5"/>
    <d v="2017-05-31T00:00:00"/>
    <d v="2015-03-12T00:00:00"/>
    <s v="Standard Class"/>
    <s v="SF-20965"/>
    <s v="Sylvia Foulston"/>
    <s v="Corporate"/>
    <s v="United States"/>
    <s v="Dearborn"/>
    <x v="12"/>
    <n v="48126"/>
    <x v="2"/>
    <s v="OFF-ST-10001272"/>
    <x v="1"/>
    <s v="Storage"/>
    <s v="Mini 13-1/2 Capacity Data Binder Rack, Pearl"/>
    <n v="523.48"/>
    <n v="4"/>
    <n v="0"/>
    <n v="130.87"/>
  </r>
  <r>
    <n v="626"/>
    <x v="287"/>
    <x v="60"/>
    <x v="5"/>
    <d v="2017-05-31T00:00:00"/>
    <d v="2015-03-12T00:00:00"/>
    <s v="Standard Class"/>
    <s v="SF-20965"/>
    <s v="Sylvia Foulston"/>
    <s v="Corporate"/>
    <s v="United States"/>
    <s v="Dearborn"/>
    <x v="12"/>
    <n v="48126"/>
    <x v="2"/>
    <s v="OFF-AR-10004042"/>
    <x v="1"/>
    <s v="Art"/>
    <s v="BOSTON Model 1800 Electric Pencil Sharpeners, Putty/Woodgrain"/>
    <n v="161.82"/>
    <n v="9"/>
    <n v="0"/>
    <n v="46.927799999999998"/>
  </r>
  <r>
    <n v="627"/>
    <x v="288"/>
    <x v="164"/>
    <x v="4"/>
    <d v="2018-03-31T00:00:00"/>
    <d v="2018-07-09T00:00:00"/>
    <s v="Standard Class"/>
    <s v="MO-17800"/>
    <s v="Meg O'Connel"/>
    <s v="Home Office"/>
    <s v="United States"/>
    <s v="New York City"/>
    <x v="15"/>
    <n v="10009"/>
    <x v="3"/>
    <s v="FUR-FU-10000221"/>
    <x v="0"/>
    <s v="Furnishings"/>
    <s v="Master Caster Door Stop, Brown"/>
    <n v="35.56"/>
    <n v="7"/>
    <n v="0"/>
    <n v="12.090400000000001"/>
  </r>
  <r>
    <n v="628"/>
    <x v="289"/>
    <x v="217"/>
    <x v="9"/>
    <d v="2018-07-31T00:00:00"/>
    <d v="2018-11-05T00:00:00"/>
    <s v="Standard Class"/>
    <s v="AT-10735"/>
    <s v="Annie Thurman"/>
    <s v="Consumer"/>
    <s v="United States"/>
    <s v="Seattle"/>
    <x v="4"/>
    <n v="98115"/>
    <x v="1"/>
    <s v="OFF-AP-10001563"/>
    <x v="1"/>
    <s v="Appliances"/>
    <s v="Belkin Premiere Surge Master II 8-outlet surge protector"/>
    <n v="97.16"/>
    <n v="2"/>
    <n v="0"/>
    <n v="28.176400000000001"/>
  </r>
  <r>
    <n v="629"/>
    <x v="290"/>
    <x v="93"/>
    <x v="5"/>
    <d v="2018-05-31T00:00:00"/>
    <d v="2018-09-12T00:00:00"/>
    <s v="Standard Class"/>
    <s v="LC-17140"/>
    <s v="Logan Currie"/>
    <s v="Consumer"/>
    <s v="United States"/>
    <s v="San Francisco"/>
    <x v="1"/>
    <n v="94122"/>
    <x v="1"/>
    <s v="OFF-BI-10000605"/>
    <x v="1"/>
    <s v="Binders"/>
    <s v="Acco Pressboard Covers with Storage Hooks, 9 1/2&quot; x 11&quot;, Executive Red"/>
    <n v="15.24"/>
    <n v="5"/>
    <n v="0.2"/>
    <n v="5.1435000000000004"/>
  </r>
  <r>
    <n v="630"/>
    <x v="290"/>
    <x v="93"/>
    <x v="5"/>
    <d v="2018-05-31T00:00:00"/>
    <d v="2018-09-12T00:00:00"/>
    <s v="Standard Class"/>
    <s v="LC-17140"/>
    <s v="Logan Currie"/>
    <s v="Consumer"/>
    <s v="United States"/>
    <s v="San Francisco"/>
    <x v="1"/>
    <n v="94122"/>
    <x v="1"/>
    <s v="OFF-PA-10002615"/>
    <x v="1"/>
    <s v="Paper"/>
    <s v="Ampad Gold Fibre Wirebound Steno Books, 6&quot; x 9&quot;, Gregg Ruled"/>
    <n v="13.23"/>
    <n v="3"/>
    <n v="0"/>
    <n v="6.0857999999999999"/>
  </r>
  <r>
    <n v="631"/>
    <x v="291"/>
    <x v="25"/>
    <x v="2"/>
    <d v="2016-11-30T00:00:00"/>
    <d v="2017-01-12T00:00:00"/>
    <s v="Second Class"/>
    <s v="FM-14380"/>
    <s v="Fred McMath"/>
    <s v="Consumer"/>
    <s v="United States"/>
    <s v="Aurora"/>
    <x v="22"/>
    <n v="80013"/>
    <x v="1"/>
    <s v="OFF-ST-10001963"/>
    <x v="1"/>
    <s v="Storage"/>
    <s v="Tennsco Regal Shelving Units"/>
    <n v="243.38399999999999"/>
    <n v="3"/>
    <n v="0.2"/>
    <n v="-51.719099999999997"/>
  </r>
  <r>
    <n v="632"/>
    <x v="291"/>
    <x v="25"/>
    <x v="2"/>
    <d v="2016-11-30T00:00:00"/>
    <d v="2017-01-12T00:00:00"/>
    <s v="Second Class"/>
    <s v="FM-14380"/>
    <s v="Fred McMath"/>
    <s v="Consumer"/>
    <s v="United States"/>
    <s v="Aurora"/>
    <x v="22"/>
    <n v="80013"/>
    <x v="1"/>
    <s v="TEC-AC-10001267"/>
    <x v="2"/>
    <s v="Accessories"/>
    <s v="Imation 32GB Pocket Pro USB 3.0 Flash Drive - 32 GB - Black - 1 P ..."/>
    <n v="119.8"/>
    <n v="5"/>
    <n v="0.2"/>
    <n v="29.95"/>
  </r>
  <r>
    <n v="633"/>
    <x v="291"/>
    <x v="25"/>
    <x v="2"/>
    <d v="2016-11-30T00:00:00"/>
    <d v="2017-01-12T00:00:00"/>
    <s v="Second Class"/>
    <s v="FM-14380"/>
    <s v="Fred McMath"/>
    <s v="Consumer"/>
    <s v="United States"/>
    <s v="Aurora"/>
    <x v="22"/>
    <n v="80013"/>
    <x v="1"/>
    <s v="TEC-PH-10002103"/>
    <x v="2"/>
    <s v="Phones"/>
    <s v="Jabra SPEAK 410"/>
    <n v="300.76799999999997"/>
    <n v="4"/>
    <n v="0.2"/>
    <n v="30.076799999999999"/>
  </r>
  <r>
    <n v="634"/>
    <x v="292"/>
    <x v="218"/>
    <x v="1"/>
    <d v="2018-12-31T00:00:00"/>
    <d v="2019-02-09T00:00:00"/>
    <s v="Second Class"/>
    <s v="BD-11605"/>
    <s v="Brian Dahlen"/>
    <s v="Consumer"/>
    <s v="United States"/>
    <s v="Miami"/>
    <x v="2"/>
    <n v="33180"/>
    <x v="0"/>
    <s v="TEC-AC-10002857"/>
    <x v="2"/>
    <s v="Accessories"/>
    <s v="Verbatim 25 GB 6x Blu-ray Single Layer Recordable Disc, 1/Pack"/>
    <n v="17.88"/>
    <n v="3"/>
    <n v="0.2"/>
    <n v="2.4584999999999999"/>
  </r>
  <r>
    <n v="635"/>
    <x v="292"/>
    <x v="218"/>
    <x v="1"/>
    <d v="2018-12-31T00:00:00"/>
    <d v="2019-02-09T00:00:00"/>
    <s v="Second Class"/>
    <s v="BD-11605"/>
    <s v="Brian Dahlen"/>
    <s v="Consumer"/>
    <s v="United States"/>
    <s v="Miami"/>
    <x v="2"/>
    <n v="33180"/>
    <x v="0"/>
    <s v="OFF-LA-10003930"/>
    <x v="1"/>
    <s v="Labels"/>
    <s v="Dot Matrix Printer Tape Reel Labels, White, 5000/Box"/>
    <n v="235.94399999999999"/>
    <n v="3"/>
    <n v="0.2"/>
    <n v="85.529700000000005"/>
  </r>
  <r>
    <n v="636"/>
    <x v="293"/>
    <x v="219"/>
    <x v="8"/>
    <d v="2015-04-30T00:00:00"/>
    <d v="2015-09-10T00:00:00"/>
    <s v="Second Class"/>
    <s v="DJ-13420"/>
    <s v="Denny Joy"/>
    <s v="Corporate"/>
    <s v="United States"/>
    <s v="Warner Robins"/>
    <x v="32"/>
    <n v="31088"/>
    <x v="0"/>
    <s v="FUR-CH-10001482"/>
    <x v="0"/>
    <s v="Chairs"/>
    <s v="Office Star - Mesh Screen back chair with Vinyl seat"/>
    <n v="392.94"/>
    <n v="3"/>
    <n v="0"/>
    <n v="43.223399999999998"/>
  </r>
  <r>
    <n v="637"/>
    <x v="294"/>
    <x v="220"/>
    <x v="4"/>
    <d v="2017-03-31T00:00:00"/>
    <d v="2017-09-08T00:00:00"/>
    <s v="Standard Class"/>
    <s v="ME-17725"/>
    <s v="Max Engle"/>
    <s v="Consumer"/>
    <s v="United States"/>
    <s v="Aurora"/>
    <x v="22"/>
    <n v="80013"/>
    <x v="1"/>
    <s v="OFF-BI-10001989"/>
    <x v="1"/>
    <s v="Binders"/>
    <s v="Premium Transparent Presentation Covers by GBC"/>
    <n v="18.882000000000001"/>
    <n v="3"/>
    <n v="0.7"/>
    <n v="-13.8468"/>
  </r>
  <r>
    <n v="638"/>
    <x v="294"/>
    <x v="220"/>
    <x v="4"/>
    <d v="2017-03-31T00:00:00"/>
    <d v="2017-09-08T00:00:00"/>
    <s v="Standard Class"/>
    <s v="ME-17725"/>
    <s v="Max Engle"/>
    <s v="Consumer"/>
    <s v="United States"/>
    <s v="Aurora"/>
    <x v="22"/>
    <n v="80013"/>
    <x v="1"/>
    <s v="OFF-AP-10003287"/>
    <x v="1"/>
    <s v="Appliances"/>
    <s v="Tripp Lite TLP810NET Broadband Surge for Modem/Fax"/>
    <n v="122.328"/>
    <n v="3"/>
    <n v="0.2"/>
    <n v="12.232799999999999"/>
  </r>
  <r>
    <n v="639"/>
    <x v="295"/>
    <x v="221"/>
    <x v="0"/>
    <d v="2017-08-31T00:00:00"/>
    <d v="2018-01-05T00:00:00"/>
    <s v="Standard Class"/>
    <s v="RB-19465"/>
    <s v="Rick Bensley"/>
    <s v="Home Office"/>
    <s v="United States"/>
    <s v="Vallejo"/>
    <x v="1"/>
    <n v="94591"/>
    <x v="1"/>
    <s v="FUR-FU-10000576"/>
    <x v="0"/>
    <s v="Furnishings"/>
    <s v="Luxo Professional Fluorescent Magnifier Lamp with Clamp-Mount Base"/>
    <n v="1049.2"/>
    <n v="5"/>
    <n v="0"/>
    <n v="272.79199999999997"/>
  </r>
  <r>
    <n v="640"/>
    <x v="295"/>
    <x v="221"/>
    <x v="0"/>
    <d v="2017-08-31T00:00:00"/>
    <d v="2018-01-05T00:00:00"/>
    <s v="Standard Class"/>
    <s v="RB-19465"/>
    <s v="Rick Bensley"/>
    <s v="Home Office"/>
    <s v="United States"/>
    <s v="Vallejo"/>
    <x v="1"/>
    <n v="94591"/>
    <x v="1"/>
    <s v="OFF-BI-10004728"/>
    <x v="1"/>
    <s v="Binders"/>
    <s v="Wilson Jones Turn Tabs Binder Tool for Ring Binders"/>
    <n v="15.423999999999999"/>
    <n v="4"/>
    <n v="0.2"/>
    <n v="5.0128000000000004"/>
  </r>
  <r>
    <n v="641"/>
    <x v="296"/>
    <x v="117"/>
    <x v="10"/>
    <d v="2017-06-30T00:00:00"/>
    <d v="2017-10-12T00:00:00"/>
    <s v="Standard Class"/>
    <s v="JD-16150"/>
    <s v="Justin Deggeller"/>
    <s v="Corporate"/>
    <s v="United States"/>
    <s v="Minneapolis"/>
    <x v="11"/>
    <n v="55407"/>
    <x v="2"/>
    <s v="FUR-FU-10000732"/>
    <x v="0"/>
    <s v="Furnishings"/>
    <s v="Eldon 200 Class Desk Accessories"/>
    <n v="18.84"/>
    <n v="3"/>
    <n v="0"/>
    <n v="6.0288000000000004"/>
  </r>
  <r>
    <n v="642"/>
    <x v="297"/>
    <x v="222"/>
    <x v="10"/>
    <d v="2019-06-30T00:00:00"/>
    <d v="2017-03-08T00:00:00"/>
    <s v="Second Class"/>
    <s v="JL-15835"/>
    <s v="John Lee"/>
    <s v="Consumer"/>
    <s v="United States"/>
    <s v="Mission Viejo"/>
    <x v="1"/>
    <n v="92691"/>
    <x v="1"/>
    <s v="OFF-ST-10000585"/>
    <x v="1"/>
    <s v="Storage"/>
    <s v="Economy Rollaway Files"/>
    <n v="330.4"/>
    <n v="2"/>
    <n v="0"/>
    <n v="85.903999999999996"/>
  </r>
  <r>
    <n v="643"/>
    <x v="297"/>
    <x v="222"/>
    <x v="10"/>
    <d v="2019-06-30T00:00:00"/>
    <d v="2017-03-08T00:00:00"/>
    <s v="Second Class"/>
    <s v="JL-15835"/>
    <s v="John Lee"/>
    <s v="Consumer"/>
    <s v="United States"/>
    <s v="Mission Viejo"/>
    <x v="1"/>
    <n v="92691"/>
    <x v="1"/>
    <s v="OFF-LA-10002787"/>
    <x v="1"/>
    <s v="Labels"/>
    <s v="Avery 480"/>
    <n v="26.25"/>
    <n v="7"/>
    <n v="0"/>
    <n v="12.6"/>
  </r>
  <r>
    <n v="644"/>
    <x v="298"/>
    <x v="179"/>
    <x v="6"/>
    <d v="2017-10-31T00:00:00"/>
    <d v="2018-03-06T00:00:00"/>
    <s v="Standard Class"/>
    <s v="SC-20305"/>
    <s v="Sean Christensen"/>
    <s v="Consumer"/>
    <s v="United States"/>
    <s v="Rochester Hills"/>
    <x v="12"/>
    <n v="48307"/>
    <x v="2"/>
    <s v="TEC-AC-10003832"/>
    <x v="2"/>
    <s v="Accessories"/>
    <s v="Imation 16GB Mini TravelDrive USB 2.0 Flash Drive"/>
    <n v="132.52000000000001"/>
    <n v="4"/>
    <n v="0"/>
    <n v="54.333199999999998"/>
  </r>
  <r>
    <n v="645"/>
    <x v="299"/>
    <x v="223"/>
    <x v="3"/>
    <d v="2018-09-30T00:00:00"/>
    <d v="2019-01-07T00:00:00"/>
    <s v="Standard Class"/>
    <s v="TW-21025"/>
    <s v="Tamara Willingham"/>
    <s v="Home Office"/>
    <s v="United States"/>
    <s v="Plainfield"/>
    <x v="30"/>
    <n v="7060"/>
    <x v="3"/>
    <s v="OFF-PA-10001934"/>
    <x v="1"/>
    <s v="Paper"/>
    <s v="Xerox 1993"/>
    <n v="6.48"/>
    <n v="1"/>
    <n v="0"/>
    <n v="3.1751999999999998"/>
  </r>
  <r>
    <n v="646"/>
    <x v="300"/>
    <x v="224"/>
    <x v="10"/>
    <d v="2019-06-30T00:00:00"/>
    <d v="2018-05-01T00:00:00"/>
    <s v="Standard Class"/>
    <s v="CC-12430"/>
    <s v="Chuck Clark"/>
    <s v="Home Office"/>
    <s v="United States"/>
    <s v="Columbus"/>
    <x v="14"/>
    <n v="47201"/>
    <x v="2"/>
    <s v="OFF-AP-10002457"/>
    <x v="1"/>
    <s v="Appliances"/>
    <s v="Eureka The Boss Plus 12-Amp Hard Box Upright Vacuum, Red"/>
    <n v="209.3"/>
    <n v="2"/>
    <n v="0"/>
    <n v="56.511000000000003"/>
  </r>
  <r>
    <n v="647"/>
    <x v="301"/>
    <x v="167"/>
    <x v="7"/>
    <d v="2016-01-31T00:00:00"/>
    <d v="2016-08-04T00:00:00"/>
    <s v="Standard Class"/>
    <s v="BB-10990"/>
    <s v="Barry Blumstein"/>
    <s v="Corporate"/>
    <s v="United States"/>
    <s v="Sierra Vista"/>
    <x v="16"/>
    <n v="85635"/>
    <x v="1"/>
    <s v="OFF-FA-10003112"/>
    <x v="1"/>
    <s v="Fasteners"/>
    <s v="Staples"/>
    <n v="31.56"/>
    <n v="5"/>
    <n v="0.2"/>
    <n v="9.8625000000000007"/>
  </r>
  <r>
    <n v="648"/>
    <x v="301"/>
    <x v="167"/>
    <x v="7"/>
    <d v="2016-01-31T00:00:00"/>
    <d v="2016-08-04T00:00:00"/>
    <s v="Standard Class"/>
    <s v="BB-10990"/>
    <s v="Barry Blumstein"/>
    <s v="Corporate"/>
    <s v="United States"/>
    <s v="Sierra Vista"/>
    <x v="16"/>
    <n v="85635"/>
    <x v="1"/>
    <s v="OFF-AP-10002350"/>
    <x v="1"/>
    <s v="Appliances"/>
    <s v="Belkin F9H710-06 7 Outlet SurgeMaster Surge Protector"/>
    <n v="30.143999999999998"/>
    <n v="2"/>
    <n v="0.2"/>
    <n v="3.0144000000000002"/>
  </r>
  <r>
    <n v="649"/>
    <x v="302"/>
    <x v="25"/>
    <x v="2"/>
    <d v="2016-11-30T00:00:00"/>
    <d v="2017-04-12T00:00:00"/>
    <s v="Second Class"/>
    <s v="AR-10825"/>
    <s v="Anthony Rawles"/>
    <s v="Corporate"/>
    <s v="United States"/>
    <s v="Vancouver"/>
    <x v="4"/>
    <n v="98661"/>
    <x v="1"/>
    <s v="FUR-FU-10001935"/>
    <x v="0"/>
    <s v="Furnishings"/>
    <s v="3M Hangers With Command Adhesive"/>
    <n v="14.8"/>
    <n v="4"/>
    <n v="0"/>
    <n v="6.0679999999999996"/>
  </r>
  <r>
    <n v="650"/>
    <x v="302"/>
    <x v="25"/>
    <x v="2"/>
    <d v="2016-11-30T00:00:00"/>
    <d v="2017-04-12T00:00:00"/>
    <s v="Second Class"/>
    <s v="AR-10825"/>
    <s v="Anthony Rawles"/>
    <s v="Corporate"/>
    <s v="United States"/>
    <s v="Vancouver"/>
    <x v="4"/>
    <n v="98661"/>
    <x v="1"/>
    <s v="TEC-PH-10003273"/>
    <x v="2"/>
    <s v="Phones"/>
    <s v="AT&amp;T TR1909W"/>
    <n v="302.37599999999998"/>
    <n v="3"/>
    <n v="0.2"/>
    <n v="22.6782"/>
  </r>
  <r>
    <n v="651"/>
    <x v="302"/>
    <x v="25"/>
    <x v="2"/>
    <d v="2016-11-30T00:00:00"/>
    <d v="2017-04-12T00:00:00"/>
    <s v="Second Class"/>
    <s v="AR-10825"/>
    <s v="Anthony Rawles"/>
    <s v="Corporate"/>
    <s v="United States"/>
    <s v="Vancouver"/>
    <x v="4"/>
    <n v="98661"/>
    <x v="1"/>
    <s v="TEC-AC-10001142"/>
    <x v="2"/>
    <s v="Accessories"/>
    <s v="First Data FD10 PIN Pad"/>
    <n v="316"/>
    <n v="4"/>
    <n v="0"/>
    <n v="31.6"/>
  </r>
  <r>
    <n v="652"/>
    <x v="303"/>
    <x v="225"/>
    <x v="2"/>
    <d v="2017-11-30T00:00:00"/>
    <d v="2018-05-10T00:00:00"/>
    <s v="Standard Class"/>
    <s v="SR-20740"/>
    <s v="Steven Roelle"/>
    <s v="Home Office"/>
    <s v="United States"/>
    <s v="New York City"/>
    <x v="15"/>
    <n v="10024"/>
    <x v="3"/>
    <s v="OFF-PA-10000482"/>
    <x v="1"/>
    <s v="Paper"/>
    <s v="Snap-A-Way Black Print Carbonless Ruled Speed Letter, Triplicate"/>
    <n v="379.4"/>
    <n v="10"/>
    <n v="0"/>
    <n v="178.31800000000001"/>
  </r>
  <r>
    <n v="653"/>
    <x v="304"/>
    <x v="226"/>
    <x v="9"/>
    <d v="2018-07-31T00:00:00"/>
    <d v="2018-11-06T00:00:00"/>
    <s v="Standard Class"/>
    <s v="AR-10405"/>
    <s v="Allen Rosenblatt"/>
    <s v="Corporate"/>
    <s v="United States"/>
    <s v="New York City"/>
    <x v="15"/>
    <n v="10035"/>
    <x v="3"/>
    <s v="OFF-PA-10003892"/>
    <x v="1"/>
    <s v="Paper"/>
    <s v="Xerox 1943"/>
    <n v="97.82"/>
    <n v="2"/>
    <n v="0"/>
    <n v="45.9754"/>
  </r>
  <r>
    <n v="654"/>
    <x v="304"/>
    <x v="226"/>
    <x v="9"/>
    <d v="2018-07-31T00:00:00"/>
    <d v="2018-11-06T00:00:00"/>
    <s v="Standard Class"/>
    <s v="AR-10405"/>
    <s v="Allen Rosenblatt"/>
    <s v="Corporate"/>
    <s v="United States"/>
    <s v="New York City"/>
    <x v="15"/>
    <n v="10035"/>
    <x v="3"/>
    <s v="TEC-AC-10001101"/>
    <x v="2"/>
    <s v="Accessories"/>
    <s v="Sony 16GB Class 10 Micro SDHC R40 Memory Card"/>
    <n v="103.12"/>
    <n v="8"/>
    <n v="0"/>
    <n v="10.311999999999999"/>
  </r>
  <r>
    <n v="655"/>
    <x v="305"/>
    <x v="227"/>
    <x v="6"/>
    <d v="2017-10-31T00:00:00"/>
    <d v="2018-04-08T00:00:00"/>
    <s v="Standard Class"/>
    <s v="CR-12730"/>
    <s v="Craig Reiter"/>
    <s v="Consumer"/>
    <s v="United States"/>
    <s v="Columbus"/>
    <x v="24"/>
    <n v="43229"/>
    <x v="3"/>
    <s v="OFF-AP-10002439"/>
    <x v="1"/>
    <s v="Appliances"/>
    <s v="Tripp Lite Isotel 8 Ultra 8 Outlet Metal Surge"/>
    <n v="113.55200000000001"/>
    <n v="2"/>
    <n v="0.2"/>
    <n v="8.5164000000000009"/>
  </r>
  <r>
    <n v="656"/>
    <x v="305"/>
    <x v="227"/>
    <x v="6"/>
    <d v="2017-10-31T00:00:00"/>
    <d v="2018-04-08T00:00:00"/>
    <s v="Standard Class"/>
    <s v="CR-12730"/>
    <s v="Craig Reiter"/>
    <s v="Consumer"/>
    <s v="United States"/>
    <s v="Columbus"/>
    <x v="24"/>
    <n v="43229"/>
    <x v="3"/>
    <s v="OFF-BI-10002827"/>
    <x v="1"/>
    <s v="Binders"/>
    <s v="Avery Durable Poly Binders"/>
    <n v="3.3180000000000001"/>
    <n v="2"/>
    <n v="0.7"/>
    <n v="-2.6543999999999999"/>
  </r>
  <r>
    <n v="657"/>
    <x v="305"/>
    <x v="227"/>
    <x v="6"/>
    <d v="2017-10-31T00:00:00"/>
    <d v="2018-04-08T00:00:00"/>
    <s v="Standard Class"/>
    <s v="CR-12730"/>
    <s v="Craig Reiter"/>
    <s v="Consumer"/>
    <s v="United States"/>
    <s v="Columbus"/>
    <x v="24"/>
    <n v="43229"/>
    <x v="3"/>
    <s v="OFF-EN-10002230"/>
    <x v="1"/>
    <s v="Envelopes"/>
    <s v="Airmail Envelopes"/>
    <n v="134.28800000000001"/>
    <n v="2"/>
    <n v="0.2"/>
    <n v="45.322200000000002"/>
  </r>
  <r>
    <n v="658"/>
    <x v="306"/>
    <x v="195"/>
    <x v="9"/>
    <d v="2017-07-31T00:00:00"/>
    <d v="2017-07-09T00:00:00"/>
    <s v="Same Day"/>
    <s v="EH-14125"/>
    <s v="Eugene Hildebrand"/>
    <s v="Home Office"/>
    <s v="United States"/>
    <s v="Aurora"/>
    <x v="10"/>
    <n v="60505"/>
    <x v="2"/>
    <s v="FUR-CH-10001215"/>
    <x v="0"/>
    <s v="Chairs"/>
    <s v="Global Troy Executive Leather Low-Back Tilter"/>
    <n v="701.37199999999996"/>
    <n v="2"/>
    <n v="0.3"/>
    <n v="-50.097999999999999"/>
  </r>
  <r>
    <n v="659"/>
    <x v="306"/>
    <x v="195"/>
    <x v="9"/>
    <d v="2017-07-31T00:00:00"/>
    <d v="2017-07-09T00:00:00"/>
    <s v="Same Day"/>
    <s v="EH-14125"/>
    <s v="Eugene Hildebrand"/>
    <s v="Home Office"/>
    <s v="United States"/>
    <s v="Aurora"/>
    <x v="10"/>
    <n v="60505"/>
    <x v="2"/>
    <s v="OFF-BI-10004654"/>
    <x v="1"/>
    <s v="Binders"/>
    <s v="Avery Binding System Hidden Tab Executive Style Index Sets"/>
    <n v="2.3079999999999998"/>
    <n v="2"/>
    <n v="0.8"/>
    <n v="-3.4620000000000002"/>
  </r>
  <r>
    <n v="660"/>
    <x v="307"/>
    <x v="228"/>
    <x v="1"/>
    <d v="2016-12-31T00:00:00"/>
    <d v="2017-04-08T00:00:00"/>
    <s v="Standard Class"/>
    <s v="CB-12025"/>
    <s v="Cassandra Brandow"/>
    <s v="Consumer"/>
    <s v="United States"/>
    <s v="Arlington"/>
    <x v="5"/>
    <n v="76017"/>
    <x v="2"/>
    <s v="OFF-ST-10001490"/>
    <x v="1"/>
    <s v="Storage"/>
    <s v="Hot File 7-Pocket, Floor Stand"/>
    <n v="999.43200000000002"/>
    <n v="7"/>
    <n v="0.2"/>
    <n v="124.929"/>
  </r>
  <r>
    <n v="661"/>
    <x v="307"/>
    <x v="228"/>
    <x v="1"/>
    <d v="2016-12-31T00:00:00"/>
    <d v="2017-04-08T00:00:00"/>
    <s v="Standard Class"/>
    <s v="CB-12025"/>
    <s v="Cassandra Brandow"/>
    <s v="Consumer"/>
    <s v="United States"/>
    <s v="Arlington"/>
    <x v="5"/>
    <n v="76017"/>
    <x v="2"/>
    <s v="OFF-ST-10001511"/>
    <x v="1"/>
    <s v="Storage"/>
    <s v="Space Solutions Commercial Steel Shelving"/>
    <n v="724.08"/>
    <n v="14"/>
    <n v="0.2"/>
    <n v="-135.76499999999999"/>
  </r>
  <r>
    <n v="662"/>
    <x v="307"/>
    <x v="228"/>
    <x v="1"/>
    <d v="2016-12-31T00:00:00"/>
    <d v="2017-04-08T00:00:00"/>
    <s v="Standard Class"/>
    <s v="CB-12025"/>
    <s v="Cassandra Brandow"/>
    <s v="Consumer"/>
    <s v="United States"/>
    <s v="Arlington"/>
    <x v="5"/>
    <n v="76017"/>
    <x v="2"/>
    <s v="FUR-TA-10001768"/>
    <x v="0"/>
    <s v="Tables"/>
    <s v="Hon Racetrack Conference Tables"/>
    <n v="918.78499999999997"/>
    <n v="5"/>
    <n v="0.3"/>
    <n v="-118.12949999999999"/>
  </r>
  <r>
    <n v="663"/>
    <x v="307"/>
    <x v="228"/>
    <x v="1"/>
    <d v="2016-12-31T00:00:00"/>
    <d v="2017-04-08T00:00:00"/>
    <s v="Standard Class"/>
    <s v="CB-12025"/>
    <s v="Cassandra Brandow"/>
    <s v="Consumer"/>
    <s v="United States"/>
    <s v="Arlington"/>
    <x v="5"/>
    <n v="76017"/>
    <x v="2"/>
    <s v="OFF-BI-10003981"/>
    <x v="1"/>
    <s v="Binders"/>
    <s v="Avery Durable Plastic 1&quot; Binders"/>
    <n v="2.7240000000000002"/>
    <n v="3"/>
    <n v="0.8"/>
    <n v="-4.2222"/>
  </r>
  <r>
    <n v="664"/>
    <x v="308"/>
    <x v="229"/>
    <x v="11"/>
    <d v="2018-02-28T00:00:00"/>
    <d v="2018-06-03T00:00:00"/>
    <s v="Standard Class"/>
    <s v="SP-20545"/>
    <s v="Sibella Parks"/>
    <s v="Corporate"/>
    <s v="United States"/>
    <s v="New York City"/>
    <x v="15"/>
    <n v="10011"/>
    <x v="3"/>
    <s v="OFF-ST-10001522"/>
    <x v="1"/>
    <s v="Storage"/>
    <s v="Gould Plastics 18-Pocket Panel Bin, 34w x 5-1/4d x 20-1/2h"/>
    <n v="459.95"/>
    <n v="5"/>
    <n v="0"/>
    <n v="18.398"/>
  </r>
  <r>
    <n v="665"/>
    <x v="309"/>
    <x v="230"/>
    <x v="8"/>
    <d v="2016-04-30T00:00:00"/>
    <d v="2016-04-11T00:00:00"/>
    <s v="Same Day"/>
    <s v="RC-19825"/>
    <s v="Roy Collins"/>
    <s v="Consumer"/>
    <s v="United States"/>
    <s v="Louisville"/>
    <x v="0"/>
    <n v="40214"/>
    <x v="0"/>
    <s v="OFF-FA-10000621"/>
    <x v="1"/>
    <s v="Fasteners"/>
    <s v="OIC Colored Binder Clips, Assorted Sizes"/>
    <n v="10.74"/>
    <n v="3"/>
    <n v="0"/>
    <n v="5.2625999999999999"/>
  </r>
  <r>
    <n v="666"/>
    <x v="310"/>
    <x v="23"/>
    <x v="0"/>
    <d v="2017-08-31T00:00:00"/>
    <d v="2017-10-06T00:00:00"/>
    <s v="Second Class"/>
    <s v="TH-21235"/>
    <s v="Tiffany House"/>
    <s v="Corporate"/>
    <s v="United States"/>
    <s v="Dallas"/>
    <x v="5"/>
    <n v="75081"/>
    <x v="2"/>
    <s v="OFF-SU-10004231"/>
    <x v="1"/>
    <s v="Supplies"/>
    <s v="Acme Tagit Stainless Steel Antibacterial Scissors"/>
    <n v="23.76"/>
    <n v="3"/>
    <n v="0.2"/>
    <n v="2.0790000000000002"/>
  </r>
  <r>
    <n v="667"/>
    <x v="310"/>
    <x v="23"/>
    <x v="0"/>
    <d v="2017-08-31T00:00:00"/>
    <d v="2017-10-06T00:00:00"/>
    <s v="Second Class"/>
    <s v="TH-21235"/>
    <s v="Tiffany House"/>
    <s v="Corporate"/>
    <s v="United States"/>
    <s v="Dallas"/>
    <x v="5"/>
    <n v="75081"/>
    <x v="2"/>
    <s v="OFF-PA-10000474"/>
    <x v="1"/>
    <s v="Paper"/>
    <s v="Easy-staple paper"/>
    <n v="85.055999999999997"/>
    <n v="3"/>
    <n v="0.2"/>
    <n v="28.706399999999999"/>
  </r>
  <r>
    <n v="668"/>
    <x v="310"/>
    <x v="23"/>
    <x v="0"/>
    <d v="2017-08-31T00:00:00"/>
    <d v="2017-10-06T00:00:00"/>
    <s v="Second Class"/>
    <s v="TH-21235"/>
    <s v="Tiffany House"/>
    <s v="Corporate"/>
    <s v="United States"/>
    <s v="Dallas"/>
    <x v="5"/>
    <n v="75081"/>
    <x v="2"/>
    <s v="TEC-PH-10004042"/>
    <x v="2"/>
    <s v="Phones"/>
    <s v="ClearOne Communications CHAT 70 OC Speaker Phone"/>
    <n v="381.57600000000002"/>
    <n v="3"/>
    <n v="0.2"/>
    <n v="28.618200000000002"/>
  </r>
  <r>
    <n v="669"/>
    <x v="311"/>
    <x v="154"/>
    <x v="1"/>
    <d v="2015-12-31T00:00:00"/>
    <d v="2016-02-12T00:00:00"/>
    <s v="First Class"/>
    <s v="RP-19390"/>
    <s v="Resi Pölking"/>
    <s v="Consumer"/>
    <s v="United States"/>
    <s v="Cleveland"/>
    <x v="24"/>
    <n v="44105"/>
    <x v="3"/>
    <s v="FUR-FU-10003096"/>
    <x v="0"/>
    <s v="Furnishings"/>
    <s v="Master Giant Foot Doorstop, Safety Yellow"/>
    <n v="30.36"/>
    <n v="5"/>
    <n v="0.2"/>
    <n v="8.7285000000000004"/>
  </r>
  <r>
    <n v="670"/>
    <x v="312"/>
    <x v="231"/>
    <x v="3"/>
    <d v="2017-09-30T00:00:00"/>
    <d v="2018-01-06T00:00:00"/>
    <s v="Standard Class"/>
    <s v="MO-17800"/>
    <s v="Meg O'Connel"/>
    <s v="Home Office"/>
    <s v="United States"/>
    <s v="Chicago"/>
    <x v="10"/>
    <n v="60653"/>
    <x v="2"/>
    <s v="FUR-FU-10002759"/>
    <x v="0"/>
    <s v="Furnishings"/>
    <s v="12-1/2 Diameter Round Wall Clock"/>
    <n v="23.975999999999999"/>
    <n v="3"/>
    <n v="0.6"/>
    <n v="-14.3856"/>
  </r>
  <r>
    <n v="671"/>
    <x v="312"/>
    <x v="231"/>
    <x v="3"/>
    <d v="2017-09-30T00:00:00"/>
    <d v="2018-01-06T00:00:00"/>
    <s v="Standard Class"/>
    <s v="MO-17800"/>
    <s v="Meg O'Connel"/>
    <s v="Home Office"/>
    <s v="United States"/>
    <s v="Chicago"/>
    <x v="10"/>
    <n v="60653"/>
    <x v="2"/>
    <s v="FUR-TA-10000688"/>
    <x v="0"/>
    <s v="Tables"/>
    <s v="Chromcraft Bull-Nose Wood Round Conference Table Top, Wood Base"/>
    <n v="108.925"/>
    <n v="1"/>
    <n v="0.5"/>
    <n v="-71.890500000000003"/>
  </r>
  <r>
    <n v="672"/>
    <x v="312"/>
    <x v="231"/>
    <x v="3"/>
    <d v="2017-09-30T00:00:00"/>
    <d v="2018-01-06T00:00:00"/>
    <s v="Standard Class"/>
    <s v="MO-17800"/>
    <s v="Meg O'Connel"/>
    <s v="Home Office"/>
    <s v="United States"/>
    <s v="Chicago"/>
    <x v="10"/>
    <n v="60653"/>
    <x v="2"/>
    <s v="OFF-PA-10002377"/>
    <x v="1"/>
    <s v="Paper"/>
    <s v="Adams Telephone Message Book W/Dividers/Space For Phone Numbers, 5 1/4&quot;X8 1/2&quot;, 200/Messages"/>
    <n v="36.351999999999997"/>
    <n v="8"/>
    <n v="0.2"/>
    <n v="11.36"/>
  </r>
  <r>
    <n v="673"/>
    <x v="313"/>
    <x v="133"/>
    <x v="4"/>
    <d v="2018-03-31T00:00:00"/>
    <d v="2018-10-06T00:00:00"/>
    <s v="Standard Class"/>
    <s v="TD-20995"/>
    <s v="Tamara Dahlen"/>
    <s v="Consumer"/>
    <s v="United States"/>
    <s v="Quincy"/>
    <x v="10"/>
    <n v="62301"/>
    <x v="2"/>
    <s v="OFF-AR-10001954"/>
    <x v="1"/>
    <s v="Art"/>
    <s v="Newell 331"/>
    <n v="19.559999999999999"/>
    <n v="5"/>
    <n v="0.2"/>
    <n v="1.7115"/>
  </r>
  <r>
    <n v="674"/>
    <x v="314"/>
    <x v="232"/>
    <x v="5"/>
    <d v="2017-05-31T00:00:00"/>
    <d v="2017-08-12T00:00:00"/>
    <s v="First Class"/>
    <s v="RB-19570"/>
    <s v="Rob Beeghly"/>
    <s v="Consumer"/>
    <s v="United States"/>
    <s v="Columbus"/>
    <x v="14"/>
    <n v="47201"/>
    <x v="2"/>
    <s v="OFF-AP-10004532"/>
    <x v="1"/>
    <s v="Appliances"/>
    <s v="Kensington 6 Outlet Guardian Standard Surge Protector"/>
    <n v="61.44"/>
    <n v="3"/>
    <n v="0"/>
    <n v="16.588799999999999"/>
  </r>
  <r>
    <n v="675"/>
    <x v="314"/>
    <x v="232"/>
    <x v="5"/>
    <d v="2017-05-31T00:00:00"/>
    <d v="2017-08-12T00:00:00"/>
    <s v="First Class"/>
    <s v="RB-19570"/>
    <s v="Rob Beeghly"/>
    <s v="Consumer"/>
    <s v="United States"/>
    <s v="Columbus"/>
    <x v="14"/>
    <n v="47201"/>
    <x v="2"/>
    <s v="OFF-PA-10002137"/>
    <x v="1"/>
    <s v="Paper"/>
    <s v="Southworth 100% Résumé Paper, 24lb."/>
    <n v="38.9"/>
    <n v="5"/>
    <n v="0"/>
    <n v="17.504999999999999"/>
  </r>
  <r>
    <n v="676"/>
    <x v="314"/>
    <x v="232"/>
    <x v="5"/>
    <d v="2017-05-31T00:00:00"/>
    <d v="2017-08-12T00:00:00"/>
    <s v="First Class"/>
    <s v="RB-19570"/>
    <s v="Rob Beeghly"/>
    <s v="Consumer"/>
    <s v="United States"/>
    <s v="Columbus"/>
    <x v="14"/>
    <n v="47201"/>
    <x v="2"/>
    <s v="TEC-AC-10003832"/>
    <x v="2"/>
    <s v="Accessories"/>
    <s v="Imation 16GB Mini TravelDrive USB 2.0 Flash Drive"/>
    <n v="99.39"/>
    <n v="3"/>
    <n v="0"/>
    <n v="40.749899999999997"/>
  </r>
  <r>
    <n v="677"/>
    <x v="315"/>
    <x v="233"/>
    <x v="10"/>
    <d v="2018-06-30T00:00:00"/>
    <d v="2018-11-03T00:00:00"/>
    <s v="Standard Class"/>
    <s v="CD-11980"/>
    <s v="Carol Darley"/>
    <s v="Consumer"/>
    <s v="United States"/>
    <s v="Tyler"/>
    <x v="5"/>
    <n v="75701"/>
    <x v="2"/>
    <s v="OFF-AP-10000804"/>
    <x v="1"/>
    <s v="Appliances"/>
    <s v="Hoover Portapower Portable Vacuum"/>
    <n v="2.6880000000000002"/>
    <n v="3"/>
    <n v="0.8"/>
    <n v="-7.3920000000000003"/>
  </r>
  <r>
    <n v="678"/>
    <x v="315"/>
    <x v="233"/>
    <x v="10"/>
    <d v="2018-06-30T00:00:00"/>
    <d v="2018-11-03T00:00:00"/>
    <s v="Standard Class"/>
    <s v="CD-11980"/>
    <s v="Carol Darley"/>
    <s v="Consumer"/>
    <s v="United States"/>
    <s v="Tyler"/>
    <x v="5"/>
    <n v="75701"/>
    <x v="2"/>
    <s v="TEC-AC-10003614"/>
    <x v="2"/>
    <s v="Accessories"/>
    <s v="Verbatim 25 GB 6x Blu-ray Single Layer Recordable Disc, 10/Pack"/>
    <n v="27.815999999999999"/>
    <n v="3"/>
    <n v="0.2"/>
    <n v="4.5201000000000002"/>
  </r>
  <r>
    <n v="679"/>
    <x v="315"/>
    <x v="233"/>
    <x v="10"/>
    <d v="2018-06-30T00:00:00"/>
    <d v="2018-11-03T00:00:00"/>
    <s v="Standard Class"/>
    <s v="CD-11980"/>
    <s v="Carol Darley"/>
    <s v="Consumer"/>
    <s v="United States"/>
    <s v="Tyler"/>
    <x v="5"/>
    <n v="75701"/>
    <x v="2"/>
    <s v="FUR-FU-10003553"/>
    <x v="0"/>
    <s v="Furnishings"/>
    <s v="Howard Miller 13-1/2&quot; Diameter Rosebrook Wall Clock"/>
    <n v="82.524000000000001"/>
    <n v="3"/>
    <n v="0.6"/>
    <n v="-41.262"/>
  </r>
  <r>
    <n v="680"/>
    <x v="315"/>
    <x v="233"/>
    <x v="10"/>
    <d v="2018-06-30T00:00:00"/>
    <d v="2018-11-03T00:00:00"/>
    <s v="Standard Class"/>
    <s v="CD-11980"/>
    <s v="Carol Darley"/>
    <s v="Consumer"/>
    <s v="United States"/>
    <s v="Tyler"/>
    <x v="5"/>
    <n v="75701"/>
    <x v="2"/>
    <s v="OFF-BI-10004632"/>
    <x v="1"/>
    <s v="Binders"/>
    <s v="Ibico Hi-Tech Manual Binding System"/>
    <n v="182.994"/>
    <n v="3"/>
    <n v="0.8"/>
    <n v="-320.23950000000002"/>
  </r>
  <r>
    <n v="681"/>
    <x v="316"/>
    <x v="234"/>
    <x v="9"/>
    <d v="2017-07-31T00:00:00"/>
    <d v="2017-12-11T00:00:00"/>
    <s v="Standard Class"/>
    <s v="DJ-13630"/>
    <s v="Doug Jacobs"/>
    <s v="Consumer"/>
    <s v="United States"/>
    <s v="New York City"/>
    <x v="15"/>
    <n v="10024"/>
    <x v="3"/>
    <s v="OFF-BI-10003305"/>
    <x v="1"/>
    <s v="Binders"/>
    <s v="Avery Hanging File Binders"/>
    <n v="14.352"/>
    <n v="3"/>
    <n v="0.2"/>
    <n v="4.6643999999999997"/>
  </r>
  <r>
    <n v="682"/>
    <x v="316"/>
    <x v="234"/>
    <x v="9"/>
    <d v="2017-07-31T00:00:00"/>
    <d v="2017-12-11T00:00:00"/>
    <s v="Standard Class"/>
    <s v="DJ-13630"/>
    <s v="Doug Jacobs"/>
    <s v="Consumer"/>
    <s v="United States"/>
    <s v="New York City"/>
    <x v="15"/>
    <n v="10024"/>
    <x v="3"/>
    <s v="OFF-ST-10002583"/>
    <x v="1"/>
    <s v="Storage"/>
    <s v="Fellowes Neat Ideas Storage Cubes"/>
    <n v="64.959999999999994"/>
    <n v="2"/>
    <n v="0"/>
    <n v="2.5983999999999998"/>
  </r>
  <r>
    <n v="683"/>
    <x v="316"/>
    <x v="234"/>
    <x v="9"/>
    <d v="2017-07-31T00:00:00"/>
    <d v="2017-12-11T00:00:00"/>
    <s v="Standard Class"/>
    <s v="DJ-13630"/>
    <s v="Doug Jacobs"/>
    <s v="Consumer"/>
    <s v="United States"/>
    <s v="New York City"/>
    <x v="15"/>
    <n v="10024"/>
    <x v="3"/>
    <s v="OFF-ST-10004507"/>
    <x v="1"/>
    <s v="Storage"/>
    <s v="Advantus Rolling Storage Box"/>
    <n v="68.599999999999994"/>
    <n v="4"/>
    <n v="0"/>
    <n v="18.521999999999998"/>
  </r>
  <r>
    <n v="684"/>
    <x v="317"/>
    <x v="75"/>
    <x v="8"/>
    <d v="2017-04-30T00:00:00"/>
    <d v="2017-04-11T00:00:00"/>
    <s v="Same Day"/>
    <s v="GT-14635"/>
    <s v="Grant Thornton"/>
    <s v="Corporate"/>
    <s v="United States"/>
    <s v="Burlington"/>
    <x v="3"/>
    <n v="27217"/>
    <x v="0"/>
    <s v="TEC-MA-10004125"/>
    <x v="2"/>
    <s v="Machines"/>
    <s v="Cubify CubeX 3D Printer Triple Head Print"/>
    <n v="7999.98"/>
    <n v="4"/>
    <n v="0.5"/>
    <n v="-3839.9904000000001"/>
  </r>
  <r>
    <n v="685"/>
    <x v="317"/>
    <x v="75"/>
    <x v="8"/>
    <d v="2017-04-30T00:00:00"/>
    <d v="2017-04-11T00:00:00"/>
    <s v="Same Day"/>
    <s v="GT-14635"/>
    <s v="Grant Thornton"/>
    <s v="Corporate"/>
    <s v="United States"/>
    <s v="Burlington"/>
    <x v="3"/>
    <n v="27217"/>
    <x v="0"/>
    <s v="OFF-AP-10002457"/>
    <x v="1"/>
    <s v="Appliances"/>
    <s v="Eureka The Boss Plus 12-Amp Hard Box Upright Vacuum, Red"/>
    <n v="167.44"/>
    <n v="2"/>
    <n v="0.2"/>
    <n v="14.651"/>
  </r>
  <r>
    <n v="686"/>
    <x v="318"/>
    <x v="235"/>
    <x v="5"/>
    <d v="2014-05-31T00:00:00"/>
    <d v="2014-08-07T00:00:00"/>
    <s v="First Class"/>
    <s v="MC-17845"/>
    <s v="Michael Chen"/>
    <s v="Consumer"/>
    <s v="United States"/>
    <s v="Jackson"/>
    <x v="35"/>
    <n v="39212"/>
    <x v="0"/>
    <s v="TEC-AC-10003911"/>
    <x v="2"/>
    <s v="Accessories"/>
    <s v="NETGEAR AC1750 Dual Band Gigabit Smart WiFi Router"/>
    <n v="479.97"/>
    <n v="3"/>
    <n v="0"/>
    <n v="163.18979999999999"/>
  </r>
  <r>
    <n v="687"/>
    <x v="318"/>
    <x v="235"/>
    <x v="5"/>
    <d v="2014-05-31T00:00:00"/>
    <d v="2014-08-07T00:00:00"/>
    <s v="First Class"/>
    <s v="MC-17845"/>
    <s v="Michael Chen"/>
    <s v="Consumer"/>
    <s v="United States"/>
    <s v="Jackson"/>
    <x v="35"/>
    <n v="39212"/>
    <x v="0"/>
    <s v="OFF-LA-10001934"/>
    <x v="1"/>
    <s v="Labels"/>
    <s v="Avery 516"/>
    <n v="14.62"/>
    <n v="2"/>
    <n v="0"/>
    <n v="6.8714000000000004"/>
  </r>
  <r>
    <n v="688"/>
    <x v="318"/>
    <x v="235"/>
    <x v="5"/>
    <d v="2014-05-31T00:00:00"/>
    <d v="2014-08-07T00:00:00"/>
    <s v="First Class"/>
    <s v="MC-17845"/>
    <s v="Michael Chen"/>
    <s v="Consumer"/>
    <s v="United States"/>
    <s v="Jackson"/>
    <x v="35"/>
    <n v="39212"/>
    <x v="0"/>
    <s v="OFF-PA-10000304"/>
    <x v="1"/>
    <s v="Paper"/>
    <s v="Xerox 1995"/>
    <n v="19.440000000000001"/>
    <n v="3"/>
    <n v="0"/>
    <n v="9.3312000000000008"/>
  </r>
  <r>
    <n v="689"/>
    <x v="319"/>
    <x v="53"/>
    <x v="7"/>
    <d v="2019-01-31T00:00:00"/>
    <d v="2019-05-12T00:00:00"/>
    <s v="Standard Class"/>
    <s v="RA-19285"/>
    <s v="Ralph Arnett"/>
    <s v="Consumer"/>
    <s v="United States"/>
    <s v="New York City"/>
    <x v="15"/>
    <n v="10035"/>
    <x v="3"/>
    <s v="FUR-BO-10004015"/>
    <x v="0"/>
    <s v="Bookcases"/>
    <s v="Bush Andora Bookcase, Maple/Graphite Gray Finish"/>
    <n v="191.98400000000001"/>
    <n v="2"/>
    <n v="0.2"/>
    <n v="4.7995999999999999"/>
  </r>
  <r>
    <n v="690"/>
    <x v="320"/>
    <x v="236"/>
    <x v="3"/>
    <d v="2015-09-30T00:00:00"/>
    <d v="2015-11-06T00:00:00"/>
    <s v="Second Class"/>
    <s v="NP-18325"/>
    <s v="Naresj Patel"/>
    <s v="Consumer"/>
    <s v="United States"/>
    <s v="Waynesboro"/>
    <x v="17"/>
    <n v="22980"/>
    <x v="0"/>
    <s v="FUR-FU-10004071"/>
    <x v="0"/>
    <s v="Furnishings"/>
    <s v="Luxo Professional Magnifying Clamp-On Fluorescent Lamps"/>
    <n v="104.01"/>
    <n v="1"/>
    <n v="0"/>
    <n v="14.561400000000001"/>
  </r>
  <r>
    <n v="691"/>
    <x v="320"/>
    <x v="236"/>
    <x v="3"/>
    <d v="2015-09-30T00:00:00"/>
    <d v="2015-11-06T00:00:00"/>
    <s v="Second Class"/>
    <s v="NP-18325"/>
    <s v="Naresj Patel"/>
    <s v="Consumer"/>
    <s v="United States"/>
    <s v="Waynesboro"/>
    <x v="17"/>
    <n v="22980"/>
    <x v="0"/>
    <s v="TEC-PH-10002033"/>
    <x v="2"/>
    <s v="Phones"/>
    <s v="Konftel 250 Conference phone - Charcoal black"/>
    <n v="284.82"/>
    <n v="1"/>
    <n v="0"/>
    <n v="74.053200000000004"/>
  </r>
  <r>
    <n v="692"/>
    <x v="320"/>
    <x v="236"/>
    <x v="3"/>
    <d v="2015-09-30T00:00:00"/>
    <d v="2015-11-06T00:00:00"/>
    <s v="Second Class"/>
    <s v="NP-18325"/>
    <s v="Naresj Patel"/>
    <s v="Consumer"/>
    <s v="United States"/>
    <s v="Waynesboro"/>
    <x v="17"/>
    <n v="22980"/>
    <x v="0"/>
    <s v="OFF-ST-10002444"/>
    <x v="1"/>
    <s v="Storage"/>
    <s v="Recycled Eldon Regeneration Jumbo File"/>
    <n v="36.840000000000003"/>
    <n v="3"/>
    <n v="0"/>
    <n v="10.315200000000001"/>
  </r>
  <r>
    <n v="693"/>
    <x v="321"/>
    <x v="158"/>
    <x v="8"/>
    <d v="2017-04-30T00:00:00"/>
    <d v="2015-02-04T00:00:00"/>
    <s v="Standard Class"/>
    <s v="AB-10165"/>
    <s v="Alan Barnes"/>
    <s v="Consumer"/>
    <s v="United States"/>
    <s v="Los Angeles"/>
    <x v="1"/>
    <n v="90036"/>
    <x v="1"/>
    <s v="TEC-AC-10002253"/>
    <x v="2"/>
    <s v="Accessories"/>
    <s v="Imation Bio 8GB USB Flash Drive Imation Corp"/>
    <n v="166.24"/>
    <n v="1"/>
    <n v="0"/>
    <n v="24.936"/>
  </r>
  <r>
    <n v="694"/>
    <x v="321"/>
    <x v="158"/>
    <x v="8"/>
    <d v="2017-04-30T00:00:00"/>
    <d v="2015-02-04T00:00:00"/>
    <s v="Standard Class"/>
    <s v="AB-10165"/>
    <s v="Alan Barnes"/>
    <s v="Consumer"/>
    <s v="United States"/>
    <s v="Los Angeles"/>
    <x v="1"/>
    <n v="90036"/>
    <x v="1"/>
    <s v="OFF-PA-10000743"/>
    <x v="1"/>
    <s v="Paper"/>
    <s v="Xerox 1977"/>
    <n v="33.4"/>
    <n v="5"/>
    <n v="0"/>
    <n v="16.032"/>
  </r>
  <r>
    <n v="695"/>
    <x v="322"/>
    <x v="237"/>
    <x v="11"/>
    <d v="2016-02-29T00:00:00"/>
    <d v="2016-05-05T00:00:00"/>
    <s v="First Class"/>
    <s v="JO-15550"/>
    <s v="Jesus Ocampo"/>
    <s v="Home Office"/>
    <s v="United States"/>
    <s v="Chester"/>
    <x v="9"/>
    <n v="19013"/>
    <x v="3"/>
    <s v="OFF-AR-10003373"/>
    <x v="1"/>
    <s v="Art"/>
    <s v="Boston School Pro Electric Pencil Sharpener, 1670"/>
    <n v="198.27199999999999"/>
    <n v="8"/>
    <n v="0.2"/>
    <n v="17.348800000000001"/>
  </r>
  <r>
    <n v="696"/>
    <x v="322"/>
    <x v="237"/>
    <x v="11"/>
    <d v="2016-02-29T00:00:00"/>
    <d v="2016-05-05T00:00:00"/>
    <s v="First Class"/>
    <s v="JO-15550"/>
    <s v="Jesus Ocampo"/>
    <s v="Home Office"/>
    <s v="United States"/>
    <s v="Chester"/>
    <x v="9"/>
    <n v="19013"/>
    <x v="3"/>
    <s v="OFF-LA-10002312"/>
    <x v="1"/>
    <s v="Labels"/>
    <s v="Avery 490"/>
    <n v="47.36"/>
    <n v="4"/>
    <n v="0.2"/>
    <n v="17.760000000000002"/>
  </r>
  <r>
    <n v="697"/>
    <x v="322"/>
    <x v="237"/>
    <x v="11"/>
    <d v="2016-02-29T00:00:00"/>
    <d v="2016-05-05T00:00:00"/>
    <s v="First Class"/>
    <s v="JO-15550"/>
    <s v="Jesus Ocampo"/>
    <s v="Home Office"/>
    <s v="United States"/>
    <s v="Chester"/>
    <x v="9"/>
    <n v="19013"/>
    <x v="3"/>
    <s v="OFF-EN-10000927"/>
    <x v="1"/>
    <s v="Envelopes"/>
    <s v="Jet-Pak Recycled Peel 'N' Seal Padded Mailers"/>
    <n v="200.98400000000001"/>
    <n v="7"/>
    <n v="0.2"/>
    <n v="62.807499999999997"/>
  </r>
  <r>
    <n v="698"/>
    <x v="322"/>
    <x v="237"/>
    <x v="11"/>
    <d v="2016-02-29T00:00:00"/>
    <d v="2016-05-05T00:00:00"/>
    <s v="First Class"/>
    <s v="JO-15550"/>
    <s v="Jesus Ocampo"/>
    <s v="Home Office"/>
    <s v="United States"/>
    <s v="Chester"/>
    <x v="9"/>
    <n v="19013"/>
    <x v="3"/>
    <s v="OFF-LA-10003510"/>
    <x v="1"/>
    <s v="Labels"/>
    <s v="Avery 4027 File Folder Labels for Dot Matrix Printers, 5000 Labels per Box, White"/>
    <n v="97.695999999999998"/>
    <n v="4"/>
    <n v="0.2"/>
    <n v="31.751200000000001"/>
  </r>
  <r>
    <n v="699"/>
    <x v="322"/>
    <x v="237"/>
    <x v="11"/>
    <d v="2016-02-29T00:00:00"/>
    <d v="2016-05-05T00:00:00"/>
    <s v="First Class"/>
    <s v="JO-15550"/>
    <s v="Jesus Ocampo"/>
    <s v="Home Office"/>
    <s v="United States"/>
    <s v="Chester"/>
    <x v="9"/>
    <n v="19013"/>
    <x v="3"/>
    <s v="OFF-AR-10001118"/>
    <x v="1"/>
    <s v="Art"/>
    <s v="Binney &amp; Smith Crayola Metallic Crayons, 16-Color Pack"/>
    <n v="2.6960000000000002"/>
    <n v="1"/>
    <n v="0.2"/>
    <n v="0.80879999999999996"/>
  </r>
  <r>
    <n v="700"/>
    <x v="322"/>
    <x v="237"/>
    <x v="11"/>
    <d v="2016-02-29T00:00:00"/>
    <d v="2016-05-05T00:00:00"/>
    <s v="First Class"/>
    <s v="JO-15550"/>
    <s v="Jesus Ocampo"/>
    <s v="Home Office"/>
    <s v="United States"/>
    <s v="Chester"/>
    <x v="9"/>
    <n v="19013"/>
    <x v="3"/>
    <s v="OFF-BI-10001575"/>
    <x v="1"/>
    <s v="Binders"/>
    <s v="GBC Linen Binding Covers"/>
    <n v="18.588000000000001"/>
    <n v="2"/>
    <n v="0.7"/>
    <n v="-13.6312"/>
  </r>
  <r>
    <n v="701"/>
    <x v="322"/>
    <x v="237"/>
    <x v="11"/>
    <d v="2016-02-29T00:00:00"/>
    <d v="2016-05-05T00:00:00"/>
    <s v="First Class"/>
    <s v="JO-15550"/>
    <s v="Jesus Ocampo"/>
    <s v="Home Office"/>
    <s v="United States"/>
    <s v="Chester"/>
    <x v="9"/>
    <n v="19013"/>
    <x v="3"/>
    <s v="OFF-BI-10001982"/>
    <x v="1"/>
    <s v="Binders"/>
    <s v="Wilson Jones Custom Binder Spines &amp; Labels"/>
    <n v="4.8959999999999999"/>
    <n v="3"/>
    <n v="0.7"/>
    <n v="-3.4272"/>
  </r>
  <r>
    <n v="702"/>
    <x v="323"/>
    <x v="115"/>
    <x v="11"/>
    <d v="2017-02-28T00:00:00"/>
    <d v="2017-08-09T00:00:00"/>
    <s v="Standard Class"/>
    <s v="Dl-13600"/>
    <s v="Dorris liebe"/>
    <s v="Corporate"/>
    <s v="United States"/>
    <s v="Cleveland"/>
    <x v="24"/>
    <n v="44105"/>
    <x v="3"/>
    <s v="FUR-FU-10002960"/>
    <x v="0"/>
    <s v="Furnishings"/>
    <s v="Eldon 200 Class Desk Accessories, Burgundy"/>
    <n v="15.071999999999999"/>
    <n v="3"/>
    <n v="0.2"/>
    <n v="4.1448"/>
  </r>
  <r>
    <n v="703"/>
    <x v="324"/>
    <x v="230"/>
    <x v="8"/>
    <d v="2016-04-30T00:00:00"/>
    <d v="2016-08-11T00:00:00"/>
    <s v="Second Class"/>
    <s v="AS-10285"/>
    <s v="Alejandro Savely"/>
    <s v="Corporate"/>
    <s v="United States"/>
    <s v="Seattle"/>
    <x v="4"/>
    <n v="98103"/>
    <x v="1"/>
    <s v="FUR-FU-10003394"/>
    <x v="0"/>
    <s v="Furnishings"/>
    <s v="Tenex &quot;The Solids&quot; Textured Chair Mats"/>
    <n v="209.88"/>
    <n v="3"/>
    <n v="0"/>
    <n v="35.679600000000001"/>
  </r>
  <r>
    <n v="704"/>
    <x v="325"/>
    <x v="238"/>
    <x v="3"/>
    <d v="2015-09-30T00:00:00"/>
    <d v="2016-02-04T00:00:00"/>
    <s v="Standard Class"/>
    <s v="JK-15370"/>
    <s v="Jay Kimmel"/>
    <s v="Consumer"/>
    <s v="United States"/>
    <s v="Long Beach"/>
    <x v="1"/>
    <n v="90805"/>
    <x v="1"/>
    <s v="FUR-TA-10002774"/>
    <x v="0"/>
    <s v="Tables"/>
    <s v="Laminate Occasional Tables"/>
    <n v="369.91199999999998"/>
    <n v="3"/>
    <n v="0.2"/>
    <n v="-13.871700000000001"/>
  </r>
  <r>
    <n v="705"/>
    <x v="326"/>
    <x v="161"/>
    <x v="1"/>
    <d v="2014-12-31T00:00:00"/>
    <d v="2015-05-09T00:00:00"/>
    <s v="Standard Class"/>
    <s v="BN-11470"/>
    <s v="Brad Norvell"/>
    <s v="Corporate"/>
    <s v="United States"/>
    <s v="Cary"/>
    <x v="3"/>
    <n v="27511"/>
    <x v="0"/>
    <s v="OFF-PA-10001800"/>
    <x v="1"/>
    <s v="Paper"/>
    <s v="Xerox 220"/>
    <n v="10.368"/>
    <n v="2"/>
    <n v="0.2"/>
    <n v="3.6288"/>
  </r>
  <r>
    <n v="706"/>
    <x v="326"/>
    <x v="161"/>
    <x v="1"/>
    <d v="2014-12-31T00:00:00"/>
    <d v="2015-05-09T00:00:00"/>
    <s v="Standard Class"/>
    <s v="BN-11470"/>
    <s v="Brad Norvell"/>
    <s v="Corporate"/>
    <s v="United States"/>
    <s v="Cary"/>
    <x v="3"/>
    <n v="27511"/>
    <x v="0"/>
    <s v="OFF-AP-10001469"/>
    <x v="1"/>
    <s v="Appliances"/>
    <s v="Fellowes 8 Outlet Superior Workstation Surge Protector"/>
    <n v="166.84"/>
    <n v="5"/>
    <n v="0.2"/>
    <n v="18.769500000000001"/>
  </r>
  <r>
    <n v="707"/>
    <x v="326"/>
    <x v="161"/>
    <x v="1"/>
    <d v="2014-12-31T00:00:00"/>
    <d v="2015-05-09T00:00:00"/>
    <s v="Standard Class"/>
    <s v="BN-11470"/>
    <s v="Brad Norvell"/>
    <s v="Corporate"/>
    <s v="United States"/>
    <s v="Cary"/>
    <x v="3"/>
    <n v="27511"/>
    <x v="0"/>
    <s v="TEC-AC-10002399"/>
    <x v="2"/>
    <s v="Accessories"/>
    <s v="SanDisk Cruzer 32 GB USB Flash Drive"/>
    <n v="15.215999999999999"/>
    <n v="1"/>
    <n v="0.2"/>
    <n v="2.2824"/>
  </r>
  <r>
    <n v="708"/>
    <x v="327"/>
    <x v="239"/>
    <x v="11"/>
    <d v="2014-02-28T00:00:00"/>
    <d v="2014-04-12T00:00:00"/>
    <s v="First Class"/>
    <s v="DP-13165"/>
    <s v="David Philippe"/>
    <s v="Consumer"/>
    <s v="United States"/>
    <s v="New York City"/>
    <x v="15"/>
    <n v="10035"/>
    <x v="3"/>
    <s v="TEC-AC-10003628"/>
    <x v="2"/>
    <s v="Accessories"/>
    <s v="Logitech 910-002974 M325 Wireless Mouse for Web Scrolling"/>
    <n v="119.96"/>
    <n v="4"/>
    <n v="0"/>
    <n v="52.782400000000003"/>
  </r>
  <r>
    <n v="709"/>
    <x v="327"/>
    <x v="239"/>
    <x v="11"/>
    <d v="2014-02-28T00:00:00"/>
    <d v="2014-04-12T00:00:00"/>
    <s v="First Class"/>
    <s v="DP-13165"/>
    <s v="David Philippe"/>
    <s v="Consumer"/>
    <s v="United States"/>
    <s v="New York City"/>
    <x v="15"/>
    <n v="10035"/>
    <x v="3"/>
    <s v="FUR-BO-10003272"/>
    <x v="0"/>
    <s v="Bookcases"/>
    <s v="O'Sullivan Living Dimensions 5-Shelf Bookcases"/>
    <n v="883.92"/>
    <n v="5"/>
    <n v="0.2"/>
    <n v="-110.49"/>
  </r>
  <r>
    <n v="710"/>
    <x v="327"/>
    <x v="239"/>
    <x v="11"/>
    <d v="2014-02-28T00:00:00"/>
    <d v="2014-04-12T00:00:00"/>
    <s v="First Class"/>
    <s v="DP-13165"/>
    <s v="David Philippe"/>
    <s v="Consumer"/>
    <s v="United States"/>
    <s v="New York City"/>
    <x v="15"/>
    <n v="10035"/>
    <x v="3"/>
    <s v="OFF-BI-10000050"/>
    <x v="1"/>
    <s v="Binders"/>
    <s v="Angle-D Binders with Locking Rings, Label Holders"/>
    <n v="46.72"/>
    <n v="8"/>
    <n v="0.2"/>
    <n v="15.768000000000001"/>
  </r>
  <r>
    <n v="711"/>
    <x v="328"/>
    <x v="240"/>
    <x v="5"/>
    <d v="2014-05-31T00:00:00"/>
    <d v="2014-07-04T00:00:00"/>
    <s v="First Class"/>
    <s v="TH-21550"/>
    <s v="Tracy Hopkins"/>
    <s v="Home Office"/>
    <s v="United States"/>
    <s v="New York City"/>
    <x v="15"/>
    <n v="10035"/>
    <x v="3"/>
    <s v="OFF-PA-10004071"/>
    <x v="1"/>
    <s v="Paper"/>
    <s v="Eaton Premium Continuous-Feed Paper, 25% Cotton, Letter Size, White, 1000 Shts/Box"/>
    <n v="55.48"/>
    <n v="1"/>
    <n v="0"/>
    <n v="26.630400000000002"/>
  </r>
  <r>
    <n v="712"/>
    <x v="329"/>
    <x v="198"/>
    <x v="4"/>
    <d v="2017-03-31T00:00:00"/>
    <d v="2017-07-09T00:00:00"/>
    <s v="Standard Class"/>
    <s v="AP-10915"/>
    <s v="Arthur Prichep"/>
    <s v="Consumer"/>
    <s v="United States"/>
    <s v="Palm Coast"/>
    <x v="2"/>
    <n v="32137"/>
    <x v="0"/>
    <s v="OFF-EN-10001219"/>
    <x v="1"/>
    <s v="Envelopes"/>
    <s v="#10- 4 1/8&quot; x 9 1/2&quot; Security-Tint Envelopes"/>
    <n v="24.448"/>
    <n v="4"/>
    <n v="0.2"/>
    <n v="8.8623999999999992"/>
  </r>
  <r>
    <n v="713"/>
    <x v="330"/>
    <x v="217"/>
    <x v="9"/>
    <d v="2018-07-31T00:00:00"/>
    <d v="2018-12-05T00:00:00"/>
    <s v="Standard Class"/>
    <s v="RS-19765"/>
    <s v="Roland Schwarz"/>
    <s v="Corporate"/>
    <s v="United States"/>
    <s v="Mount Vernon"/>
    <x v="15"/>
    <n v="10550"/>
    <x v="3"/>
    <s v="OFF-AP-10001154"/>
    <x v="1"/>
    <s v="Appliances"/>
    <s v="Bionaire Personal Warm Mist Humidifier/Vaporizer"/>
    <n v="281.33999999999997"/>
    <n v="6"/>
    <n v="0"/>
    <n v="109.7226"/>
  </r>
  <r>
    <n v="714"/>
    <x v="330"/>
    <x v="217"/>
    <x v="9"/>
    <d v="2018-07-31T00:00:00"/>
    <d v="2018-12-05T00:00:00"/>
    <s v="Standard Class"/>
    <s v="RS-19765"/>
    <s v="Roland Schwarz"/>
    <s v="Corporate"/>
    <s v="United States"/>
    <s v="Mount Vernon"/>
    <x v="15"/>
    <n v="10550"/>
    <x v="3"/>
    <s v="TEC-PH-10003012"/>
    <x v="2"/>
    <s v="Phones"/>
    <s v="Nortel Meridian M3904 Professional Digital phone"/>
    <n v="307.98"/>
    <n v="2"/>
    <n v="0"/>
    <n v="89.3142"/>
  </r>
  <r>
    <n v="715"/>
    <x v="330"/>
    <x v="217"/>
    <x v="9"/>
    <d v="2018-07-31T00:00:00"/>
    <d v="2018-12-05T00:00:00"/>
    <s v="Standard Class"/>
    <s v="RS-19765"/>
    <s v="Roland Schwarz"/>
    <s v="Corporate"/>
    <s v="United States"/>
    <s v="Mount Vernon"/>
    <x v="15"/>
    <n v="10550"/>
    <x v="3"/>
    <s v="TEC-AC-10001606"/>
    <x v="2"/>
    <s v="Accessories"/>
    <s v="Logitech Wireless Performance Mouse MX for PC and Mac"/>
    <n v="299.97000000000003"/>
    <n v="3"/>
    <n v="0"/>
    <n v="113.98860000000001"/>
  </r>
  <r>
    <n v="716"/>
    <x v="331"/>
    <x v="241"/>
    <x v="7"/>
    <d v="2014-01-31T00:00:00"/>
    <d v="2014-06-07T00:00:00"/>
    <s v="Second Class"/>
    <s v="Dl-13600"/>
    <s v="Dorris liebe"/>
    <s v="Corporate"/>
    <s v="United States"/>
    <s v="Seattle"/>
    <x v="4"/>
    <n v="98105"/>
    <x v="1"/>
    <s v="OFF-BI-10003355"/>
    <x v="1"/>
    <s v="Binders"/>
    <s v="Cardinal Holdit Business Card Pockets"/>
    <n v="19.920000000000002"/>
    <n v="5"/>
    <n v="0.2"/>
    <n v="6.9720000000000004"/>
  </r>
  <r>
    <n v="717"/>
    <x v="332"/>
    <x v="242"/>
    <x v="2"/>
    <d v="2014-11-30T00:00:00"/>
    <d v="2015-02-01T00:00:00"/>
    <s v="First Class"/>
    <s v="SV-20365"/>
    <s v="Seth Vernon"/>
    <s v="Consumer"/>
    <s v="United States"/>
    <s v="Dover"/>
    <x v="13"/>
    <n v="19901"/>
    <x v="3"/>
    <s v="FUR-FU-10000010"/>
    <x v="0"/>
    <s v="Furnishings"/>
    <s v="DAX Value U-Channel Document Frames, Easel Back"/>
    <n v="9.94"/>
    <n v="2"/>
    <n v="0"/>
    <n v="3.0813999999999999"/>
  </r>
  <r>
    <n v="718"/>
    <x v="333"/>
    <x v="218"/>
    <x v="1"/>
    <d v="2018-12-31T00:00:00"/>
    <d v="2019-05-09T00:00:00"/>
    <s v="Standard Class"/>
    <s v="KC-16540"/>
    <s v="Kelly Collister"/>
    <s v="Consumer"/>
    <s v="United States"/>
    <s v="Newark"/>
    <x v="24"/>
    <n v="43055"/>
    <x v="3"/>
    <s v="FUR-FU-10002253"/>
    <x v="0"/>
    <s v="Furnishings"/>
    <s v="Howard Miller 13&quot; Diameter Pewter Finish Round Wall Clock"/>
    <n v="103.056"/>
    <n v="3"/>
    <n v="0.2"/>
    <n v="24.4758"/>
  </r>
  <r>
    <n v="719"/>
    <x v="334"/>
    <x v="243"/>
    <x v="11"/>
    <d v="2014-02-28T00:00:00"/>
    <d v="2014-07-06T00:00:00"/>
    <s v="Standard Class"/>
    <s v="CK-12325"/>
    <s v="Christine Kargatis"/>
    <s v="Home Office"/>
    <s v="United States"/>
    <s v="Orem"/>
    <x v="7"/>
    <n v="84057"/>
    <x v="1"/>
    <s v="OFF-BI-10001658"/>
    <x v="1"/>
    <s v="Binders"/>
    <s v="GBC Standard Therm-A-Bind Covers"/>
    <n v="59.808"/>
    <n v="3"/>
    <n v="0.2"/>
    <n v="19.4376"/>
  </r>
  <r>
    <n v="720"/>
    <x v="334"/>
    <x v="243"/>
    <x v="11"/>
    <d v="2014-02-28T00:00:00"/>
    <d v="2014-07-06T00:00:00"/>
    <s v="Standard Class"/>
    <s v="CK-12325"/>
    <s v="Christine Kargatis"/>
    <s v="Home Office"/>
    <s v="United States"/>
    <s v="Orem"/>
    <x v="7"/>
    <n v="84057"/>
    <x v="1"/>
    <s v="FUR-FU-10000246"/>
    <x v="0"/>
    <s v="Furnishings"/>
    <s v="Aluminum Document Frame"/>
    <n v="73.319999999999993"/>
    <n v="6"/>
    <n v="0"/>
    <n v="21.995999999999999"/>
  </r>
  <r>
    <n v="721"/>
    <x v="335"/>
    <x v="244"/>
    <x v="7"/>
    <d v="2017-01-31T00:00:00"/>
    <d v="2017-06-02T00:00:00"/>
    <s v="Standard Class"/>
    <s v="RD-19810"/>
    <s v="Ross DeVincentis"/>
    <s v="Home Office"/>
    <s v="United States"/>
    <s v="Los Angeles"/>
    <x v="1"/>
    <n v="90045"/>
    <x v="1"/>
    <s v="OFF-PA-10004092"/>
    <x v="1"/>
    <s v="Paper"/>
    <s v="Tops Green Bar Computer Printout Paper"/>
    <n v="146.82"/>
    <n v="3"/>
    <n v="0"/>
    <n v="73.41"/>
  </r>
  <r>
    <n v="722"/>
    <x v="336"/>
    <x v="17"/>
    <x v="4"/>
    <d v="2017-03-31T00:00:00"/>
    <d v="2017-07-12T00:00:00"/>
    <s v="Standard Class"/>
    <s v="MP-17965"/>
    <s v="Michael Paige"/>
    <s v="Corporate"/>
    <s v="United States"/>
    <s v="Detroit"/>
    <x v="12"/>
    <n v="48205"/>
    <x v="2"/>
    <s v="FUR-TA-10000198"/>
    <x v="0"/>
    <s v="Tables"/>
    <s v="Chromcraft Bull-Nose Wood Oval Conference Tables &amp; Bases"/>
    <n v="1652.94"/>
    <n v="3"/>
    <n v="0"/>
    <n v="231.41159999999999"/>
  </r>
  <r>
    <n v="723"/>
    <x v="336"/>
    <x v="17"/>
    <x v="4"/>
    <d v="2017-03-31T00:00:00"/>
    <d v="2017-07-12T00:00:00"/>
    <s v="Standard Class"/>
    <s v="MP-17965"/>
    <s v="Michael Paige"/>
    <s v="Corporate"/>
    <s v="United States"/>
    <s v="Detroit"/>
    <x v="12"/>
    <n v="48205"/>
    <x v="2"/>
    <s v="OFF-ST-10000036"/>
    <x v="1"/>
    <s v="Storage"/>
    <s v="Recycled Data-Pak for Archival Bound Computer Printouts, 12-1/2 x 12-1/2 x 16"/>
    <n v="296.37"/>
    <n v="3"/>
    <n v="0"/>
    <n v="80.019900000000007"/>
  </r>
  <r>
    <n v="724"/>
    <x v="337"/>
    <x v="245"/>
    <x v="9"/>
    <d v="2014-07-31T00:00:00"/>
    <d v="2015-01-10T00:00:00"/>
    <s v="Standard Class"/>
    <s v="MR-17545"/>
    <s v="Mathew Reese"/>
    <s v="Home Office"/>
    <s v="United States"/>
    <s v="Philadelphia"/>
    <x v="9"/>
    <n v="19140"/>
    <x v="3"/>
    <s v="FUR-FU-10000222"/>
    <x v="0"/>
    <s v="Furnishings"/>
    <s v="Seth Thomas 16&quot; Steel Case Clock"/>
    <n v="129.91999999999999"/>
    <n v="5"/>
    <n v="0.2"/>
    <n v="21.111999999999998"/>
  </r>
  <r>
    <n v="725"/>
    <x v="338"/>
    <x v="246"/>
    <x v="9"/>
    <d v="2016-07-31T00:00:00"/>
    <d v="2016-12-07T00:00:00"/>
    <s v="Standard Class"/>
    <s v="SC-20695"/>
    <s v="Steve Chapman"/>
    <s v="Corporate"/>
    <s v="United States"/>
    <s v="Hialeah"/>
    <x v="2"/>
    <n v="33012"/>
    <x v="0"/>
    <s v="OFF-SU-10004664"/>
    <x v="1"/>
    <s v="Supplies"/>
    <s v="Acme Softgrip Scissors"/>
    <n v="45.584000000000003"/>
    <n v="7"/>
    <n v="0.2"/>
    <n v="5.1281999999999996"/>
  </r>
  <r>
    <n v="726"/>
    <x v="339"/>
    <x v="113"/>
    <x v="8"/>
    <d v="2018-04-30T00:00:00"/>
    <d v="2018-08-09T00:00:00"/>
    <s v="Standard Class"/>
    <s v="JF-15355"/>
    <s v="Jay Fein"/>
    <s v="Consumer"/>
    <s v="United States"/>
    <s v="Austin"/>
    <x v="5"/>
    <n v="78745"/>
    <x v="2"/>
    <s v="OFF-EN-10001141"/>
    <x v="1"/>
    <s v="Envelopes"/>
    <s v="Manila Recycled Extra-Heavyweight Clasp Envelopes, 6&quot; x 9&quot;"/>
    <n v="17.568000000000001"/>
    <n v="2"/>
    <n v="0.2"/>
    <n v="6.3684000000000003"/>
  </r>
  <r>
    <n v="727"/>
    <x v="339"/>
    <x v="113"/>
    <x v="8"/>
    <d v="2018-04-30T00:00:00"/>
    <d v="2018-08-09T00:00:00"/>
    <s v="Standard Class"/>
    <s v="JF-15355"/>
    <s v="Jay Fein"/>
    <s v="Consumer"/>
    <s v="United States"/>
    <s v="Austin"/>
    <x v="5"/>
    <n v="78745"/>
    <x v="2"/>
    <s v="TEC-PH-10002170"/>
    <x v="2"/>
    <s v="Phones"/>
    <s v="ClearSounds CSC500 Amplified Spirit Phone Corded phone"/>
    <n v="55.991999999999997"/>
    <n v="1"/>
    <n v="0.2"/>
    <n v="5.5991999999999997"/>
  </r>
  <r>
    <n v="728"/>
    <x v="340"/>
    <x v="82"/>
    <x v="4"/>
    <d v="2016-03-31T00:00:00"/>
    <d v="2016-06-12T00:00:00"/>
    <s v="First Class"/>
    <s v="EG-13900"/>
    <s v="Emily Grady"/>
    <s v="Consumer"/>
    <s v="United States"/>
    <s v="Oceanside"/>
    <x v="15"/>
    <n v="11572"/>
    <x v="3"/>
    <s v="OFF-PA-10001954"/>
    <x v="1"/>
    <s v="Paper"/>
    <s v="Xerox 1964"/>
    <n v="182.72"/>
    <n v="8"/>
    <n v="0"/>
    <n v="84.051199999999994"/>
  </r>
  <r>
    <n v="729"/>
    <x v="340"/>
    <x v="82"/>
    <x v="4"/>
    <d v="2016-03-31T00:00:00"/>
    <d v="2016-06-12T00:00:00"/>
    <s v="First Class"/>
    <s v="EG-13900"/>
    <s v="Emily Grady"/>
    <s v="Consumer"/>
    <s v="United States"/>
    <s v="Oceanside"/>
    <x v="15"/>
    <n v="11572"/>
    <x v="3"/>
    <s v="FUR-TA-10002228"/>
    <x v="0"/>
    <s v="Tables"/>
    <s v="Bevis Traditional Conference Table Top, Plinth Base"/>
    <n v="400.03199999999998"/>
    <n v="2"/>
    <n v="0.4"/>
    <n v="-153.34559999999999"/>
  </r>
  <r>
    <n v="730"/>
    <x v="340"/>
    <x v="82"/>
    <x v="4"/>
    <d v="2016-03-31T00:00:00"/>
    <d v="2016-06-12T00:00:00"/>
    <s v="First Class"/>
    <s v="EG-13900"/>
    <s v="Emily Grady"/>
    <s v="Consumer"/>
    <s v="United States"/>
    <s v="Oceanside"/>
    <x v="15"/>
    <n v="11572"/>
    <x v="3"/>
    <s v="OFF-ST-10004634"/>
    <x v="1"/>
    <s v="Storage"/>
    <s v="Personal Folder Holder, Ebony"/>
    <n v="33.630000000000003"/>
    <n v="3"/>
    <n v="0"/>
    <n v="10.089"/>
  </r>
  <r>
    <n v="731"/>
    <x v="340"/>
    <x v="82"/>
    <x v="4"/>
    <d v="2016-03-31T00:00:00"/>
    <d v="2016-06-12T00:00:00"/>
    <s v="First Class"/>
    <s v="EG-13900"/>
    <s v="Emily Grady"/>
    <s v="Consumer"/>
    <s v="United States"/>
    <s v="Oceanside"/>
    <x v="15"/>
    <n v="11572"/>
    <x v="3"/>
    <s v="FUR-CH-10002965"/>
    <x v="0"/>
    <s v="Chairs"/>
    <s v="Global Leather Highback Executive Chair with Pneumatic Height Adjustment, Black"/>
    <n v="542.64599999999996"/>
    <n v="3"/>
    <n v="0.1"/>
    <n v="102.49979999999999"/>
  </r>
  <r>
    <n v="732"/>
    <x v="340"/>
    <x v="82"/>
    <x v="4"/>
    <d v="2016-03-31T00:00:00"/>
    <d v="2016-06-12T00:00:00"/>
    <s v="First Class"/>
    <s v="EG-13900"/>
    <s v="Emily Grady"/>
    <s v="Consumer"/>
    <s v="United States"/>
    <s v="Oceanside"/>
    <x v="15"/>
    <n v="11572"/>
    <x v="3"/>
    <s v="OFF-LA-10001317"/>
    <x v="1"/>
    <s v="Labels"/>
    <s v="Avery 520"/>
    <n v="6.3"/>
    <n v="2"/>
    <n v="0"/>
    <n v="3.024"/>
  </r>
  <r>
    <n v="733"/>
    <x v="341"/>
    <x v="247"/>
    <x v="3"/>
    <d v="2018-09-30T00:00:00"/>
    <d v="2019-01-01T00:00:00"/>
    <s v="Standard Class"/>
    <s v="DS-13030"/>
    <s v="Darrin Sayre"/>
    <s v="Home Office"/>
    <s v="United States"/>
    <s v="Seattle"/>
    <x v="4"/>
    <n v="98115"/>
    <x v="1"/>
    <s v="OFF-ST-10000736"/>
    <x v="1"/>
    <s v="Storage"/>
    <s v="Carina Double Wide Media Storage Towers in Natural &amp; Black"/>
    <n v="242.94"/>
    <n v="3"/>
    <n v="0"/>
    <n v="9.7175999999999991"/>
  </r>
  <r>
    <n v="734"/>
    <x v="341"/>
    <x v="247"/>
    <x v="3"/>
    <d v="2018-09-30T00:00:00"/>
    <d v="2019-01-01T00:00:00"/>
    <s v="Standard Class"/>
    <s v="DS-13030"/>
    <s v="Darrin Sayre"/>
    <s v="Home Office"/>
    <s v="United States"/>
    <s v="Seattle"/>
    <x v="4"/>
    <n v="98115"/>
    <x v="1"/>
    <s v="TEC-AC-10003610"/>
    <x v="2"/>
    <s v="Accessories"/>
    <s v="Logitech Illuminated - Keyboard"/>
    <n v="179.97"/>
    <n v="3"/>
    <n v="0"/>
    <n v="86.385599999999997"/>
  </r>
  <r>
    <n v="735"/>
    <x v="341"/>
    <x v="247"/>
    <x v="3"/>
    <d v="2018-09-30T00:00:00"/>
    <d v="2019-01-01T00:00:00"/>
    <s v="Standard Class"/>
    <s v="DS-13030"/>
    <s v="Darrin Sayre"/>
    <s v="Home Office"/>
    <s v="United States"/>
    <s v="Seattle"/>
    <x v="4"/>
    <n v="98115"/>
    <x v="1"/>
    <s v="OFF-BI-10003982"/>
    <x v="1"/>
    <s v="Binders"/>
    <s v="Wilson Jones Century Plastic Molded Ring Binders"/>
    <n v="99.695999999999998"/>
    <n v="6"/>
    <n v="0.2"/>
    <n v="33.647399999999998"/>
  </r>
  <r>
    <n v="736"/>
    <x v="341"/>
    <x v="247"/>
    <x v="3"/>
    <d v="2018-09-30T00:00:00"/>
    <d v="2019-01-01T00:00:00"/>
    <s v="Standard Class"/>
    <s v="DS-13030"/>
    <s v="Darrin Sayre"/>
    <s v="Home Office"/>
    <s v="United States"/>
    <s v="Seattle"/>
    <x v="4"/>
    <n v="98115"/>
    <x v="1"/>
    <s v="OFF-BI-10003291"/>
    <x v="1"/>
    <s v="Binders"/>
    <s v="Wilson Jones Leather-Like Binders with DublLock Round Rings"/>
    <n v="27.936"/>
    <n v="4"/>
    <n v="0.2"/>
    <n v="9.4283999999999999"/>
  </r>
  <r>
    <n v="737"/>
    <x v="341"/>
    <x v="247"/>
    <x v="3"/>
    <d v="2018-09-30T00:00:00"/>
    <d v="2019-01-01T00:00:00"/>
    <s v="Standard Class"/>
    <s v="DS-13030"/>
    <s v="Darrin Sayre"/>
    <s v="Home Office"/>
    <s v="United States"/>
    <s v="Seattle"/>
    <x v="4"/>
    <n v="98115"/>
    <x v="1"/>
    <s v="FUR-BO-10001619"/>
    <x v="0"/>
    <s v="Bookcases"/>
    <s v="O'Sullivan Cherrywood Estates Traditional Bookcase"/>
    <n v="84.98"/>
    <n v="1"/>
    <n v="0"/>
    <n v="18.695599999999999"/>
  </r>
  <r>
    <n v="738"/>
    <x v="341"/>
    <x v="247"/>
    <x v="3"/>
    <d v="2018-09-30T00:00:00"/>
    <d v="2019-01-01T00:00:00"/>
    <s v="Standard Class"/>
    <s v="DS-13030"/>
    <s v="Darrin Sayre"/>
    <s v="Home Office"/>
    <s v="United States"/>
    <s v="Seattle"/>
    <x v="4"/>
    <n v="98115"/>
    <x v="1"/>
    <s v="OFF-BI-10000138"/>
    <x v="1"/>
    <s v="Binders"/>
    <s v="Acco Translucent Poly Ring Binders"/>
    <n v="18.72"/>
    <n v="5"/>
    <n v="0.2"/>
    <n v="6.5519999999999996"/>
  </r>
  <r>
    <n v="739"/>
    <x v="342"/>
    <x v="77"/>
    <x v="0"/>
    <d v="2014-08-31T00:00:00"/>
    <d v="2014-12-09T00:00:00"/>
    <s v="Standard Class"/>
    <s v="GZ-14470"/>
    <s v="Gary Zandusky"/>
    <s v="Consumer"/>
    <s v="United States"/>
    <s v="San Francisco"/>
    <x v="1"/>
    <n v="94110"/>
    <x v="1"/>
    <s v="TEC-AC-10001383"/>
    <x v="2"/>
    <s v="Accessories"/>
    <s v="Logitech Wireless Touch Keyboard K400"/>
    <n v="49.98"/>
    <n v="2"/>
    <n v="0"/>
    <n v="8.4966000000000008"/>
  </r>
  <r>
    <n v="740"/>
    <x v="343"/>
    <x v="248"/>
    <x v="8"/>
    <d v="2014-04-30T00:00:00"/>
    <d v="2014-08-01T00:00:00"/>
    <s v="Standard Class"/>
    <s v="PO-19195"/>
    <s v="Phillina Ober"/>
    <s v="Home Office"/>
    <s v="United States"/>
    <s v="Naperville"/>
    <x v="10"/>
    <n v="60540"/>
    <x v="2"/>
    <s v="OFF-LA-10003223"/>
    <x v="1"/>
    <s v="Labels"/>
    <s v="Avery 508"/>
    <n v="11.784000000000001"/>
    <n v="3"/>
    <n v="0.2"/>
    <n v="4.2717000000000001"/>
  </r>
  <r>
    <n v="741"/>
    <x v="343"/>
    <x v="248"/>
    <x v="8"/>
    <d v="2014-04-30T00:00:00"/>
    <d v="2014-08-01T00:00:00"/>
    <s v="Standard Class"/>
    <s v="PO-19195"/>
    <s v="Phillina Ober"/>
    <s v="Home Office"/>
    <s v="United States"/>
    <s v="Naperville"/>
    <x v="10"/>
    <n v="60540"/>
    <x v="2"/>
    <s v="OFF-ST-10002743"/>
    <x v="1"/>
    <s v="Storage"/>
    <s v="SAFCO Boltless Steel Shelving"/>
    <n v="272.73599999999999"/>
    <n v="3"/>
    <n v="0.2"/>
    <n v="-64.774799999999999"/>
  </r>
  <r>
    <n v="742"/>
    <x v="343"/>
    <x v="248"/>
    <x v="8"/>
    <d v="2014-04-30T00:00:00"/>
    <d v="2014-08-01T00:00:00"/>
    <s v="Standard Class"/>
    <s v="PO-19195"/>
    <s v="Phillina Ober"/>
    <s v="Home Office"/>
    <s v="United States"/>
    <s v="Naperville"/>
    <x v="10"/>
    <n v="60540"/>
    <x v="2"/>
    <s v="OFF-BI-10004094"/>
    <x v="1"/>
    <s v="Binders"/>
    <s v="GBC Standard Plastic Binding Systems Combs"/>
    <n v="3.54"/>
    <n v="2"/>
    <n v="0.8"/>
    <n v="-5.4870000000000001"/>
  </r>
  <r>
    <n v="743"/>
    <x v="344"/>
    <x v="249"/>
    <x v="4"/>
    <d v="2018-03-31T00:00:00"/>
    <d v="2016-01-09T00:00:00"/>
    <s v="Standard Class"/>
    <s v="SS-20875"/>
    <s v="Sung Shariari"/>
    <s v="Consumer"/>
    <s v="United States"/>
    <s v="Dallas"/>
    <x v="5"/>
    <n v="75220"/>
    <x v="2"/>
    <s v="OFF-SU-10004498"/>
    <x v="1"/>
    <s v="Supplies"/>
    <s v="Martin-Yale Premier Letter Opener"/>
    <n v="51.52"/>
    <n v="5"/>
    <n v="0.2"/>
    <n v="-10.948"/>
  </r>
  <r>
    <n v="744"/>
    <x v="344"/>
    <x v="249"/>
    <x v="4"/>
    <d v="2018-03-31T00:00:00"/>
    <d v="2016-01-09T00:00:00"/>
    <s v="Standard Class"/>
    <s v="SS-20875"/>
    <s v="Sung Shariari"/>
    <s v="Consumer"/>
    <s v="United States"/>
    <s v="Dallas"/>
    <x v="5"/>
    <n v="75220"/>
    <x v="2"/>
    <s v="OFF-PA-10002615"/>
    <x v="1"/>
    <s v="Paper"/>
    <s v="Ampad Gold Fibre Wirebound Steno Books, 6&quot; x 9&quot;, Gregg Ruled"/>
    <n v="3.528"/>
    <n v="1"/>
    <n v="0.2"/>
    <n v="1.1466000000000001"/>
  </r>
  <r>
    <n v="745"/>
    <x v="344"/>
    <x v="249"/>
    <x v="4"/>
    <d v="2018-03-31T00:00:00"/>
    <d v="2016-01-09T00:00:00"/>
    <s v="Standard Class"/>
    <s v="SS-20875"/>
    <s v="Sung Shariari"/>
    <s v="Consumer"/>
    <s v="United States"/>
    <s v="Dallas"/>
    <x v="5"/>
    <n v="75220"/>
    <x v="2"/>
    <s v="OFF-PA-10004971"/>
    <x v="1"/>
    <s v="Paper"/>
    <s v="Xerox 196"/>
    <n v="4.6239999999999997"/>
    <n v="1"/>
    <n v="0.2"/>
    <n v="1.6761999999999999"/>
  </r>
  <r>
    <n v="746"/>
    <x v="344"/>
    <x v="249"/>
    <x v="4"/>
    <d v="2018-03-31T00:00:00"/>
    <d v="2016-01-09T00:00:00"/>
    <s v="Standard Class"/>
    <s v="SS-20875"/>
    <s v="Sung Shariari"/>
    <s v="Consumer"/>
    <s v="United States"/>
    <s v="Dallas"/>
    <x v="5"/>
    <n v="75220"/>
    <x v="2"/>
    <s v="OFF-SU-10004261"/>
    <x v="1"/>
    <s v="Supplies"/>
    <s v="Fiskars 8&quot; Scissors, 2/Pack"/>
    <n v="55.167999999999999"/>
    <n v="4"/>
    <n v="0.2"/>
    <n v="6.2064000000000004"/>
  </r>
  <r>
    <n v="747"/>
    <x v="345"/>
    <x v="250"/>
    <x v="4"/>
    <d v="2016-03-31T00:00:00"/>
    <d v="2016-03-05T00:00:00"/>
    <s v="Same Day"/>
    <s v="MH-17785"/>
    <s v="Maya Herman"/>
    <s v="Corporate"/>
    <s v="United States"/>
    <s v="San Diego"/>
    <x v="1"/>
    <n v="92105"/>
    <x v="1"/>
    <s v="FUR-TA-10002607"/>
    <x v="0"/>
    <s v="Tables"/>
    <s v="KI Conference Tables"/>
    <n v="567.12"/>
    <n v="10"/>
    <n v="0.2"/>
    <n v="-28.356000000000002"/>
  </r>
  <r>
    <n v="748"/>
    <x v="345"/>
    <x v="250"/>
    <x v="4"/>
    <d v="2016-03-31T00:00:00"/>
    <d v="2016-03-05T00:00:00"/>
    <s v="Same Day"/>
    <s v="MH-17785"/>
    <s v="Maya Herman"/>
    <s v="Corporate"/>
    <s v="United States"/>
    <s v="San Diego"/>
    <x v="1"/>
    <n v="92105"/>
    <x v="1"/>
    <s v="OFF-ST-10001809"/>
    <x v="1"/>
    <s v="Storage"/>
    <s v="Fellowes Officeware Wire Shelving"/>
    <n v="359.32"/>
    <n v="4"/>
    <n v="0"/>
    <n v="7.1863999999999999"/>
  </r>
  <r>
    <n v="749"/>
    <x v="346"/>
    <x v="137"/>
    <x v="0"/>
    <d v="2017-08-31T00:00:00"/>
    <d v="2017-10-03T00:00:00"/>
    <s v="Second Class"/>
    <s v="PB-19105"/>
    <s v="Peter Bühler"/>
    <s v="Consumer"/>
    <s v="United States"/>
    <s v="Evanston"/>
    <x v="10"/>
    <n v="60201"/>
    <x v="2"/>
    <s v="TEC-PH-10000004"/>
    <x v="2"/>
    <s v="Phones"/>
    <s v="Belkin iPhone and iPad Lightning Cable"/>
    <n v="11.992000000000001"/>
    <n v="1"/>
    <n v="0.2"/>
    <n v="0.89939999999999998"/>
  </r>
  <r>
    <n v="750"/>
    <x v="347"/>
    <x v="251"/>
    <x v="11"/>
    <d v="2017-02-28T00:00:00"/>
    <d v="2017-06-10T00:00:00"/>
    <s v="Standard Class"/>
    <s v="RF-19735"/>
    <s v="Roland Fjeld"/>
    <s v="Consumer"/>
    <s v="United States"/>
    <s v="Trenton"/>
    <x v="12"/>
    <n v="48183"/>
    <x v="2"/>
    <s v="OFF-BI-10003638"/>
    <x v="1"/>
    <s v="Binders"/>
    <s v="GBC Durable Plastic Covers"/>
    <n v="58.05"/>
    <n v="3"/>
    <n v="0"/>
    <n v="26.702999999999999"/>
  </r>
  <r>
    <n v="751"/>
    <x v="347"/>
    <x v="251"/>
    <x v="11"/>
    <d v="2017-02-28T00:00:00"/>
    <d v="2017-06-10T00:00:00"/>
    <s v="Standard Class"/>
    <s v="RF-19735"/>
    <s v="Roland Fjeld"/>
    <s v="Consumer"/>
    <s v="United States"/>
    <s v="Trenton"/>
    <x v="12"/>
    <n v="48183"/>
    <x v="2"/>
    <s v="FUR-FU-10003577"/>
    <x v="0"/>
    <s v="Furnishings"/>
    <s v="Nu-Dell Leatherette Frames"/>
    <n v="157.74"/>
    <n v="11"/>
    <n v="0"/>
    <n v="56.7864"/>
  </r>
  <r>
    <n v="752"/>
    <x v="347"/>
    <x v="251"/>
    <x v="11"/>
    <d v="2017-02-28T00:00:00"/>
    <d v="2017-06-10T00:00:00"/>
    <s v="Standard Class"/>
    <s v="RF-19735"/>
    <s v="Roland Fjeld"/>
    <s v="Consumer"/>
    <s v="United States"/>
    <s v="Trenton"/>
    <x v="12"/>
    <n v="48183"/>
    <x v="2"/>
    <s v="OFF-AR-10003478"/>
    <x v="1"/>
    <s v="Art"/>
    <s v="Avery Hi-Liter EverBold Pen Style Fluorescent Highlighters, 4/Pack"/>
    <n v="56.98"/>
    <n v="7"/>
    <n v="0"/>
    <n v="22.792000000000002"/>
  </r>
  <r>
    <n v="753"/>
    <x v="347"/>
    <x v="251"/>
    <x v="11"/>
    <d v="2017-02-28T00:00:00"/>
    <d v="2017-06-10T00:00:00"/>
    <s v="Standard Class"/>
    <s v="RF-19735"/>
    <s v="Roland Fjeld"/>
    <s v="Consumer"/>
    <s v="United States"/>
    <s v="Trenton"/>
    <x v="12"/>
    <n v="48183"/>
    <x v="2"/>
    <s v="OFF-BI-10000546"/>
    <x v="1"/>
    <s v="Binders"/>
    <s v="Avery Durable Binders"/>
    <n v="2.88"/>
    <n v="1"/>
    <n v="0"/>
    <n v="1.4112"/>
  </r>
  <r>
    <n v="754"/>
    <x v="348"/>
    <x v="252"/>
    <x v="9"/>
    <d v="2016-07-31T00:00:00"/>
    <d v="2016-09-04T00:00:00"/>
    <s v="First Class"/>
    <s v="YC-21895"/>
    <s v="Yoseph Carroll"/>
    <s v="Corporate"/>
    <s v="United States"/>
    <s v="San Francisco"/>
    <x v="1"/>
    <n v="94110"/>
    <x v="1"/>
    <s v="TEC-CO-10002095"/>
    <x v="2"/>
    <s v="Copiers"/>
    <s v="Hewlett Packard 610 Color Digital Copier / Printer"/>
    <n v="1199.9760000000001"/>
    <n v="3"/>
    <n v="0.2"/>
    <n v="374.99250000000001"/>
  </r>
  <r>
    <n v="755"/>
    <x v="349"/>
    <x v="163"/>
    <x v="9"/>
    <d v="2015-07-31T00:00:00"/>
    <d v="2015-12-12T00:00:00"/>
    <s v="Standard Class"/>
    <s v="MS-17830"/>
    <s v="Melanie Seite"/>
    <s v="Consumer"/>
    <s v="United States"/>
    <s v="Los Angeles"/>
    <x v="1"/>
    <n v="90036"/>
    <x v="1"/>
    <s v="FUR-FU-10002759"/>
    <x v="0"/>
    <s v="Furnishings"/>
    <s v="12-1/2 Diameter Round Wall Clock"/>
    <n v="79.92"/>
    <n v="4"/>
    <n v="0"/>
    <n v="28.7712"/>
  </r>
  <r>
    <n v="756"/>
    <x v="350"/>
    <x v="31"/>
    <x v="10"/>
    <d v="2017-06-30T00:00:00"/>
    <d v="2017-10-09T00:00:00"/>
    <s v="Standard Class"/>
    <s v="NB-18655"/>
    <s v="Nona Balk"/>
    <s v="Corporate"/>
    <s v="United States"/>
    <s v="Jacksonville"/>
    <x v="2"/>
    <n v="32216"/>
    <x v="0"/>
    <s v="FUR-TA-10001095"/>
    <x v="0"/>
    <s v="Tables"/>
    <s v="Chromcraft Round Conference Tables"/>
    <n v="383.43799999999999"/>
    <n v="4"/>
    <n v="0.45"/>
    <n v="-167.3184"/>
  </r>
  <r>
    <n v="757"/>
    <x v="351"/>
    <x v="5"/>
    <x v="5"/>
    <d v="2016-05-31T00:00:00"/>
    <d v="2015-02-01T00:00:00"/>
    <s v="Standard Class"/>
    <s v="DC-13285"/>
    <s v="Debra Catini"/>
    <s v="Consumer"/>
    <s v="United States"/>
    <s v="Cottage Grove"/>
    <x v="11"/>
    <n v="55016"/>
    <x v="2"/>
    <s v="OFF-ST-10002444"/>
    <x v="1"/>
    <s v="Storage"/>
    <s v="Recycled Eldon Regeneration Jumbo File"/>
    <n v="24.56"/>
    <n v="2"/>
    <n v="0"/>
    <n v="6.8768000000000002"/>
  </r>
  <r>
    <n v="758"/>
    <x v="351"/>
    <x v="5"/>
    <x v="5"/>
    <d v="2016-05-31T00:00:00"/>
    <d v="2015-02-01T00:00:00"/>
    <s v="Standard Class"/>
    <s v="DC-13285"/>
    <s v="Debra Catini"/>
    <s v="Consumer"/>
    <s v="United States"/>
    <s v="Cottage Grove"/>
    <x v="11"/>
    <n v="55016"/>
    <x v="2"/>
    <s v="TEC-AC-10001267"/>
    <x v="2"/>
    <s v="Accessories"/>
    <s v="Imation 32GB Pocket Pro USB 3.0 Flash Drive - 32 GB - Black - 1 P ..."/>
    <n v="119.8"/>
    <n v="4"/>
    <n v="0"/>
    <n v="47.92"/>
  </r>
  <r>
    <n v="759"/>
    <x v="352"/>
    <x v="253"/>
    <x v="2"/>
    <d v="2018-11-30T00:00:00"/>
    <d v="2019-04-07T00:00:00"/>
    <s v="Standard Class"/>
    <s v="CP-12340"/>
    <s v="Christine Phan"/>
    <s v="Corporate"/>
    <s v="United States"/>
    <s v="New York City"/>
    <x v="15"/>
    <n v="10009"/>
    <x v="3"/>
    <s v="OFF-BI-10000848"/>
    <x v="1"/>
    <s v="Binders"/>
    <s v="Angle-D Ring Binders"/>
    <n v="13.128"/>
    <n v="3"/>
    <n v="0.2"/>
    <n v="4.2666000000000004"/>
  </r>
  <r>
    <n v="760"/>
    <x v="353"/>
    <x v="64"/>
    <x v="10"/>
    <d v="2018-06-30T00:00:00"/>
    <d v="2018-10-09T00:00:00"/>
    <s v="Standard Class"/>
    <s v="BF-11020"/>
    <s v="Barry Französisch"/>
    <s v="Corporate"/>
    <s v="United States"/>
    <s v="Green Bay"/>
    <x v="6"/>
    <n v="54302"/>
    <x v="2"/>
    <s v="OFF-PA-10002377"/>
    <x v="1"/>
    <s v="Paper"/>
    <s v="Adams Telephone Message Book W/Dividers/Space For Phone Numbers, 5 1/4&quot;X8 1/2&quot;, 200/Messages"/>
    <n v="22.72"/>
    <n v="4"/>
    <n v="0"/>
    <n v="10.224"/>
  </r>
  <r>
    <n v="761"/>
    <x v="354"/>
    <x v="254"/>
    <x v="9"/>
    <d v="2017-07-31T00:00:00"/>
    <d v="2015-05-09T00:00:00"/>
    <s v="Standard Class"/>
    <s v="AR-10510"/>
    <s v="Andrew Roberts"/>
    <s v="Consumer"/>
    <s v="United States"/>
    <s v="Los Angeles"/>
    <x v="1"/>
    <n v="90004"/>
    <x v="1"/>
    <s v="OFF-PA-10003441"/>
    <x v="1"/>
    <s v="Paper"/>
    <s v="Xerox 226"/>
    <n v="58.32"/>
    <n v="9"/>
    <n v="0"/>
    <n v="27.993600000000001"/>
  </r>
  <r>
    <n v="762"/>
    <x v="355"/>
    <x v="127"/>
    <x v="4"/>
    <d v="2017-03-31T00:00:00"/>
    <d v="2017-07-11T00:00:00"/>
    <s v="Standard Class"/>
    <s v="JC-16105"/>
    <s v="Julie Creighton"/>
    <s v="Corporate"/>
    <s v="United States"/>
    <s v="Atlanta"/>
    <x v="32"/>
    <n v="30318"/>
    <x v="0"/>
    <s v="OFF-LA-10004484"/>
    <x v="1"/>
    <s v="Labels"/>
    <s v="Avery 476"/>
    <n v="12.39"/>
    <n v="3"/>
    <n v="0"/>
    <n v="5.6993999999999998"/>
  </r>
  <r>
    <n v="763"/>
    <x v="356"/>
    <x v="255"/>
    <x v="0"/>
    <d v="2015-08-31T00:00:00"/>
    <d v="2016-01-02T00:00:00"/>
    <s v="Standard Class"/>
    <s v="LH-17020"/>
    <s v="Lisa Hazard"/>
    <s v="Consumer"/>
    <s v="United States"/>
    <s v="Columbus"/>
    <x v="24"/>
    <n v="43229"/>
    <x v="3"/>
    <s v="TEC-PH-10003931"/>
    <x v="2"/>
    <s v="Phones"/>
    <s v="JBL Micro Wireless Portable Bluetooth Speaker"/>
    <n v="107.982"/>
    <n v="3"/>
    <n v="0.4"/>
    <n v="-26.9955"/>
  </r>
  <r>
    <n v="764"/>
    <x v="357"/>
    <x v="256"/>
    <x v="7"/>
    <d v="2015-01-31T00:00:00"/>
    <d v="2015-03-01T00:00:00"/>
    <s v="Second Class"/>
    <s v="CS-12250"/>
    <s v="Chris Selesnick"/>
    <s v="Corporate"/>
    <s v="United States"/>
    <s v="Bossier City"/>
    <x v="28"/>
    <n v="71111"/>
    <x v="0"/>
    <s v="OFF-EN-10001990"/>
    <x v="1"/>
    <s v="Envelopes"/>
    <s v="Staple envelope"/>
    <n v="11.36"/>
    <n v="2"/>
    <n v="0"/>
    <n v="5.3391999999999999"/>
  </r>
  <r>
    <n v="765"/>
    <x v="357"/>
    <x v="256"/>
    <x v="7"/>
    <d v="2015-01-31T00:00:00"/>
    <d v="2015-03-01T00:00:00"/>
    <s v="Second Class"/>
    <s v="CS-12250"/>
    <s v="Chris Selesnick"/>
    <s v="Corporate"/>
    <s v="United States"/>
    <s v="Bossier City"/>
    <x v="28"/>
    <n v="71111"/>
    <x v="0"/>
    <s v="OFF-EN-10001532"/>
    <x v="1"/>
    <s v="Envelopes"/>
    <s v="Brown Kraft Recycled Envelopes"/>
    <n v="50.94"/>
    <n v="3"/>
    <n v="0"/>
    <n v="25.47"/>
  </r>
  <r>
    <n v="766"/>
    <x v="357"/>
    <x v="256"/>
    <x v="7"/>
    <d v="2015-01-31T00:00:00"/>
    <d v="2015-03-01T00:00:00"/>
    <s v="Second Class"/>
    <s v="CS-12250"/>
    <s v="Chris Selesnick"/>
    <s v="Corporate"/>
    <s v="United States"/>
    <s v="Bossier City"/>
    <x v="28"/>
    <n v="71111"/>
    <x v="0"/>
    <s v="TEC-AC-10003174"/>
    <x v="2"/>
    <s v="Accessories"/>
    <s v="Plantronics S12 Corded Telephone Headset System"/>
    <n v="646.74"/>
    <n v="6"/>
    <n v="0"/>
    <n v="258.69600000000003"/>
  </r>
  <r>
    <n v="767"/>
    <x v="357"/>
    <x v="256"/>
    <x v="7"/>
    <d v="2015-01-31T00:00:00"/>
    <d v="2015-03-01T00:00:00"/>
    <s v="Second Class"/>
    <s v="CS-12250"/>
    <s v="Chris Selesnick"/>
    <s v="Corporate"/>
    <s v="United States"/>
    <s v="Bossier City"/>
    <x v="28"/>
    <n v="71111"/>
    <x v="0"/>
    <s v="OFF-BI-10004187"/>
    <x v="1"/>
    <s v="Binders"/>
    <s v="3-ring staple pack"/>
    <n v="5.64"/>
    <n v="3"/>
    <n v="0"/>
    <n v="2.7071999999999998"/>
  </r>
  <r>
    <n v="768"/>
    <x v="357"/>
    <x v="256"/>
    <x v="7"/>
    <d v="2015-01-31T00:00:00"/>
    <d v="2015-03-01T00:00:00"/>
    <s v="Second Class"/>
    <s v="CS-12250"/>
    <s v="Chris Selesnick"/>
    <s v="Corporate"/>
    <s v="United States"/>
    <s v="Bossier City"/>
    <x v="28"/>
    <n v="71111"/>
    <x v="0"/>
    <s v="OFF-ST-10000025"/>
    <x v="1"/>
    <s v="Storage"/>
    <s v="Fellowes Stor/Drawer Steel Plus Storage Drawers"/>
    <n v="572.58000000000004"/>
    <n v="6"/>
    <n v="0"/>
    <n v="34.354799999999997"/>
  </r>
  <r>
    <n v="769"/>
    <x v="358"/>
    <x v="257"/>
    <x v="11"/>
    <d v="2015-02-28T00:00:00"/>
    <d v="2015-08-05T00:00:00"/>
    <s v="Standard Class"/>
    <s v="AJ-10795"/>
    <s v="Anthony Johnson"/>
    <s v="Corporate"/>
    <s v="United States"/>
    <s v="Saint Petersburg"/>
    <x v="2"/>
    <n v="33710"/>
    <x v="0"/>
    <s v="FUR-FU-10004306"/>
    <x v="0"/>
    <s v="Furnishings"/>
    <s v="Electrix Halogen Magnifier Lamp"/>
    <n v="310.88"/>
    <n v="2"/>
    <n v="0.2"/>
    <n v="23.315999999999999"/>
  </r>
  <r>
    <n v="770"/>
    <x v="359"/>
    <x v="69"/>
    <x v="9"/>
    <d v="2017-07-31T00:00:00"/>
    <d v="2017-12-05T00:00:00"/>
    <s v="Standard Class"/>
    <s v="LE-16810"/>
    <s v="Laurel Elliston"/>
    <s v="Consumer"/>
    <s v="United States"/>
    <s v="Arlington"/>
    <x v="17"/>
    <n v="22204"/>
    <x v="0"/>
    <s v="FUR-CH-10003746"/>
    <x v="0"/>
    <s v="Chairs"/>
    <s v="Hon 4070 Series Pagoda Round Back Stacking Chairs"/>
    <n v="641.96"/>
    <n v="2"/>
    <n v="0"/>
    <n v="179.74879999999999"/>
  </r>
  <r>
    <n v="771"/>
    <x v="360"/>
    <x v="258"/>
    <x v="10"/>
    <d v="2019-06-30T00:00:00"/>
    <d v="2017-05-02T00:00:00"/>
    <s v="Standard Class"/>
    <s v="BV-11245"/>
    <s v="Benjamin Venier"/>
    <s v="Corporate"/>
    <s v="United States"/>
    <s v="Des Moines"/>
    <x v="23"/>
    <n v="50315"/>
    <x v="2"/>
    <s v="OFF-BI-10001036"/>
    <x v="1"/>
    <s v="Binders"/>
    <s v="Cardinal EasyOpen D-Ring Binders"/>
    <n v="18.28"/>
    <n v="2"/>
    <n v="0"/>
    <n v="9.14"/>
  </r>
  <r>
    <n v="772"/>
    <x v="360"/>
    <x v="258"/>
    <x v="10"/>
    <d v="2019-06-30T00:00:00"/>
    <d v="2017-05-02T00:00:00"/>
    <s v="Standard Class"/>
    <s v="BV-11245"/>
    <s v="Benjamin Venier"/>
    <s v="Corporate"/>
    <s v="United States"/>
    <s v="Des Moines"/>
    <x v="23"/>
    <n v="50315"/>
    <x v="2"/>
    <s v="TEC-PH-10004614"/>
    <x v="2"/>
    <s v="Phones"/>
    <s v="AT&amp;T 841000 Phone"/>
    <n v="207"/>
    <n v="3"/>
    <n v="0"/>
    <n v="51.75"/>
  </r>
  <r>
    <n v="773"/>
    <x v="360"/>
    <x v="258"/>
    <x v="10"/>
    <d v="2019-06-30T00:00:00"/>
    <d v="2017-05-02T00:00:00"/>
    <s v="Standard Class"/>
    <s v="BV-11245"/>
    <s v="Benjamin Venier"/>
    <s v="Corporate"/>
    <s v="United States"/>
    <s v="Des Moines"/>
    <x v="23"/>
    <n v="50315"/>
    <x v="2"/>
    <s v="OFF-BI-10000301"/>
    <x v="1"/>
    <s v="Binders"/>
    <s v="GBC Instant Report Kit"/>
    <n v="32.35"/>
    <n v="5"/>
    <n v="0"/>
    <n v="16.175000000000001"/>
  </r>
  <r>
    <n v="774"/>
    <x v="360"/>
    <x v="258"/>
    <x v="10"/>
    <d v="2019-06-30T00:00:00"/>
    <d v="2017-05-02T00:00:00"/>
    <s v="Standard Class"/>
    <s v="BV-11245"/>
    <s v="Benjamin Venier"/>
    <s v="Corporate"/>
    <s v="United States"/>
    <s v="Des Moines"/>
    <x v="23"/>
    <n v="50315"/>
    <x v="2"/>
    <s v="OFF-BI-10003910"/>
    <x v="1"/>
    <s v="Binders"/>
    <s v="DXL Angle-View Binders with Locking Rings by Samsill"/>
    <n v="7.71"/>
    <n v="1"/>
    <n v="0"/>
    <n v="3.4695"/>
  </r>
  <r>
    <n v="775"/>
    <x v="360"/>
    <x v="258"/>
    <x v="10"/>
    <d v="2019-06-30T00:00:00"/>
    <d v="2017-05-02T00:00:00"/>
    <s v="Standard Class"/>
    <s v="BV-11245"/>
    <s v="Benjamin Venier"/>
    <s v="Corporate"/>
    <s v="United States"/>
    <s v="Des Moines"/>
    <x v="23"/>
    <n v="50315"/>
    <x v="2"/>
    <s v="OFF-AR-10004648"/>
    <x v="1"/>
    <s v="Art"/>
    <s v="Boston 19500 Mighty Mite Electric Pencil Sharpener"/>
    <n v="40.299999999999997"/>
    <n v="2"/>
    <n v="0"/>
    <n v="10.881"/>
  </r>
  <r>
    <n v="776"/>
    <x v="360"/>
    <x v="258"/>
    <x v="10"/>
    <d v="2019-06-30T00:00:00"/>
    <d v="2017-05-02T00:00:00"/>
    <s v="Standard Class"/>
    <s v="BV-11245"/>
    <s v="Benjamin Venier"/>
    <s v="Corporate"/>
    <s v="United States"/>
    <s v="Des Moines"/>
    <x v="23"/>
    <n v="50315"/>
    <x v="2"/>
    <s v="FUR-FU-10002597"/>
    <x v="0"/>
    <s v="Furnishings"/>
    <s v="C-Line Magnetic Cubicle Keepers, Clear Polypropylene"/>
    <n v="34.58"/>
    <n v="7"/>
    <n v="0"/>
    <n v="14.5236"/>
  </r>
  <r>
    <n v="777"/>
    <x v="361"/>
    <x v="259"/>
    <x v="5"/>
    <d v="2016-05-31T00:00:00"/>
    <d v="2014-06-07T00:00:00"/>
    <s v="Standard Class"/>
    <s v="DL-12865"/>
    <s v="Dan Lawera"/>
    <s v="Consumer"/>
    <s v="United States"/>
    <s v="Cincinnati"/>
    <x v="24"/>
    <n v="45231"/>
    <x v="3"/>
    <s v="OFF-AR-10003405"/>
    <x v="1"/>
    <s v="Art"/>
    <s v="Dixon My First Ticonderoga Pencil, #2"/>
    <n v="32.76"/>
    <n v="7"/>
    <n v="0.2"/>
    <n v="3.6855000000000002"/>
  </r>
  <r>
    <n v="778"/>
    <x v="362"/>
    <x v="260"/>
    <x v="3"/>
    <d v="2016-09-30T00:00:00"/>
    <d v="2016-11-08T00:00:00"/>
    <s v="First Class"/>
    <s v="NZ-18565"/>
    <s v="Nick Zandusky"/>
    <s v="Home Office"/>
    <s v="United States"/>
    <s v="San Francisco"/>
    <x v="1"/>
    <n v="94110"/>
    <x v="1"/>
    <s v="FUR-CH-10002335"/>
    <x v="0"/>
    <s v="Chairs"/>
    <s v="Hon GuestStacker Chair"/>
    <n v="544.00800000000004"/>
    <n v="3"/>
    <n v="0.2"/>
    <n v="40.800600000000003"/>
  </r>
  <r>
    <n v="779"/>
    <x v="362"/>
    <x v="260"/>
    <x v="3"/>
    <d v="2016-09-30T00:00:00"/>
    <d v="2016-11-08T00:00:00"/>
    <s v="First Class"/>
    <s v="NZ-18565"/>
    <s v="Nick Zandusky"/>
    <s v="Home Office"/>
    <s v="United States"/>
    <s v="San Francisco"/>
    <x v="1"/>
    <n v="94110"/>
    <x v="1"/>
    <s v="OFF-PA-10000157"/>
    <x v="1"/>
    <s v="Paper"/>
    <s v="Xerox 191"/>
    <n v="59.94"/>
    <n v="3"/>
    <n v="0"/>
    <n v="28.171800000000001"/>
  </r>
  <r>
    <n v="780"/>
    <x v="362"/>
    <x v="260"/>
    <x v="3"/>
    <d v="2016-09-30T00:00:00"/>
    <d v="2016-11-08T00:00:00"/>
    <s v="First Class"/>
    <s v="NZ-18565"/>
    <s v="Nick Zandusky"/>
    <s v="Home Office"/>
    <s v="United States"/>
    <s v="San Francisco"/>
    <x v="1"/>
    <n v="94110"/>
    <x v="1"/>
    <s v="OFF-PA-10001947"/>
    <x v="1"/>
    <s v="Paper"/>
    <s v="Xerox 1974"/>
    <n v="23.92"/>
    <n v="4"/>
    <n v="0"/>
    <n v="11.720800000000001"/>
  </r>
  <r>
    <n v="781"/>
    <x v="362"/>
    <x v="260"/>
    <x v="3"/>
    <d v="2016-09-30T00:00:00"/>
    <d v="2016-11-08T00:00:00"/>
    <s v="First Class"/>
    <s v="NZ-18565"/>
    <s v="Nick Zandusky"/>
    <s v="Home Office"/>
    <s v="United States"/>
    <s v="San Francisco"/>
    <x v="1"/>
    <n v="94110"/>
    <x v="1"/>
    <s v="OFF-PA-10003657"/>
    <x v="1"/>
    <s v="Paper"/>
    <s v="Xerox 1927"/>
    <n v="4.28"/>
    <n v="1"/>
    <n v="0"/>
    <n v="1.9259999999999999"/>
  </r>
  <r>
    <n v="782"/>
    <x v="363"/>
    <x v="261"/>
    <x v="4"/>
    <d v="2015-03-31T00:00:00"/>
    <d v="2015-06-10T00:00:00"/>
    <s v="Second Class"/>
    <s v="BM-11785"/>
    <s v="Bryan Mills"/>
    <s v="Consumer"/>
    <s v="United States"/>
    <s v="Columbus"/>
    <x v="24"/>
    <n v="43229"/>
    <x v="3"/>
    <s v="OFF-BI-10001098"/>
    <x v="1"/>
    <s v="Binders"/>
    <s v="Acco D-Ring Binder w/DublLock"/>
    <n v="32.07"/>
    <n v="5"/>
    <n v="0.7"/>
    <n v="-22.449000000000002"/>
  </r>
  <r>
    <n v="783"/>
    <x v="363"/>
    <x v="261"/>
    <x v="4"/>
    <d v="2015-03-31T00:00:00"/>
    <d v="2015-06-10T00:00:00"/>
    <s v="Second Class"/>
    <s v="BM-11785"/>
    <s v="Bryan Mills"/>
    <s v="Consumer"/>
    <s v="United States"/>
    <s v="Columbus"/>
    <x v="24"/>
    <n v="43229"/>
    <x v="3"/>
    <s v="TEC-AC-10002167"/>
    <x v="2"/>
    <s v="Accessories"/>
    <s v="Imation 8gb Micro Traveldrive Usb 2.0 Flash Drive"/>
    <n v="24"/>
    <n v="2"/>
    <n v="0.2"/>
    <n v="-2.7"/>
  </r>
  <r>
    <n v="784"/>
    <x v="363"/>
    <x v="261"/>
    <x v="4"/>
    <d v="2015-03-31T00:00:00"/>
    <d v="2015-06-10T00:00:00"/>
    <s v="Second Class"/>
    <s v="BM-11785"/>
    <s v="Bryan Mills"/>
    <s v="Consumer"/>
    <s v="United States"/>
    <s v="Columbus"/>
    <x v="24"/>
    <n v="43229"/>
    <x v="3"/>
    <s v="FUR-BO-10004409"/>
    <x v="0"/>
    <s v="Bookcases"/>
    <s v="Safco Value Mate Series Steel Bookcases, Baked Enamel Finish on Steel, Gray"/>
    <n v="35.49"/>
    <n v="1"/>
    <n v="0.5"/>
    <n v="-15.615600000000001"/>
  </r>
  <r>
    <n v="785"/>
    <x v="363"/>
    <x v="261"/>
    <x v="4"/>
    <d v="2015-03-31T00:00:00"/>
    <d v="2015-06-10T00:00:00"/>
    <s v="Second Class"/>
    <s v="BM-11785"/>
    <s v="Bryan Mills"/>
    <s v="Consumer"/>
    <s v="United States"/>
    <s v="Columbus"/>
    <x v="24"/>
    <n v="43229"/>
    <x v="3"/>
    <s v="TEC-AC-10000057"/>
    <x v="2"/>
    <s v="Accessories"/>
    <s v="Microsoft Natural Ergonomic Keyboard 4000"/>
    <n v="47.984000000000002"/>
    <n v="2"/>
    <n v="0.2"/>
    <n v="0.5998"/>
  </r>
  <r>
    <n v="786"/>
    <x v="364"/>
    <x v="73"/>
    <x v="2"/>
    <d v="2016-11-30T00:00:00"/>
    <d v="2017-04-05T00:00:00"/>
    <s v="Standard Class"/>
    <s v="EA-14035"/>
    <s v="Erin Ashbrook"/>
    <s v="Corporate"/>
    <s v="United States"/>
    <s v="Columbia"/>
    <x v="20"/>
    <n v="29203"/>
    <x v="0"/>
    <s v="OFF-EN-10000056"/>
    <x v="1"/>
    <s v="Envelopes"/>
    <s v="Cameo Buff Policy Envelopes"/>
    <n v="186.69"/>
    <n v="3"/>
    <n v="0"/>
    <n v="87.744299999999996"/>
  </r>
  <r>
    <n v="787"/>
    <x v="365"/>
    <x v="262"/>
    <x v="5"/>
    <d v="2018-05-31T00:00:00"/>
    <d v="2018-09-03T00:00:00"/>
    <s v="Second Class"/>
    <s v="CL-12565"/>
    <s v="Clay Ludtke"/>
    <s v="Consumer"/>
    <s v="United States"/>
    <s v="Lancaster"/>
    <x v="1"/>
    <n v="93534"/>
    <x v="1"/>
    <s v="OFF-BI-10000014"/>
    <x v="1"/>
    <s v="Binders"/>
    <s v="Heavy-Duty E-Z-D Binders"/>
    <n v="17.456"/>
    <n v="2"/>
    <n v="0.2"/>
    <n v="5.8914"/>
  </r>
  <r>
    <n v="788"/>
    <x v="366"/>
    <x v="154"/>
    <x v="1"/>
    <d v="2015-12-31T00:00:00"/>
    <d v="2016-04-12T00:00:00"/>
    <s v="Standard Class"/>
    <s v="LT-17110"/>
    <s v="Liz Thompson"/>
    <s v="Consumer"/>
    <s v="United States"/>
    <s v="Lancaster"/>
    <x v="1"/>
    <n v="93534"/>
    <x v="1"/>
    <s v="FUR-CH-10004675"/>
    <x v="0"/>
    <s v="Chairs"/>
    <s v="Lifetime Advantage Folding Chairs, 4/Carton"/>
    <n v="348.928"/>
    <n v="2"/>
    <n v="0.2"/>
    <n v="34.892800000000001"/>
  </r>
  <r>
    <n v="789"/>
    <x v="367"/>
    <x v="145"/>
    <x v="11"/>
    <d v="2017-02-28T00:00:00"/>
    <d v="2017-06-06T00:00:00"/>
    <s v="Standard Class"/>
    <s v="SA-20830"/>
    <s v="Sue Ann Reed"/>
    <s v="Consumer"/>
    <s v="United States"/>
    <s v="Richmond"/>
    <x v="17"/>
    <n v="23223"/>
    <x v="0"/>
    <s v="OFF-BI-10001543"/>
    <x v="1"/>
    <s v="Binders"/>
    <s v="GBC VeloBinder Manual Binding System"/>
    <n v="143.96"/>
    <n v="4"/>
    <n v="0"/>
    <n v="69.100800000000007"/>
  </r>
  <r>
    <n v="790"/>
    <x v="367"/>
    <x v="145"/>
    <x v="11"/>
    <d v="2017-02-28T00:00:00"/>
    <d v="2017-06-06T00:00:00"/>
    <s v="Standard Class"/>
    <s v="SA-20830"/>
    <s v="Sue Ann Reed"/>
    <s v="Consumer"/>
    <s v="United States"/>
    <s v="Richmond"/>
    <x v="17"/>
    <n v="23223"/>
    <x v="0"/>
    <s v="OFF-ST-10001321"/>
    <x v="1"/>
    <s v="Storage"/>
    <s v="Decoflex Hanging Personal Folder File, Blue"/>
    <n v="15.42"/>
    <n v="1"/>
    <n v="0"/>
    <n v="4.1634000000000002"/>
  </r>
  <r>
    <n v="791"/>
    <x v="367"/>
    <x v="145"/>
    <x v="11"/>
    <d v="2017-02-28T00:00:00"/>
    <d v="2017-06-06T00:00:00"/>
    <s v="Standard Class"/>
    <s v="SA-20830"/>
    <s v="Sue Ann Reed"/>
    <s v="Consumer"/>
    <s v="United States"/>
    <s v="Richmond"/>
    <x v="17"/>
    <n v="23223"/>
    <x v="0"/>
    <s v="OFF-BI-10001132"/>
    <x v="1"/>
    <s v="Binders"/>
    <s v="Acco PRESSTEX Data Binder with Storage Hooks, Dark Blue, 9 1/2&quot; X 11&quot;"/>
    <n v="43.04"/>
    <n v="8"/>
    <n v="0"/>
    <n v="21.089600000000001"/>
  </r>
  <r>
    <n v="792"/>
    <x v="367"/>
    <x v="145"/>
    <x v="11"/>
    <d v="2017-02-28T00:00:00"/>
    <d v="2017-06-06T00:00:00"/>
    <s v="Standard Class"/>
    <s v="SA-20830"/>
    <s v="Sue Ann Reed"/>
    <s v="Consumer"/>
    <s v="United States"/>
    <s v="Richmond"/>
    <x v="17"/>
    <n v="23223"/>
    <x v="0"/>
    <s v="FUR-CH-10003199"/>
    <x v="0"/>
    <s v="Chairs"/>
    <s v="Office Star - Contemporary Task Swivel Chair"/>
    <n v="332.94"/>
    <n v="3"/>
    <n v="0"/>
    <n v="79.905600000000007"/>
  </r>
  <r>
    <n v="793"/>
    <x v="368"/>
    <x v="221"/>
    <x v="0"/>
    <d v="2017-08-31T00:00:00"/>
    <d v="2017-08-05T00:00:00"/>
    <s v="Same Day"/>
    <s v="JK-15730"/>
    <s v="Joe Kamberova"/>
    <s v="Consumer"/>
    <s v="United States"/>
    <s v="Asheville"/>
    <x v="3"/>
    <n v="28806"/>
    <x v="0"/>
    <s v="TEC-PH-10001530"/>
    <x v="2"/>
    <s v="Phones"/>
    <s v="Cisco Unified IP Phone 7945G VoIP phone"/>
    <n v="1363.96"/>
    <n v="5"/>
    <n v="0.2"/>
    <n v="85.247500000000002"/>
  </r>
  <r>
    <n v="794"/>
    <x v="369"/>
    <x v="59"/>
    <x v="0"/>
    <d v="2015-08-31T00:00:00"/>
    <d v="2016-02-09T00:00:00"/>
    <s v="Standard Class"/>
    <s v="ES-14020"/>
    <s v="Erica Smith"/>
    <s v="Consumer"/>
    <s v="United States"/>
    <s v="San Francisco"/>
    <x v="1"/>
    <n v="94110"/>
    <x v="1"/>
    <s v="OFF-LA-10001569"/>
    <x v="1"/>
    <s v="Labels"/>
    <s v="Avery 499"/>
    <n v="9.9600000000000009"/>
    <n v="2"/>
    <n v="0"/>
    <n v="4.5815999999999999"/>
  </r>
  <r>
    <n v="795"/>
    <x v="369"/>
    <x v="59"/>
    <x v="0"/>
    <d v="2015-08-31T00:00:00"/>
    <d v="2016-02-09T00:00:00"/>
    <s v="Standard Class"/>
    <s v="ES-14020"/>
    <s v="Erica Smith"/>
    <s v="Consumer"/>
    <s v="United States"/>
    <s v="San Francisco"/>
    <x v="1"/>
    <n v="94110"/>
    <x v="1"/>
    <s v="OFF-PA-10003724"/>
    <x v="1"/>
    <s v="Paper"/>
    <s v="Wirebound Message Book, 4 per Page"/>
    <n v="21.72"/>
    <n v="4"/>
    <n v="0"/>
    <n v="10.642799999999999"/>
  </r>
  <r>
    <n v="796"/>
    <x v="370"/>
    <x v="263"/>
    <x v="3"/>
    <d v="2018-09-30T00:00:00"/>
    <d v="2019-02-09T00:00:00"/>
    <s v="Standard Class"/>
    <s v="RH-19495"/>
    <s v="Rick Hansen"/>
    <s v="Consumer"/>
    <s v="United States"/>
    <s v="Rochester"/>
    <x v="11"/>
    <n v="55901"/>
    <x v="2"/>
    <s v="OFF-BI-10000546"/>
    <x v="1"/>
    <s v="Binders"/>
    <s v="Avery Durable Binders"/>
    <n v="20.16"/>
    <n v="7"/>
    <n v="0"/>
    <n v="9.8783999999999992"/>
  </r>
  <r>
    <n v="797"/>
    <x v="371"/>
    <x v="99"/>
    <x v="1"/>
    <d v="2016-12-31T00:00:00"/>
    <d v="2017-02-12T00:00:00"/>
    <s v="First Class"/>
    <s v="DB-13120"/>
    <s v="David Bremer"/>
    <s v="Corporate"/>
    <s v="United States"/>
    <s v="Rochester"/>
    <x v="15"/>
    <n v="14609"/>
    <x v="3"/>
    <s v="OFF-PA-10000176"/>
    <x v="1"/>
    <s v="Paper"/>
    <s v="Xerox 1887"/>
    <n v="132.79"/>
    <n v="7"/>
    <n v="0"/>
    <n v="63.739199999999997"/>
  </r>
  <r>
    <n v="798"/>
    <x v="371"/>
    <x v="99"/>
    <x v="1"/>
    <d v="2016-12-31T00:00:00"/>
    <d v="2017-02-12T00:00:00"/>
    <s v="First Class"/>
    <s v="DB-13120"/>
    <s v="David Bremer"/>
    <s v="Corporate"/>
    <s v="United States"/>
    <s v="Rochester"/>
    <x v="15"/>
    <n v="14609"/>
    <x v="3"/>
    <s v="OFF-PA-10002365"/>
    <x v="1"/>
    <s v="Paper"/>
    <s v="Xerox 1967"/>
    <n v="12.96"/>
    <n v="2"/>
    <n v="0"/>
    <n v="6.2207999999999997"/>
  </r>
  <r>
    <n v="799"/>
    <x v="371"/>
    <x v="99"/>
    <x v="1"/>
    <d v="2016-12-31T00:00:00"/>
    <d v="2017-02-12T00:00:00"/>
    <s v="First Class"/>
    <s v="DB-13120"/>
    <s v="David Bremer"/>
    <s v="Corporate"/>
    <s v="United States"/>
    <s v="Rochester"/>
    <x v="15"/>
    <n v="14609"/>
    <x v="3"/>
    <s v="OFF-LA-10002271"/>
    <x v="1"/>
    <s v="Labels"/>
    <s v="Smead Alpha-Z Color-Coded Second Alphabetical Labels and Starter Set"/>
    <n v="21.56"/>
    <n v="7"/>
    <n v="0"/>
    <n v="10.348800000000001"/>
  </r>
  <r>
    <n v="800"/>
    <x v="372"/>
    <x v="127"/>
    <x v="4"/>
    <d v="2017-03-31T00:00:00"/>
    <d v="2015-03-12T00:00:00"/>
    <s v="Standard Class"/>
    <s v="CD-11920"/>
    <s v="Carlos Daly"/>
    <s v="Consumer"/>
    <s v="United States"/>
    <s v="Lake Elsinore"/>
    <x v="1"/>
    <n v="92530"/>
    <x v="1"/>
    <s v="FUR-CH-10002647"/>
    <x v="0"/>
    <s v="Chairs"/>
    <s v="Situations Contoured Folding Chairs, 4/Set"/>
    <n v="283.92"/>
    <n v="5"/>
    <n v="0.2"/>
    <n v="17.745000000000001"/>
  </r>
  <r>
    <n v="801"/>
    <x v="373"/>
    <x v="264"/>
    <x v="0"/>
    <d v="2018-08-31T00:00:00"/>
    <d v="2018-11-02T00:00:00"/>
    <s v="First Class"/>
    <s v="HW-14935"/>
    <s v="Helen Wasserman"/>
    <s v="Corporate"/>
    <s v="United States"/>
    <s v="San Diego"/>
    <x v="1"/>
    <n v="92105"/>
    <x v="1"/>
    <s v="FUR-FU-10004090"/>
    <x v="0"/>
    <s v="Furnishings"/>
    <s v="Executive Impressions 14&quot; Contract Wall Clock"/>
    <n v="22.23"/>
    <n v="1"/>
    <n v="0"/>
    <n v="7.3358999999999996"/>
  </r>
  <r>
    <n v="802"/>
    <x v="373"/>
    <x v="264"/>
    <x v="0"/>
    <d v="2018-08-31T00:00:00"/>
    <d v="2018-11-02T00:00:00"/>
    <s v="First Class"/>
    <s v="HW-14935"/>
    <s v="Helen Wasserman"/>
    <s v="Corporate"/>
    <s v="United States"/>
    <s v="San Diego"/>
    <x v="1"/>
    <n v="92105"/>
    <x v="1"/>
    <s v="TEC-PH-10001580"/>
    <x v="2"/>
    <s v="Phones"/>
    <s v="Logitech Mobile Speakerphone P710e - speaker phone"/>
    <n v="215.96799999999999"/>
    <n v="2"/>
    <n v="0.2"/>
    <n v="18.897200000000002"/>
  </r>
  <r>
    <n v="803"/>
    <x v="374"/>
    <x v="265"/>
    <x v="10"/>
    <d v="2017-06-30T00:00:00"/>
    <d v="2017-11-08T00:00:00"/>
    <s v="Second Class"/>
    <s v="HW-14935"/>
    <s v="Helen Wasserman"/>
    <s v="Corporate"/>
    <s v="United States"/>
    <s v="New York City"/>
    <x v="15"/>
    <n v="10024"/>
    <x v="3"/>
    <s v="OFF-AP-10000576"/>
    <x v="1"/>
    <s v="Appliances"/>
    <s v="Belkin 7 Outlet SurgeMaster II"/>
    <n v="355.32"/>
    <n v="9"/>
    <n v="0"/>
    <n v="99.489599999999996"/>
  </r>
  <r>
    <n v="804"/>
    <x v="375"/>
    <x v="266"/>
    <x v="1"/>
    <d v="2016-12-31T00:00:00"/>
    <d v="2017-05-03T00:00:00"/>
    <s v="Standard Class"/>
    <s v="MC-18130"/>
    <s v="Mike Caudle"/>
    <s v="Corporate"/>
    <s v="United States"/>
    <s v="Monroe"/>
    <x v="28"/>
    <n v="71203"/>
    <x v="0"/>
    <s v="OFF-PA-10003953"/>
    <x v="1"/>
    <s v="Paper"/>
    <s v="Xerox 218"/>
    <n v="12.96"/>
    <n v="2"/>
    <n v="0"/>
    <n v="6.2207999999999997"/>
  </r>
  <r>
    <n v="805"/>
    <x v="376"/>
    <x v="267"/>
    <x v="6"/>
    <d v="2018-10-31T00:00:00"/>
    <d v="2018-12-04T00:00:00"/>
    <s v="First Class"/>
    <s v="GM-14440"/>
    <s v="Gary McGarr"/>
    <s v="Consumer"/>
    <s v="United States"/>
    <s v="San Francisco"/>
    <x v="1"/>
    <n v="94122"/>
    <x v="1"/>
    <s v="FUR-FU-10000794"/>
    <x v="0"/>
    <s v="Furnishings"/>
    <s v="Eldon Stackable Tray, Side-Load, Legal, Smoke"/>
    <n v="18.28"/>
    <n v="2"/>
    <n v="0"/>
    <n v="6.2152000000000003"/>
  </r>
  <r>
    <n v="806"/>
    <x v="377"/>
    <x v="268"/>
    <x v="7"/>
    <d v="2014-01-31T00:00:00"/>
    <d v="2014-07-11T00:00:00"/>
    <s v="Standard Class"/>
    <s v="RA-19915"/>
    <s v="Russell Applegate"/>
    <s v="Consumer"/>
    <s v="United States"/>
    <s v="Denver"/>
    <x v="22"/>
    <n v="80219"/>
    <x v="1"/>
    <s v="OFF-AR-10001897"/>
    <x v="1"/>
    <s v="Art"/>
    <s v="Model L Table or Wall-Mount Pencil Sharpener"/>
    <n v="43.176000000000002"/>
    <n v="3"/>
    <n v="0.2"/>
    <n v="4.3175999999999997"/>
  </r>
  <r>
    <n v="807"/>
    <x v="377"/>
    <x v="268"/>
    <x v="7"/>
    <d v="2014-01-31T00:00:00"/>
    <d v="2014-07-11T00:00:00"/>
    <s v="Standard Class"/>
    <s v="RA-19915"/>
    <s v="Russell Applegate"/>
    <s v="Consumer"/>
    <s v="United States"/>
    <s v="Denver"/>
    <x v="22"/>
    <n v="80219"/>
    <x v="1"/>
    <s v="TEC-PH-10001795"/>
    <x v="2"/>
    <s v="Phones"/>
    <s v="ClearOne CHATAttach 160 - speaker phone"/>
    <n v="1983.9680000000001"/>
    <n v="4"/>
    <n v="0.2"/>
    <n v="247.99600000000001"/>
  </r>
  <r>
    <n v="808"/>
    <x v="378"/>
    <x v="269"/>
    <x v="4"/>
    <d v="2015-03-31T00:00:00"/>
    <d v="2015-05-02T00:00:00"/>
    <s v="First Class"/>
    <s v="AA-10375"/>
    <s v="Allen Armold"/>
    <s v="Consumer"/>
    <s v="United States"/>
    <s v="Omaha"/>
    <x v="8"/>
    <n v="68104"/>
    <x v="2"/>
    <s v="FUR-FU-10003347"/>
    <x v="0"/>
    <s v="Furnishings"/>
    <s v="Coloredge Poster Frame"/>
    <n v="28.4"/>
    <n v="2"/>
    <n v="0"/>
    <n v="11.076000000000001"/>
  </r>
  <r>
    <n v="809"/>
    <x v="378"/>
    <x v="269"/>
    <x v="4"/>
    <d v="2015-03-31T00:00:00"/>
    <d v="2015-05-02T00:00:00"/>
    <s v="First Class"/>
    <s v="AA-10375"/>
    <s v="Allen Armold"/>
    <s v="Consumer"/>
    <s v="United States"/>
    <s v="Omaha"/>
    <x v="8"/>
    <n v="68104"/>
    <x v="2"/>
    <s v="TEC-AC-10004901"/>
    <x v="2"/>
    <s v="Accessories"/>
    <s v="Kensington SlimBlade Notebook Wireless Mouse with Nano Receiver "/>
    <n v="149.97"/>
    <n v="3"/>
    <n v="0"/>
    <n v="50.989800000000002"/>
  </r>
  <r>
    <n v="810"/>
    <x v="379"/>
    <x v="270"/>
    <x v="7"/>
    <d v="2015-01-31T00:00:00"/>
    <d v="2015-03-10T00:00:00"/>
    <s v="First Class"/>
    <s v="ZC-21910"/>
    <s v="Zuschuss Carroll"/>
    <s v="Consumer"/>
    <s v="United States"/>
    <s v="Edmonds"/>
    <x v="4"/>
    <n v="98026"/>
    <x v="1"/>
    <s v="OFF-AR-10003190"/>
    <x v="1"/>
    <s v="Art"/>
    <s v="Newell 32"/>
    <n v="11.52"/>
    <n v="4"/>
    <n v="0"/>
    <n v="3.2256"/>
  </r>
  <r>
    <n v="811"/>
    <x v="379"/>
    <x v="270"/>
    <x v="7"/>
    <d v="2015-01-31T00:00:00"/>
    <d v="2015-03-10T00:00:00"/>
    <s v="First Class"/>
    <s v="ZC-21910"/>
    <s v="Zuschuss Carroll"/>
    <s v="Consumer"/>
    <s v="United States"/>
    <s v="Edmonds"/>
    <x v="4"/>
    <n v="98026"/>
    <x v="1"/>
    <s v="FUR-TA-10002903"/>
    <x v="0"/>
    <s v="Tables"/>
    <s v="Bevis Round Bullnose 29&quot; High Table Top"/>
    <n v="1298.55"/>
    <n v="5"/>
    <n v="0"/>
    <n v="311.65199999999999"/>
  </r>
  <r>
    <n v="812"/>
    <x v="379"/>
    <x v="270"/>
    <x v="7"/>
    <d v="2015-01-31T00:00:00"/>
    <d v="2015-03-10T00:00:00"/>
    <s v="First Class"/>
    <s v="ZC-21910"/>
    <s v="Zuschuss Carroll"/>
    <s v="Consumer"/>
    <s v="United States"/>
    <s v="Edmonds"/>
    <x v="4"/>
    <n v="98026"/>
    <x v="1"/>
    <s v="OFF-AP-10000240"/>
    <x v="1"/>
    <s v="Appliances"/>
    <s v="Belkin F9G930V10-GRY 9 Outlet Surge"/>
    <n v="213.92"/>
    <n v="4"/>
    <n v="0"/>
    <n v="62.036799999999999"/>
  </r>
  <r>
    <n v="813"/>
    <x v="379"/>
    <x v="270"/>
    <x v="7"/>
    <d v="2015-01-31T00:00:00"/>
    <d v="2015-03-10T00:00:00"/>
    <s v="First Class"/>
    <s v="ZC-21910"/>
    <s v="Zuschuss Carroll"/>
    <s v="Consumer"/>
    <s v="United States"/>
    <s v="Edmonds"/>
    <x v="4"/>
    <n v="98026"/>
    <x v="1"/>
    <s v="TEC-AC-10001101"/>
    <x v="2"/>
    <s v="Accessories"/>
    <s v="Sony 16GB Class 10 Micro SDHC R40 Memory Card"/>
    <n v="25.78"/>
    <n v="2"/>
    <n v="0"/>
    <n v="2.5779999999999998"/>
  </r>
  <r>
    <n v="814"/>
    <x v="380"/>
    <x v="271"/>
    <x v="11"/>
    <d v="2018-02-28T00:00:00"/>
    <d v="2018-02-05T00:00:00"/>
    <s v="Same Day"/>
    <s v="PJ-19015"/>
    <s v="Pauline Johnson"/>
    <s v="Consumer"/>
    <s v="United States"/>
    <s v="Santa Ana"/>
    <x v="1"/>
    <n v="92704"/>
    <x v="1"/>
    <s v="FUR-FU-10000794"/>
    <x v="0"/>
    <s v="Furnishings"/>
    <s v="Eldon Stackable Tray, Side-Load, Legal, Smoke"/>
    <n v="18.28"/>
    <n v="2"/>
    <n v="0"/>
    <n v="6.2152000000000003"/>
  </r>
  <r>
    <n v="815"/>
    <x v="380"/>
    <x v="271"/>
    <x v="11"/>
    <d v="2018-02-28T00:00:00"/>
    <d v="2018-02-05T00:00:00"/>
    <s v="Same Day"/>
    <s v="PJ-19015"/>
    <s v="Pauline Johnson"/>
    <s v="Consumer"/>
    <s v="United States"/>
    <s v="Santa Ana"/>
    <x v="1"/>
    <n v="92704"/>
    <x v="1"/>
    <s v="TEC-AC-10001838"/>
    <x v="2"/>
    <s v="Accessories"/>
    <s v="Razer Tiamat Over Ear 7.1 Surround Sound PC Gaming Headset"/>
    <n v="1399.93"/>
    <n v="7"/>
    <n v="0"/>
    <n v="601.96990000000005"/>
  </r>
  <r>
    <n v="816"/>
    <x v="381"/>
    <x v="272"/>
    <x v="0"/>
    <d v="2016-08-31T00:00:00"/>
    <d v="2016-11-03T00:00:00"/>
    <s v="First Class"/>
    <s v="BW-11110"/>
    <s v="Bart Watters"/>
    <s v="Corporate"/>
    <s v="United States"/>
    <s v="Milwaukee"/>
    <x v="6"/>
    <n v="53209"/>
    <x v="2"/>
    <s v="OFF-PA-10000061"/>
    <x v="1"/>
    <s v="Paper"/>
    <s v="Xerox 205"/>
    <n v="51.84"/>
    <n v="8"/>
    <n v="0"/>
    <n v="24.883199999999999"/>
  </r>
  <r>
    <n v="817"/>
    <x v="382"/>
    <x v="198"/>
    <x v="4"/>
    <d v="2017-03-31T00:00:00"/>
    <d v="2017-07-09T00:00:00"/>
    <s v="Standard Class"/>
    <s v="DB-13210"/>
    <s v="Dean Braden"/>
    <s v="Consumer"/>
    <s v="United States"/>
    <s v="Philadelphia"/>
    <x v="9"/>
    <n v="19140"/>
    <x v="3"/>
    <s v="OFF-PA-10003651"/>
    <x v="1"/>
    <s v="Paper"/>
    <s v="Xerox 1968"/>
    <n v="5.3440000000000003"/>
    <n v="1"/>
    <n v="0.2"/>
    <n v="1.8704000000000001"/>
  </r>
  <r>
    <n v="818"/>
    <x v="383"/>
    <x v="30"/>
    <x v="8"/>
    <d v="2016-04-30T00:00:00"/>
    <d v="2014-02-07T00:00:00"/>
    <s v="Standard Class"/>
    <s v="CA-12775"/>
    <s v="Cynthia Arntzen"/>
    <s v="Consumer"/>
    <s v="United States"/>
    <s v="Philadelphia"/>
    <x v="9"/>
    <n v="19140"/>
    <x v="3"/>
    <s v="OFF-PA-10000304"/>
    <x v="1"/>
    <s v="Paper"/>
    <s v="Xerox 1995"/>
    <n v="41.472000000000001"/>
    <n v="8"/>
    <n v="0.2"/>
    <n v="14.5152"/>
  </r>
  <r>
    <n v="819"/>
    <x v="383"/>
    <x v="30"/>
    <x v="8"/>
    <d v="2016-04-30T00:00:00"/>
    <d v="2014-02-07T00:00:00"/>
    <s v="Standard Class"/>
    <s v="CA-12775"/>
    <s v="Cynthia Arntzen"/>
    <s v="Consumer"/>
    <s v="United States"/>
    <s v="Philadelphia"/>
    <x v="9"/>
    <n v="19140"/>
    <x v="3"/>
    <s v="OFF-BI-10003094"/>
    <x v="1"/>
    <s v="Binders"/>
    <s v="Self-Adhesive Ring Binder Labels"/>
    <n v="3.1680000000000001"/>
    <n v="3"/>
    <n v="0.7"/>
    <n v="-2.4287999999999998"/>
  </r>
  <r>
    <n v="820"/>
    <x v="383"/>
    <x v="30"/>
    <x v="8"/>
    <d v="2016-04-30T00:00:00"/>
    <d v="2014-02-07T00:00:00"/>
    <s v="Standard Class"/>
    <s v="CA-12775"/>
    <s v="Cynthia Arntzen"/>
    <s v="Consumer"/>
    <s v="United States"/>
    <s v="Philadelphia"/>
    <x v="9"/>
    <n v="19140"/>
    <x v="3"/>
    <s v="FUR-CH-10001394"/>
    <x v="0"/>
    <s v="Chairs"/>
    <s v="Global Leather Executive Chair"/>
    <n v="1228.4649999999999"/>
    <n v="5"/>
    <n v="0.3"/>
    <n v="0"/>
  </r>
  <r>
    <n v="821"/>
    <x v="383"/>
    <x v="30"/>
    <x v="8"/>
    <d v="2016-04-30T00:00:00"/>
    <d v="2014-02-07T00:00:00"/>
    <s v="Standard Class"/>
    <s v="CA-12775"/>
    <s v="Cynthia Arntzen"/>
    <s v="Consumer"/>
    <s v="United States"/>
    <s v="Philadelphia"/>
    <x v="9"/>
    <n v="19140"/>
    <x v="3"/>
    <s v="OFF-BI-10004230"/>
    <x v="1"/>
    <s v="Binders"/>
    <s v="GBC Recycled Grain Textured Covers"/>
    <n v="31.085999999999999"/>
    <n v="3"/>
    <n v="0.7"/>
    <n v="-22.796399999999998"/>
  </r>
  <r>
    <n v="822"/>
    <x v="383"/>
    <x v="30"/>
    <x v="8"/>
    <d v="2016-04-30T00:00:00"/>
    <d v="2014-02-07T00:00:00"/>
    <s v="Standard Class"/>
    <s v="CA-12775"/>
    <s v="Cynthia Arntzen"/>
    <s v="Consumer"/>
    <s v="United States"/>
    <s v="Philadelphia"/>
    <x v="9"/>
    <n v="19140"/>
    <x v="3"/>
    <s v="OFF-PA-10003395"/>
    <x v="1"/>
    <s v="Paper"/>
    <s v="Xerox 1941"/>
    <n v="335.52"/>
    <n v="4"/>
    <n v="0.2"/>
    <n v="117.432"/>
  </r>
  <r>
    <n v="823"/>
    <x v="384"/>
    <x v="273"/>
    <x v="0"/>
    <d v="2018-08-31T00:00:00"/>
    <d v="2019-03-06T00:00:00"/>
    <s v="Standard Class"/>
    <s v="TR-21325"/>
    <s v="Toby Ritter"/>
    <s v="Consumer"/>
    <s v="United States"/>
    <s v="Belleville"/>
    <x v="30"/>
    <n v="7109"/>
    <x v="3"/>
    <s v="TEC-AC-10002402"/>
    <x v="2"/>
    <s v="Accessories"/>
    <s v="Razer Kraken PRO Over Ear PC and Music Headset"/>
    <n v="239.97"/>
    <n v="3"/>
    <n v="0"/>
    <n v="71.991"/>
  </r>
  <r>
    <n v="824"/>
    <x v="384"/>
    <x v="273"/>
    <x v="0"/>
    <d v="2018-08-31T00:00:00"/>
    <d v="2019-03-06T00:00:00"/>
    <s v="Standard Class"/>
    <s v="TR-21325"/>
    <s v="Toby Ritter"/>
    <s v="Consumer"/>
    <s v="United States"/>
    <s v="Belleville"/>
    <x v="30"/>
    <n v="7109"/>
    <x v="3"/>
    <s v="OFF-LA-10003223"/>
    <x v="1"/>
    <s v="Labels"/>
    <s v="Avery 508"/>
    <n v="9.82"/>
    <n v="2"/>
    <n v="0"/>
    <n v="4.8117999999999999"/>
  </r>
  <r>
    <n v="825"/>
    <x v="385"/>
    <x v="274"/>
    <x v="3"/>
    <d v="2014-09-30T00:00:00"/>
    <d v="2015-03-05T00:00:00"/>
    <s v="Standard Class"/>
    <s v="PG-18820"/>
    <s v="Patrick Gardner"/>
    <s v="Consumer"/>
    <s v="United States"/>
    <s v="San Francisco"/>
    <x v="1"/>
    <n v="94110"/>
    <x v="1"/>
    <s v="TEC-AC-10003441"/>
    <x v="2"/>
    <s v="Accessories"/>
    <s v="Kingston Digital DataTraveler 32GB USB 2.0"/>
    <n v="67.8"/>
    <n v="4"/>
    <n v="0"/>
    <n v="4.0679999999999996"/>
  </r>
  <r>
    <n v="826"/>
    <x v="385"/>
    <x v="274"/>
    <x v="3"/>
    <d v="2014-09-30T00:00:00"/>
    <d v="2015-03-05T00:00:00"/>
    <s v="Standard Class"/>
    <s v="PG-18820"/>
    <s v="Patrick Gardner"/>
    <s v="Consumer"/>
    <s v="United States"/>
    <s v="San Francisco"/>
    <x v="1"/>
    <n v="94110"/>
    <x v="1"/>
    <s v="TEC-AC-10000109"/>
    <x v="2"/>
    <s v="Accessories"/>
    <s v="Sony Micro Vault Click 16 GB USB 2.0 Flash Drive"/>
    <n v="167.97"/>
    <n v="3"/>
    <n v="0"/>
    <n v="40.312800000000003"/>
  </r>
  <r>
    <n v="827"/>
    <x v="386"/>
    <x v="160"/>
    <x v="3"/>
    <d v="2018-09-30T00:00:00"/>
    <d v="2019-04-08T00:00:00"/>
    <s v="Standard Class"/>
    <s v="GT-14710"/>
    <s v="Greg Tran"/>
    <s v="Consumer"/>
    <s v="United States"/>
    <s v="Lakeville"/>
    <x v="11"/>
    <n v="55044"/>
    <x v="2"/>
    <s v="OFF-FA-10002280"/>
    <x v="1"/>
    <s v="Fasteners"/>
    <s v="Advantus Plastic Paper Clips"/>
    <n v="35"/>
    <n v="7"/>
    <n v="0"/>
    <n v="16.8"/>
  </r>
  <r>
    <n v="828"/>
    <x v="386"/>
    <x v="160"/>
    <x v="3"/>
    <d v="2018-09-30T00:00:00"/>
    <d v="2019-04-08T00:00:00"/>
    <s v="Standard Class"/>
    <s v="GT-14710"/>
    <s v="Greg Tran"/>
    <s v="Consumer"/>
    <s v="United States"/>
    <s v="Lakeville"/>
    <x v="11"/>
    <n v="55044"/>
    <x v="2"/>
    <s v="OFF-SU-10000381"/>
    <x v="1"/>
    <s v="Supplies"/>
    <s v="Acme Forged Steel Scissors with Black Enamel Handles"/>
    <n v="37.24"/>
    <n v="4"/>
    <n v="0"/>
    <n v="10.7996"/>
  </r>
  <r>
    <n v="829"/>
    <x v="386"/>
    <x v="160"/>
    <x v="3"/>
    <d v="2018-09-30T00:00:00"/>
    <d v="2019-04-08T00:00:00"/>
    <s v="Standard Class"/>
    <s v="GT-14710"/>
    <s v="Greg Tran"/>
    <s v="Consumer"/>
    <s v="United States"/>
    <s v="Lakeville"/>
    <x v="11"/>
    <n v="55044"/>
    <x v="2"/>
    <s v="OFF-EN-10004459"/>
    <x v="1"/>
    <s v="Envelopes"/>
    <s v="Security-Tint Envelopes"/>
    <n v="15.28"/>
    <n v="2"/>
    <n v="0"/>
    <n v="7.4871999999999996"/>
  </r>
  <r>
    <n v="830"/>
    <x v="387"/>
    <x v="110"/>
    <x v="8"/>
    <d v="2018-04-30T00:00:00"/>
    <d v="2018-09-06T00:00:00"/>
    <s v="Second Class"/>
    <s v="JE-15745"/>
    <s v="Joel Eaton"/>
    <s v="Consumer"/>
    <s v="United States"/>
    <s v="Florence"/>
    <x v="0"/>
    <n v="41042"/>
    <x v="0"/>
    <s v="FUR-CH-10000665"/>
    <x v="0"/>
    <s v="Chairs"/>
    <s v="Global Airflow Leather Mesh Back Chair, Black"/>
    <n v="301.95999999999998"/>
    <n v="2"/>
    <n v="0"/>
    <n v="90.587999999999994"/>
  </r>
  <r>
    <n v="831"/>
    <x v="387"/>
    <x v="110"/>
    <x v="8"/>
    <d v="2018-04-30T00:00:00"/>
    <d v="2018-09-06T00:00:00"/>
    <s v="Second Class"/>
    <s v="JE-15745"/>
    <s v="Joel Eaton"/>
    <s v="Consumer"/>
    <s v="United States"/>
    <s v="Florence"/>
    <x v="0"/>
    <n v="41042"/>
    <x v="0"/>
    <s v="OFF-AP-10003884"/>
    <x v="1"/>
    <s v="Appliances"/>
    <s v="Fellowes Smart Surge Ten-Outlet Protector, Platinum"/>
    <n v="180.66"/>
    <n v="3"/>
    <n v="0"/>
    <n v="50.584800000000001"/>
  </r>
  <r>
    <n v="832"/>
    <x v="387"/>
    <x v="110"/>
    <x v="8"/>
    <d v="2018-04-30T00:00:00"/>
    <d v="2018-09-06T00:00:00"/>
    <s v="Second Class"/>
    <s v="JE-15745"/>
    <s v="Joel Eaton"/>
    <s v="Consumer"/>
    <s v="United States"/>
    <s v="Florence"/>
    <x v="0"/>
    <n v="41042"/>
    <x v="0"/>
    <s v="TEC-PH-10001557"/>
    <x v="2"/>
    <s v="Phones"/>
    <s v="Pyle PMP37LED"/>
    <n v="191.98"/>
    <n v="2"/>
    <n v="0"/>
    <n v="51.834600000000002"/>
  </r>
  <r>
    <n v="833"/>
    <x v="387"/>
    <x v="110"/>
    <x v="8"/>
    <d v="2018-04-30T00:00:00"/>
    <d v="2018-09-06T00:00:00"/>
    <s v="Second Class"/>
    <s v="JE-15745"/>
    <s v="Joel Eaton"/>
    <s v="Consumer"/>
    <s v="United States"/>
    <s v="Florence"/>
    <x v="0"/>
    <n v="41042"/>
    <x v="0"/>
    <s v="TEC-PH-10002085"/>
    <x v="2"/>
    <s v="Phones"/>
    <s v="Clarity 53712"/>
    <n v="65.989999999999995"/>
    <n v="1"/>
    <n v="0"/>
    <n v="17.157399999999999"/>
  </r>
  <r>
    <n v="834"/>
    <x v="388"/>
    <x v="275"/>
    <x v="2"/>
    <d v="2017-11-30T00:00:00"/>
    <d v="2018-03-07T00:00:00"/>
    <s v="Standard Class"/>
    <s v="JB-15400"/>
    <s v="Jennifer Braxton"/>
    <s v="Corporate"/>
    <s v="United States"/>
    <s v="Tampa"/>
    <x v="2"/>
    <n v="33614"/>
    <x v="0"/>
    <s v="OFF-AR-10002956"/>
    <x v="1"/>
    <s v="Art"/>
    <s v="Boston 16801 Nautilus Battery Pencil Sharpener"/>
    <n v="35.216000000000001"/>
    <n v="2"/>
    <n v="0.2"/>
    <n v="2.6412"/>
  </r>
  <r>
    <n v="835"/>
    <x v="388"/>
    <x v="275"/>
    <x v="2"/>
    <d v="2017-11-30T00:00:00"/>
    <d v="2018-03-07T00:00:00"/>
    <s v="Standard Class"/>
    <s v="JB-15400"/>
    <s v="Jennifer Braxton"/>
    <s v="Corporate"/>
    <s v="United States"/>
    <s v="Tampa"/>
    <x v="2"/>
    <n v="33614"/>
    <x v="0"/>
    <s v="OFF-AP-10003266"/>
    <x v="1"/>
    <s v="Appliances"/>
    <s v="Holmes Replacement Filter for HEPA Air Cleaner, Large Room"/>
    <n v="23.696000000000002"/>
    <n v="2"/>
    <n v="0.2"/>
    <n v="6.5164"/>
  </r>
  <r>
    <n v="836"/>
    <x v="388"/>
    <x v="275"/>
    <x v="2"/>
    <d v="2017-11-30T00:00:00"/>
    <d v="2018-03-07T00:00:00"/>
    <s v="Standard Class"/>
    <s v="JB-15400"/>
    <s v="Jennifer Braxton"/>
    <s v="Corporate"/>
    <s v="United States"/>
    <s v="Tampa"/>
    <x v="2"/>
    <n v="33614"/>
    <x v="0"/>
    <s v="TEC-MA-10004002"/>
    <x v="2"/>
    <s v="Machines"/>
    <s v="Zebra GX420t Direct Thermal/Thermal Transfer Printer"/>
    <n v="265.47500000000002"/>
    <n v="1"/>
    <n v="0.5"/>
    <n v="-111.4995"/>
  </r>
  <r>
    <n v="837"/>
    <x v="389"/>
    <x v="77"/>
    <x v="0"/>
    <d v="2014-08-31T00:00:00"/>
    <d v="2015-01-09T00:00:00"/>
    <s v="Second Class"/>
    <s v="LH-17020"/>
    <s v="Lisa Hazard"/>
    <s v="Consumer"/>
    <s v="United States"/>
    <s v="Tyler"/>
    <x v="5"/>
    <n v="75701"/>
    <x v="2"/>
    <s v="OFF-BI-10001071"/>
    <x v="1"/>
    <s v="Binders"/>
    <s v="GBC ProClick Punch Binding System"/>
    <n v="51.183999999999997"/>
    <n v="4"/>
    <n v="0.8"/>
    <n v="-79.3352"/>
  </r>
  <r>
    <n v="838"/>
    <x v="390"/>
    <x v="75"/>
    <x v="8"/>
    <d v="2017-04-30T00:00:00"/>
    <d v="2017-11-11T00:00:00"/>
    <s v="Standard Class"/>
    <s v="JL-15175"/>
    <s v="James Lanier"/>
    <s v="Home Office"/>
    <s v="United States"/>
    <s v="Columbia"/>
    <x v="18"/>
    <n v="38401"/>
    <x v="0"/>
    <s v="OFF-PA-10001560"/>
    <x v="1"/>
    <s v="Paper"/>
    <s v="Adams Telephone Message Books, 5 1/4” x 11”"/>
    <n v="9.6639999999999997"/>
    <n v="2"/>
    <n v="0.2"/>
    <n v="3.2616000000000001"/>
  </r>
  <r>
    <n v="839"/>
    <x v="391"/>
    <x v="276"/>
    <x v="9"/>
    <d v="2016-07-31T00:00:00"/>
    <d v="2016-12-03T00:00:00"/>
    <s v="Standard Class"/>
    <s v="EB-13705"/>
    <s v="Ed Braxton"/>
    <s v="Corporate"/>
    <s v="United States"/>
    <s v="Fort Worth"/>
    <x v="5"/>
    <n v="76106"/>
    <x v="2"/>
    <s v="TEC-PH-10002365"/>
    <x v="2"/>
    <s v="Phones"/>
    <s v="Belkin Grip Candy Sheer Case / Cover for iPhone 5 and 5S"/>
    <n v="21.071999999999999"/>
    <n v="3"/>
    <n v="0.2"/>
    <n v="1.5804"/>
  </r>
  <r>
    <n v="840"/>
    <x v="392"/>
    <x v="0"/>
    <x v="0"/>
    <d v="2016-08-31T00:00:00"/>
    <d v="2017-01-11T00:00:00"/>
    <s v="Standard Class"/>
    <s v="BM-11650"/>
    <s v="Brian Moss"/>
    <s v="Corporate"/>
    <s v="United States"/>
    <s v="New York City"/>
    <x v="15"/>
    <n v="10035"/>
    <x v="3"/>
    <s v="OFF-AR-10004648"/>
    <x v="1"/>
    <s v="Art"/>
    <s v="Boston 19500 Mighty Mite Electric Pencil Sharpener"/>
    <n v="60.45"/>
    <n v="3"/>
    <n v="0"/>
    <n v="16.3215"/>
  </r>
  <r>
    <n v="841"/>
    <x v="392"/>
    <x v="0"/>
    <x v="0"/>
    <d v="2016-08-31T00:00:00"/>
    <d v="2017-01-11T00:00:00"/>
    <s v="Standard Class"/>
    <s v="BM-11650"/>
    <s v="Brian Moss"/>
    <s v="Corporate"/>
    <s v="United States"/>
    <s v="New York City"/>
    <x v="15"/>
    <n v="10035"/>
    <x v="3"/>
    <s v="OFF-AR-10002578"/>
    <x v="1"/>
    <s v="Art"/>
    <s v="Newell 335"/>
    <n v="11.52"/>
    <n v="4"/>
    <n v="0"/>
    <n v="3.3408000000000002"/>
  </r>
  <r>
    <n v="842"/>
    <x v="392"/>
    <x v="0"/>
    <x v="0"/>
    <d v="2016-08-31T00:00:00"/>
    <d v="2017-01-11T00:00:00"/>
    <s v="Standard Class"/>
    <s v="BM-11650"/>
    <s v="Brian Moss"/>
    <s v="Corporate"/>
    <s v="United States"/>
    <s v="New York City"/>
    <x v="15"/>
    <n v="10035"/>
    <x v="3"/>
    <s v="FUR-BO-10001519"/>
    <x v="0"/>
    <s v="Bookcases"/>
    <s v="O'Sullivan 3-Shelf Heavy-Duty Bookcases"/>
    <n v="186.048"/>
    <n v="4"/>
    <n v="0.2"/>
    <n v="9.3024000000000004"/>
  </r>
  <r>
    <n v="843"/>
    <x v="393"/>
    <x v="76"/>
    <x v="9"/>
    <d v="2016-07-31T00:00:00"/>
    <d v="2016-09-11T00:00:00"/>
    <s v="First Class"/>
    <s v="EM-14095"/>
    <s v="Eudokia Martin"/>
    <s v="Corporate"/>
    <s v="United States"/>
    <s v="Los Angeles"/>
    <x v="1"/>
    <n v="90036"/>
    <x v="1"/>
    <s v="OFF-BI-10001294"/>
    <x v="1"/>
    <s v="Binders"/>
    <s v="Fellowes Binding Cases"/>
    <n v="37.44"/>
    <n v="4"/>
    <n v="0.2"/>
    <n v="11.7"/>
  </r>
  <r>
    <n v="844"/>
    <x v="393"/>
    <x v="76"/>
    <x v="9"/>
    <d v="2016-07-31T00:00:00"/>
    <d v="2016-09-11T00:00:00"/>
    <s v="First Class"/>
    <s v="EM-14095"/>
    <s v="Eudokia Martin"/>
    <s v="Corporate"/>
    <s v="United States"/>
    <s v="Los Angeles"/>
    <x v="1"/>
    <n v="90036"/>
    <x v="1"/>
    <s v="OFF-BI-10001636"/>
    <x v="1"/>
    <s v="Binders"/>
    <s v="Ibico Plastic and Wire Spiral Binding Combs"/>
    <n v="26.975999999999999"/>
    <n v="4"/>
    <n v="0.2"/>
    <n v="8.7672000000000008"/>
  </r>
  <r>
    <n v="845"/>
    <x v="393"/>
    <x v="76"/>
    <x v="9"/>
    <d v="2016-07-31T00:00:00"/>
    <d v="2016-09-11T00:00:00"/>
    <s v="First Class"/>
    <s v="EM-14095"/>
    <s v="Eudokia Martin"/>
    <s v="Corporate"/>
    <s v="United States"/>
    <s v="Los Angeles"/>
    <x v="1"/>
    <n v="90036"/>
    <x v="1"/>
    <s v="OFF-SU-10002503"/>
    <x v="1"/>
    <s v="Supplies"/>
    <s v="Acme Preferred Stainless Steel Scissors"/>
    <n v="11.36"/>
    <n v="2"/>
    <n v="0"/>
    <n v="3.2944"/>
  </r>
  <r>
    <n v="846"/>
    <x v="393"/>
    <x v="76"/>
    <x v="9"/>
    <d v="2016-07-31T00:00:00"/>
    <d v="2016-09-11T00:00:00"/>
    <s v="First Class"/>
    <s v="EM-14095"/>
    <s v="Eudokia Martin"/>
    <s v="Corporate"/>
    <s v="United States"/>
    <s v="Los Angeles"/>
    <x v="1"/>
    <n v="90036"/>
    <x v="1"/>
    <s v="OFF-LA-10004093"/>
    <x v="1"/>
    <s v="Labels"/>
    <s v="Avery 486"/>
    <n v="14.62"/>
    <n v="2"/>
    <n v="0"/>
    <n v="6.8714000000000004"/>
  </r>
  <r>
    <n v="847"/>
    <x v="394"/>
    <x v="277"/>
    <x v="7"/>
    <d v="2016-01-31T00:00:00"/>
    <d v="2016-05-10T00:00:00"/>
    <s v="Standard Class"/>
    <s v="AF-10885"/>
    <s v="Art Foster"/>
    <s v="Consumer"/>
    <s v="United States"/>
    <s v="Louisville"/>
    <x v="0"/>
    <n v="40214"/>
    <x v="0"/>
    <s v="TEC-PH-10001552"/>
    <x v="2"/>
    <s v="Phones"/>
    <s v="I Need's 3d Hello Kitty Hybrid Silicone Case Cover for HTC One X 4g with 3d Hello Kitty Stylus Pen Green/pink"/>
    <n v="83.72"/>
    <n v="7"/>
    <n v="0"/>
    <n v="23.441600000000001"/>
  </r>
  <r>
    <n v="848"/>
    <x v="394"/>
    <x v="277"/>
    <x v="7"/>
    <d v="2016-01-31T00:00:00"/>
    <d v="2016-05-10T00:00:00"/>
    <s v="Standard Class"/>
    <s v="AF-10885"/>
    <s v="Art Foster"/>
    <s v="Consumer"/>
    <s v="United States"/>
    <s v="Louisville"/>
    <x v="0"/>
    <n v="40214"/>
    <x v="0"/>
    <s v="FUR-CH-10001891"/>
    <x v="0"/>
    <s v="Chairs"/>
    <s v="Global Deluxe Office Fabric Chairs"/>
    <n v="287.94"/>
    <n v="3"/>
    <n v="0"/>
    <n v="77.743799999999993"/>
  </r>
  <r>
    <n v="849"/>
    <x v="395"/>
    <x v="278"/>
    <x v="7"/>
    <d v="2017-01-31T00:00:00"/>
    <d v="2017-06-01T00:00:00"/>
    <s v="Standard Class"/>
    <s v="GA-14725"/>
    <s v="Guy Armstrong"/>
    <s v="Consumer"/>
    <s v="United States"/>
    <s v="Lorain"/>
    <x v="24"/>
    <n v="44052"/>
    <x v="3"/>
    <s v="FUR-FU-10003878"/>
    <x v="0"/>
    <s v="Furnishings"/>
    <s v="Linden 10&quot; Round Wall Clock, Black"/>
    <n v="48.896000000000001"/>
    <n v="4"/>
    <n v="0.2"/>
    <n v="8.5568000000000008"/>
  </r>
  <r>
    <n v="850"/>
    <x v="396"/>
    <x v="279"/>
    <x v="9"/>
    <d v="2014-07-31T00:00:00"/>
    <d v="2014-12-02T00:00:00"/>
    <s v="Standard Class"/>
    <s v="CK-12760"/>
    <s v="Cyma Kinney"/>
    <s v="Corporate"/>
    <s v="United States"/>
    <s v="Linden"/>
    <x v="30"/>
    <n v="7036"/>
    <x v="3"/>
    <s v="TEC-AC-10000710"/>
    <x v="2"/>
    <s v="Accessories"/>
    <s v="Maxell DVD-RAM Discs"/>
    <n v="115.36"/>
    <n v="7"/>
    <n v="0"/>
    <n v="49.604799999999997"/>
  </r>
  <r>
    <n v="851"/>
    <x v="397"/>
    <x v="23"/>
    <x v="0"/>
    <d v="2017-08-31T00:00:00"/>
    <d v="2018-01-06T00:00:00"/>
    <s v="Second Class"/>
    <s v="DP-13105"/>
    <s v="Dave Poirier"/>
    <s v="Corporate"/>
    <s v="United States"/>
    <s v="Salinas"/>
    <x v="1"/>
    <n v="93905"/>
    <x v="1"/>
    <s v="OFF-AR-10002335"/>
    <x v="1"/>
    <s v="Art"/>
    <s v="DIXON Oriole Pencils"/>
    <n v="5.16"/>
    <n v="2"/>
    <n v="0"/>
    <n v="1.3415999999999999"/>
  </r>
  <r>
    <n v="852"/>
    <x v="397"/>
    <x v="23"/>
    <x v="0"/>
    <d v="2017-08-31T00:00:00"/>
    <d v="2018-01-06T00:00:00"/>
    <s v="Second Class"/>
    <s v="DP-13105"/>
    <s v="Dave Poirier"/>
    <s v="Corporate"/>
    <s v="United States"/>
    <s v="Salinas"/>
    <x v="1"/>
    <n v="93905"/>
    <x v="1"/>
    <s v="OFF-PA-10001870"/>
    <x v="1"/>
    <s v="Paper"/>
    <s v="Xerox 202"/>
    <n v="38.880000000000003"/>
    <n v="6"/>
    <n v="0"/>
    <n v="18.662400000000002"/>
  </r>
  <r>
    <n v="853"/>
    <x v="398"/>
    <x v="280"/>
    <x v="8"/>
    <d v="2018-04-30T00:00:00"/>
    <d v="2016-04-06T00:00:00"/>
    <s v="Standard Class"/>
    <s v="VD-21670"/>
    <s v="Valerie Dominguez"/>
    <s v="Consumer"/>
    <s v="United States"/>
    <s v="Jackson"/>
    <x v="35"/>
    <n v="39212"/>
    <x v="0"/>
    <s v="OFF-AR-10003373"/>
    <x v="1"/>
    <s v="Art"/>
    <s v="Boston School Pro Electric Pencil Sharpener, 1670"/>
    <n v="185.88"/>
    <n v="6"/>
    <n v="0"/>
    <n v="50.187600000000003"/>
  </r>
  <r>
    <n v="854"/>
    <x v="399"/>
    <x v="281"/>
    <x v="9"/>
    <d v="2017-07-31T00:00:00"/>
    <d v="2017-12-02T00:00:00"/>
    <s v="Standard Class"/>
    <s v="GT-14710"/>
    <s v="Greg Tran"/>
    <s v="Consumer"/>
    <s v="United States"/>
    <s v="New York City"/>
    <x v="15"/>
    <n v="10035"/>
    <x v="3"/>
    <s v="FUR-FU-10004090"/>
    <x v="0"/>
    <s v="Furnishings"/>
    <s v="Executive Impressions 14&quot; Contract Wall Clock"/>
    <n v="44.46"/>
    <n v="2"/>
    <n v="0"/>
    <n v="14.671799999999999"/>
  </r>
  <r>
    <n v="855"/>
    <x v="399"/>
    <x v="281"/>
    <x v="9"/>
    <d v="2017-07-31T00:00:00"/>
    <d v="2017-12-02T00:00:00"/>
    <s v="Standard Class"/>
    <s v="GT-14710"/>
    <s v="Greg Tran"/>
    <s v="Consumer"/>
    <s v="United States"/>
    <s v="New York City"/>
    <x v="15"/>
    <n v="10035"/>
    <x v="3"/>
    <s v="OFF-ST-10000736"/>
    <x v="1"/>
    <s v="Storage"/>
    <s v="Carina Double Wide Media Storage Towers in Natural &amp; Black"/>
    <n v="242.94"/>
    <n v="3"/>
    <n v="0"/>
    <n v="9.7175999999999991"/>
  </r>
  <r>
    <n v="856"/>
    <x v="400"/>
    <x v="92"/>
    <x v="4"/>
    <d v="2014-03-31T00:00:00"/>
    <d v="2014-08-08T00:00:00"/>
    <s v="Standard Class"/>
    <s v="BK-11260"/>
    <s v="Berenike Kampe"/>
    <s v="Consumer"/>
    <s v="United States"/>
    <s v="New York City"/>
    <x v="15"/>
    <n v="10035"/>
    <x v="3"/>
    <s v="OFF-PA-10001019"/>
    <x v="1"/>
    <s v="Paper"/>
    <s v="Xerox 1884"/>
    <n v="39.96"/>
    <n v="2"/>
    <n v="0"/>
    <n v="18.781199999999998"/>
  </r>
  <r>
    <n v="857"/>
    <x v="400"/>
    <x v="92"/>
    <x v="4"/>
    <d v="2014-03-31T00:00:00"/>
    <d v="2014-08-08T00:00:00"/>
    <s v="Standard Class"/>
    <s v="BK-11260"/>
    <s v="Berenike Kampe"/>
    <s v="Consumer"/>
    <s v="United States"/>
    <s v="New York City"/>
    <x v="15"/>
    <n v="10035"/>
    <x v="3"/>
    <s v="OFF-SU-10002537"/>
    <x v="1"/>
    <s v="Supplies"/>
    <s v="Acme Box Cutter Scissors"/>
    <n v="102.3"/>
    <n v="10"/>
    <n v="0"/>
    <n v="26.597999999999999"/>
  </r>
  <r>
    <n v="858"/>
    <x v="400"/>
    <x v="92"/>
    <x v="4"/>
    <d v="2014-03-31T00:00:00"/>
    <d v="2014-08-08T00:00:00"/>
    <s v="Standard Class"/>
    <s v="BK-11260"/>
    <s v="Berenike Kampe"/>
    <s v="Consumer"/>
    <s v="United States"/>
    <s v="New York City"/>
    <x v="15"/>
    <n v="10035"/>
    <x v="3"/>
    <s v="OFF-ST-10003221"/>
    <x v="1"/>
    <s v="Storage"/>
    <s v="Staple magnet"/>
    <n v="21.36"/>
    <n v="2"/>
    <n v="0"/>
    <n v="5.7671999999999999"/>
  </r>
  <r>
    <n v="859"/>
    <x v="401"/>
    <x v="170"/>
    <x v="6"/>
    <d v="2017-10-31T00:00:00"/>
    <d v="2018-03-04T00:00:00"/>
    <s v="Standard Class"/>
    <s v="SJ-20125"/>
    <s v="Sanjit Jacobs"/>
    <s v="Home Office"/>
    <s v="United States"/>
    <s v="New Brunswick"/>
    <x v="30"/>
    <n v="8901"/>
    <x v="3"/>
    <s v="OFF-PA-10004569"/>
    <x v="1"/>
    <s v="Paper"/>
    <s v="Wirebound Message Books, Two 4 1/4&quot; x 5&quot; Forms per Page"/>
    <n v="7.61"/>
    <n v="1"/>
    <n v="0"/>
    <n v="3.5767000000000002"/>
  </r>
  <r>
    <n v="860"/>
    <x v="401"/>
    <x v="170"/>
    <x v="6"/>
    <d v="2017-10-31T00:00:00"/>
    <d v="2018-03-04T00:00:00"/>
    <s v="Standard Class"/>
    <s v="SJ-20125"/>
    <s v="Sanjit Jacobs"/>
    <s v="Home Office"/>
    <s v="United States"/>
    <s v="New Brunswick"/>
    <x v="30"/>
    <n v="8901"/>
    <x v="3"/>
    <s v="OFF-FA-10000624"/>
    <x v="1"/>
    <s v="Fasteners"/>
    <s v="OIC Binder Clips"/>
    <n v="7.16"/>
    <n v="2"/>
    <n v="0"/>
    <n v="3.58"/>
  </r>
  <r>
    <n v="861"/>
    <x v="402"/>
    <x v="3"/>
    <x v="3"/>
    <d v="2014-09-30T00:00:00"/>
    <d v="2015-04-06T00:00:00"/>
    <s v="Standard Class"/>
    <s v="CM-12445"/>
    <s v="Chuck Magee"/>
    <s v="Consumer"/>
    <s v="United States"/>
    <s v="San Francisco"/>
    <x v="1"/>
    <n v="94122"/>
    <x v="1"/>
    <s v="OFF-SU-10001225"/>
    <x v="1"/>
    <s v="Supplies"/>
    <s v="Staple remover"/>
    <n v="7.36"/>
    <n v="2"/>
    <n v="0"/>
    <n v="0.1472"/>
  </r>
  <r>
    <n v="862"/>
    <x v="402"/>
    <x v="3"/>
    <x v="3"/>
    <d v="2014-09-30T00:00:00"/>
    <d v="2015-04-06T00:00:00"/>
    <s v="Standard Class"/>
    <s v="CM-12445"/>
    <s v="Chuck Magee"/>
    <s v="Consumer"/>
    <s v="United States"/>
    <s v="San Francisco"/>
    <x v="1"/>
    <n v="94122"/>
    <x v="1"/>
    <s v="OFF-AR-10003752"/>
    <x v="1"/>
    <s v="Art"/>
    <s v="Deluxe Chalkboard Eraser Cleaner"/>
    <n v="23.1"/>
    <n v="2"/>
    <n v="0"/>
    <n v="10.625999999999999"/>
  </r>
  <r>
    <n v="863"/>
    <x v="403"/>
    <x v="171"/>
    <x v="5"/>
    <d v="2016-05-31T00:00:00"/>
    <d v="2016-07-01T00:00:00"/>
    <s v="Second Class"/>
    <s v="AJ-10795"/>
    <s v="Anthony Johnson"/>
    <s v="Corporate"/>
    <s v="United States"/>
    <s v="Jacksonville"/>
    <x v="2"/>
    <n v="32216"/>
    <x v="0"/>
    <s v="TEC-AC-10001714"/>
    <x v="2"/>
    <s v="Accessories"/>
    <s v="Logitech MX Performance Wireless Mouse"/>
    <n v="191.47200000000001"/>
    <n v="6"/>
    <n v="0.2"/>
    <n v="40.687800000000003"/>
  </r>
  <r>
    <n v="864"/>
    <x v="403"/>
    <x v="171"/>
    <x v="5"/>
    <d v="2016-05-31T00:00:00"/>
    <d v="2016-07-01T00:00:00"/>
    <s v="Second Class"/>
    <s v="AJ-10795"/>
    <s v="Anthony Johnson"/>
    <s v="Corporate"/>
    <s v="United States"/>
    <s v="Jacksonville"/>
    <x v="2"/>
    <n v="32216"/>
    <x v="0"/>
    <s v="OFF-AR-10003958"/>
    <x v="1"/>
    <s v="Art"/>
    <s v="Newell 337"/>
    <n v="5.2480000000000002"/>
    <n v="2"/>
    <n v="0.2"/>
    <n v="0.59040000000000004"/>
  </r>
  <r>
    <n v="865"/>
    <x v="403"/>
    <x v="171"/>
    <x v="5"/>
    <d v="2016-05-31T00:00:00"/>
    <d v="2016-07-01T00:00:00"/>
    <s v="Second Class"/>
    <s v="AJ-10795"/>
    <s v="Anthony Johnson"/>
    <s v="Corporate"/>
    <s v="United States"/>
    <s v="Jacksonville"/>
    <x v="2"/>
    <n v="32216"/>
    <x v="0"/>
    <s v="TEC-PH-10002923"/>
    <x v="2"/>
    <s v="Phones"/>
    <s v="Logitech B530 USB Headset - headset - Full size, Binaural"/>
    <n v="59.183999999999997"/>
    <n v="2"/>
    <n v="0.2"/>
    <n v="5.1786000000000003"/>
  </r>
  <r>
    <n v="866"/>
    <x v="404"/>
    <x v="282"/>
    <x v="6"/>
    <d v="2014-10-31T00:00:00"/>
    <d v="2015-03-01T00:00:00"/>
    <s v="Standard Class"/>
    <s v="AJ-10780"/>
    <s v="Anthony Jacobs"/>
    <s v="Corporate"/>
    <s v="United States"/>
    <s v="Springfield"/>
    <x v="17"/>
    <n v="22153"/>
    <x v="0"/>
    <s v="OFF-LA-10004272"/>
    <x v="1"/>
    <s v="Labels"/>
    <s v="Avery 482"/>
    <n v="2.89"/>
    <n v="1"/>
    <n v="0"/>
    <n v="1.3583000000000001"/>
  </r>
  <r>
    <n v="867"/>
    <x v="404"/>
    <x v="282"/>
    <x v="6"/>
    <d v="2014-10-31T00:00:00"/>
    <d v="2015-03-01T00:00:00"/>
    <s v="Standard Class"/>
    <s v="AJ-10780"/>
    <s v="Anthony Jacobs"/>
    <s v="Corporate"/>
    <s v="United States"/>
    <s v="Springfield"/>
    <x v="17"/>
    <n v="22153"/>
    <x v="0"/>
    <s v="FUR-FU-10000965"/>
    <x v="0"/>
    <s v="Furnishings"/>
    <s v="Howard Miller 11-1/2&quot; Diameter Ridgewood Wall Clock"/>
    <n v="51.94"/>
    <n v="1"/>
    <n v="0"/>
    <n v="21.295400000000001"/>
  </r>
  <r>
    <n v="868"/>
    <x v="405"/>
    <x v="283"/>
    <x v="5"/>
    <d v="2018-05-31T00:00:00"/>
    <d v="2016-02-10T00:00:00"/>
    <s v="First Class"/>
    <s v="LS-16945"/>
    <s v="Linda Southworth"/>
    <s v="Corporate"/>
    <s v="United States"/>
    <s v="Philadelphia"/>
    <x v="9"/>
    <n v="19140"/>
    <x v="3"/>
    <s v="OFF-LA-10004853"/>
    <x v="1"/>
    <s v="Labels"/>
    <s v="Avery 483"/>
    <n v="15.936"/>
    <n v="4"/>
    <n v="0.2"/>
    <n v="5.1791999999999998"/>
  </r>
  <r>
    <n v="869"/>
    <x v="406"/>
    <x v="284"/>
    <x v="10"/>
    <d v="2014-06-30T00:00:00"/>
    <d v="2014-10-04T00:00:00"/>
    <s v="Standard Class"/>
    <s v="GP-14740"/>
    <s v="Guy Phonely"/>
    <s v="Corporate"/>
    <s v="United States"/>
    <s v="Lancaster"/>
    <x v="9"/>
    <n v="17602"/>
    <x v="3"/>
    <s v="OFF-BI-10003719"/>
    <x v="1"/>
    <s v="Binders"/>
    <s v="Large Capacity Hanging Post Binders"/>
    <n v="44.91"/>
    <n v="6"/>
    <n v="0.7"/>
    <n v="-35.927999999999997"/>
  </r>
  <r>
    <n v="870"/>
    <x v="407"/>
    <x v="122"/>
    <x v="4"/>
    <d v="2016-03-31T00:00:00"/>
    <d v="2016-05-09T00:00:00"/>
    <s v="First Class"/>
    <s v="PK-18910"/>
    <s v="Paul Knutson"/>
    <s v="Home Office"/>
    <s v="United States"/>
    <s v="Philadelphia"/>
    <x v="9"/>
    <n v="19143"/>
    <x v="3"/>
    <s v="OFF-BI-10000545"/>
    <x v="1"/>
    <s v="Binders"/>
    <s v="GBC Ibimaster 500 Manual ProClick Binding System"/>
    <n v="1141.47"/>
    <n v="5"/>
    <n v="0.7"/>
    <n v="-760.98"/>
  </r>
  <r>
    <n v="871"/>
    <x v="407"/>
    <x v="122"/>
    <x v="4"/>
    <d v="2016-03-31T00:00:00"/>
    <d v="2016-05-09T00:00:00"/>
    <s v="First Class"/>
    <s v="PK-18910"/>
    <s v="Paul Knutson"/>
    <s v="Home Office"/>
    <s v="United States"/>
    <s v="Philadelphia"/>
    <x v="9"/>
    <n v="19143"/>
    <x v="3"/>
    <s v="TEC-PH-10002496"/>
    <x v="2"/>
    <s v="Phones"/>
    <s v="Cisco SPA301"/>
    <n v="280.78199999999998"/>
    <n v="3"/>
    <n v="0.4"/>
    <n v="-46.796999999999997"/>
  </r>
  <r>
    <n v="872"/>
    <x v="408"/>
    <x v="285"/>
    <x v="9"/>
    <d v="2016-07-31T00:00:00"/>
    <d v="2016-08-10T00:00:00"/>
    <s v="First Class"/>
    <s v="TB-21520"/>
    <s v="Tracy Blumstein"/>
    <s v="Consumer"/>
    <s v="United States"/>
    <s v="Concord"/>
    <x v="38"/>
    <n v="3301"/>
    <x v="3"/>
    <s v="OFF-PA-10003591"/>
    <x v="1"/>
    <s v="Paper"/>
    <s v="Southworth 100% Cotton The Best Paper"/>
    <n v="34.44"/>
    <n v="3"/>
    <n v="0"/>
    <n v="17.22"/>
  </r>
  <r>
    <n v="873"/>
    <x v="409"/>
    <x v="286"/>
    <x v="6"/>
    <d v="2014-10-31T00:00:00"/>
    <d v="2015-03-12T00:00:00"/>
    <s v="Standard Class"/>
    <s v="SM-20005"/>
    <s v="Sally Matthias"/>
    <s v="Consumer"/>
    <s v="United States"/>
    <s v="New York City"/>
    <x v="15"/>
    <n v="10009"/>
    <x v="3"/>
    <s v="OFF-PA-10004470"/>
    <x v="1"/>
    <s v="Paper"/>
    <s v="Adams Write n' Stick Phone Message Book, 11&quot; X 5 1/4&quot;, 200 Messages"/>
    <n v="11.36"/>
    <n v="2"/>
    <n v="0"/>
    <n v="5.2256"/>
  </r>
  <r>
    <n v="874"/>
    <x v="409"/>
    <x v="286"/>
    <x v="6"/>
    <d v="2014-10-31T00:00:00"/>
    <d v="2015-03-12T00:00:00"/>
    <s v="Standard Class"/>
    <s v="SM-20005"/>
    <s v="Sally Matthias"/>
    <s v="Consumer"/>
    <s v="United States"/>
    <s v="New York City"/>
    <x v="15"/>
    <n v="10009"/>
    <x v="3"/>
    <s v="OFF-BI-10000315"/>
    <x v="1"/>
    <s v="Binders"/>
    <s v="Poly Designer Cover &amp; Back"/>
    <n v="106.34399999999999"/>
    <n v="7"/>
    <n v="0.2"/>
    <n v="37.220399999999998"/>
  </r>
  <r>
    <n v="875"/>
    <x v="410"/>
    <x v="287"/>
    <x v="7"/>
    <d v="2019-01-31T00:00:00"/>
    <d v="2019-05-08T00:00:00"/>
    <s v="Standard Class"/>
    <s v="GA-14725"/>
    <s v="Guy Armstrong"/>
    <s v="Consumer"/>
    <s v="United States"/>
    <s v="Charlotte"/>
    <x v="3"/>
    <n v="28205"/>
    <x v="0"/>
    <s v="OFF-PA-10001790"/>
    <x v="1"/>
    <s v="Paper"/>
    <s v="Xerox 1910"/>
    <n v="192.16"/>
    <n v="5"/>
    <n v="0.2"/>
    <n v="67.256"/>
  </r>
  <r>
    <n v="876"/>
    <x v="411"/>
    <x v="288"/>
    <x v="5"/>
    <d v="2017-05-31T00:00:00"/>
    <d v="2017-09-01T00:00:00"/>
    <s v="Standard Class"/>
    <s v="CC-12430"/>
    <s v="Chuck Clark"/>
    <s v="Home Office"/>
    <s v="United States"/>
    <s v="Concord"/>
    <x v="38"/>
    <n v="3301"/>
    <x v="3"/>
    <s v="FUR-FU-10004017"/>
    <x v="0"/>
    <s v="Furnishings"/>
    <s v="Tenex Contemporary Contur Chairmats for Low and Medium Pile Carpet, Computer, 39&quot; x 49&quot;"/>
    <n v="322.58999999999997"/>
    <n v="3"/>
    <n v="0"/>
    <n v="64.518000000000001"/>
  </r>
  <r>
    <n v="877"/>
    <x v="411"/>
    <x v="288"/>
    <x v="5"/>
    <d v="2017-05-31T00:00:00"/>
    <d v="2017-09-01T00:00:00"/>
    <s v="Standard Class"/>
    <s v="CC-12430"/>
    <s v="Chuck Clark"/>
    <s v="Home Office"/>
    <s v="United States"/>
    <s v="Concord"/>
    <x v="38"/>
    <n v="3301"/>
    <x v="3"/>
    <s v="TEC-AC-10003628"/>
    <x v="2"/>
    <s v="Accessories"/>
    <s v="Logitech 910-002974 M325 Wireless Mouse for Web Scrolling"/>
    <n v="29.99"/>
    <n v="1"/>
    <n v="0"/>
    <n v="13.195600000000001"/>
  </r>
  <r>
    <n v="878"/>
    <x v="411"/>
    <x v="288"/>
    <x v="5"/>
    <d v="2017-05-31T00:00:00"/>
    <d v="2017-09-01T00:00:00"/>
    <s v="Standard Class"/>
    <s v="CC-12430"/>
    <s v="Chuck Clark"/>
    <s v="Home Office"/>
    <s v="United States"/>
    <s v="Concord"/>
    <x v="38"/>
    <n v="3301"/>
    <x v="3"/>
    <s v="TEC-AC-10002049"/>
    <x v="2"/>
    <s v="Accessories"/>
    <s v="Logitech G19 Programmable Gaming Keyboard"/>
    <n v="371.97"/>
    <n v="3"/>
    <n v="0"/>
    <n v="66.954599999999999"/>
  </r>
  <r>
    <n v="879"/>
    <x v="412"/>
    <x v="289"/>
    <x v="5"/>
    <d v="2015-05-31T00:00:00"/>
    <d v="2015-09-09T00:00:00"/>
    <s v="Standard Class"/>
    <s v="AG-10765"/>
    <s v="Anthony Garverick"/>
    <s v="Home Office"/>
    <s v="United States"/>
    <s v="Philadelphia"/>
    <x v="9"/>
    <n v="19120"/>
    <x v="3"/>
    <s v="OFF-BI-10003712"/>
    <x v="1"/>
    <s v="Binders"/>
    <s v="Acco Pressboard Covers with Storage Hooks, 14 7/8&quot; x 11&quot;, Light Blue"/>
    <n v="5.8920000000000003"/>
    <n v="4"/>
    <n v="0.7"/>
    <n v="-4.1243999999999996"/>
  </r>
  <r>
    <n v="880"/>
    <x v="413"/>
    <x v="290"/>
    <x v="10"/>
    <d v="2019-06-30T00:00:00"/>
    <d v="2017-02-12T00:00:00"/>
    <s v="Second Class"/>
    <s v="HP-14815"/>
    <s v="Harold Pawlan"/>
    <s v="Home Office"/>
    <s v="United States"/>
    <s v="New York City"/>
    <x v="15"/>
    <n v="10024"/>
    <x v="3"/>
    <s v="OFF-BI-10003984"/>
    <x v="1"/>
    <s v="Binders"/>
    <s v="Lock-Up Easel 'Spel-Binder'"/>
    <n v="68.471999999999994"/>
    <n v="3"/>
    <n v="0.2"/>
    <n v="23.109300000000001"/>
  </r>
  <r>
    <n v="881"/>
    <x v="413"/>
    <x v="290"/>
    <x v="10"/>
    <d v="2019-06-30T00:00:00"/>
    <d v="2017-02-12T00:00:00"/>
    <s v="Second Class"/>
    <s v="HP-14815"/>
    <s v="Harold Pawlan"/>
    <s v="Home Office"/>
    <s v="United States"/>
    <s v="New York City"/>
    <x v="15"/>
    <n v="10024"/>
    <x v="3"/>
    <s v="FUR-CH-10004287"/>
    <x v="0"/>
    <s v="Chairs"/>
    <s v="SAFCO Arco Folding Chair"/>
    <n v="1242.9000000000001"/>
    <n v="5"/>
    <n v="0.1"/>
    <n v="262.39"/>
  </r>
  <r>
    <n v="882"/>
    <x v="414"/>
    <x v="291"/>
    <x v="3"/>
    <d v="2015-09-30T00:00:00"/>
    <d v="2016-01-10T00:00:00"/>
    <s v="Standard Class"/>
    <s v="DK-13090"/>
    <s v="Dave Kipp"/>
    <s v="Consumer"/>
    <s v="United States"/>
    <s v="Springfield"/>
    <x v="17"/>
    <n v="22153"/>
    <x v="0"/>
    <s v="OFF-ST-10001321"/>
    <x v="1"/>
    <s v="Storage"/>
    <s v="Decoflex Hanging Personal Folder File, Blue"/>
    <n v="30.84"/>
    <n v="2"/>
    <n v="0"/>
    <n v="8.3268000000000004"/>
  </r>
  <r>
    <n v="883"/>
    <x v="415"/>
    <x v="292"/>
    <x v="2"/>
    <d v="2018-11-30T00:00:00"/>
    <d v="2018-11-12T00:00:00"/>
    <s v="Same Day"/>
    <s v="GZ-14470"/>
    <s v="Gary Zandusky"/>
    <s v="Consumer"/>
    <s v="United States"/>
    <s v="San Francisco"/>
    <x v="1"/>
    <n v="94109"/>
    <x v="1"/>
    <s v="OFF-AR-10001118"/>
    <x v="1"/>
    <s v="Art"/>
    <s v="Binney &amp; Smith Crayola Metallic Crayons, 16-Color Pack"/>
    <n v="13.48"/>
    <n v="4"/>
    <n v="0"/>
    <n v="5.9311999999999996"/>
  </r>
  <r>
    <n v="884"/>
    <x v="416"/>
    <x v="293"/>
    <x v="6"/>
    <d v="2017-10-31T00:00:00"/>
    <d v="2017-12-10T00:00:00"/>
    <s v="First Class"/>
    <s v="PM-19135"/>
    <s v="Peter McVee"/>
    <s v="Home Office"/>
    <s v="United States"/>
    <s v="Detroit"/>
    <x v="12"/>
    <n v="48227"/>
    <x v="2"/>
    <s v="FUR-FU-10000732"/>
    <x v="0"/>
    <s v="Furnishings"/>
    <s v="Eldon 200 Class Desk Accessories"/>
    <n v="31.4"/>
    <n v="5"/>
    <n v="0"/>
    <n v="10.048"/>
  </r>
  <r>
    <n v="885"/>
    <x v="417"/>
    <x v="41"/>
    <x v="5"/>
    <d v="2016-05-31T00:00:00"/>
    <d v="2014-04-05T00:00:00"/>
    <s v="Standard Class"/>
    <s v="LL-16840"/>
    <s v="Lauren Leatherbury"/>
    <s v="Consumer"/>
    <s v="United States"/>
    <s v="Rochester"/>
    <x v="15"/>
    <n v="14609"/>
    <x v="3"/>
    <s v="FUR-FU-10001424"/>
    <x v="0"/>
    <s v="Furnishings"/>
    <s v="Dax Clear Box Frame"/>
    <n v="17.46"/>
    <n v="2"/>
    <n v="0"/>
    <n v="5.9363999999999999"/>
  </r>
  <r>
    <n v="886"/>
    <x v="418"/>
    <x v="294"/>
    <x v="7"/>
    <d v="2017-01-31T00:00:00"/>
    <d v="2017-04-04T00:00:00"/>
    <s v="Second Class"/>
    <s v="JS-15595"/>
    <s v="Jill Stevenson"/>
    <s v="Corporate"/>
    <s v="United States"/>
    <s v="Los Angeles"/>
    <x v="1"/>
    <n v="90045"/>
    <x v="1"/>
    <s v="OFF-BI-10002071"/>
    <x v="1"/>
    <s v="Binders"/>
    <s v="Fellowes Black Plastic Comb Bindings"/>
    <n v="13.944000000000001"/>
    <n v="3"/>
    <n v="0.2"/>
    <n v="4.5317999999999996"/>
  </r>
  <r>
    <n v="887"/>
    <x v="419"/>
    <x v="295"/>
    <x v="11"/>
    <d v="2019-02-28T00:00:00"/>
    <d v="2017-02-07T00:00:00"/>
    <s v="Standard Class"/>
    <s v="OT-18730"/>
    <s v="Olvera Toch"/>
    <s v="Consumer"/>
    <s v="United States"/>
    <s v="San Diego"/>
    <x v="1"/>
    <n v="92105"/>
    <x v="1"/>
    <s v="OFF-ST-10002486"/>
    <x v="1"/>
    <s v="Storage"/>
    <s v="Eldon Shelf Savers Cubes and Bins"/>
    <n v="83.76"/>
    <n v="12"/>
    <n v="0"/>
    <n v="1.6752"/>
  </r>
  <r>
    <n v="888"/>
    <x v="420"/>
    <x v="296"/>
    <x v="11"/>
    <d v="2018-02-28T00:00:00"/>
    <d v="2018-07-10T00:00:00"/>
    <s v="Standard Class"/>
    <s v="EL-13735"/>
    <s v="Ed Ludwig"/>
    <s v="Home Office"/>
    <s v="United States"/>
    <s v="Columbia"/>
    <x v="39"/>
    <n v="21044"/>
    <x v="3"/>
    <s v="OFF-BI-10001078"/>
    <x v="1"/>
    <s v="Binders"/>
    <s v="Acco PRESSTEX Data Binder with Storage Hooks, Dark Blue, 14 7/8&quot; X 11&quot;"/>
    <n v="37.659999999999997"/>
    <n v="7"/>
    <n v="0"/>
    <n v="18.453399999999998"/>
  </r>
  <r>
    <n v="889"/>
    <x v="421"/>
    <x v="297"/>
    <x v="3"/>
    <d v="2014-09-30T00:00:00"/>
    <d v="2015-04-12T00:00:00"/>
    <s v="Standard Class"/>
    <s v="CK-12760"/>
    <s v="Cyma Kinney"/>
    <s v="Corporate"/>
    <s v="United States"/>
    <s v="San Francisco"/>
    <x v="1"/>
    <n v="94122"/>
    <x v="1"/>
    <s v="OFF-PA-10003845"/>
    <x v="1"/>
    <s v="Paper"/>
    <s v="Xerox 1987"/>
    <n v="34.68"/>
    <n v="6"/>
    <n v="0"/>
    <n v="16.993200000000002"/>
  </r>
  <r>
    <n v="890"/>
    <x v="422"/>
    <x v="273"/>
    <x v="0"/>
    <d v="2018-08-31T00:00:00"/>
    <d v="2019-02-06T00:00:00"/>
    <s v="Standard Class"/>
    <s v="JE-15475"/>
    <s v="Jeremy Ellison"/>
    <s v="Consumer"/>
    <s v="United States"/>
    <s v="New Rochelle"/>
    <x v="15"/>
    <n v="10801"/>
    <x v="3"/>
    <s v="TEC-AC-10000927"/>
    <x v="2"/>
    <s v="Accessories"/>
    <s v="Anker Ultrathin Bluetooth Wireless Keyboard Aluminum Cover with Stand "/>
    <n v="149.94999999999999"/>
    <n v="5"/>
    <n v="0"/>
    <n v="14.994999999999999"/>
  </r>
  <r>
    <n v="891"/>
    <x v="422"/>
    <x v="273"/>
    <x v="0"/>
    <d v="2018-08-31T00:00:00"/>
    <d v="2019-02-06T00:00:00"/>
    <s v="Standard Class"/>
    <s v="JE-15475"/>
    <s v="Jeremy Ellison"/>
    <s v="Consumer"/>
    <s v="United States"/>
    <s v="New Rochelle"/>
    <x v="15"/>
    <n v="10801"/>
    <x v="3"/>
    <s v="OFF-BI-10001098"/>
    <x v="1"/>
    <s v="Binders"/>
    <s v="Acco D-Ring Binder w/DublLock"/>
    <n v="51.311999999999998"/>
    <n v="3"/>
    <n v="0.2"/>
    <n v="18.6006"/>
  </r>
  <r>
    <n v="892"/>
    <x v="423"/>
    <x v="295"/>
    <x v="11"/>
    <d v="2019-02-28T00:00:00"/>
    <d v="2019-03-06T00:00:00"/>
    <s v="First Class"/>
    <s v="TH-21550"/>
    <s v="Tracy Hopkins"/>
    <s v="Home Office"/>
    <s v="United States"/>
    <s v="Detroit"/>
    <x v="12"/>
    <n v="48227"/>
    <x v="2"/>
    <s v="OFF-PA-10001622"/>
    <x v="1"/>
    <s v="Paper"/>
    <s v="Ampad Poly Cover Wirebound Steno Book, 6&quot; x 9&quot; Assorted Colors, Gregg Ruled"/>
    <n v="4.54"/>
    <n v="1"/>
    <n v="0"/>
    <n v="2.0430000000000001"/>
  </r>
  <r>
    <n v="893"/>
    <x v="423"/>
    <x v="295"/>
    <x v="11"/>
    <d v="2019-02-28T00:00:00"/>
    <d v="2019-03-06T00:00:00"/>
    <s v="First Class"/>
    <s v="TH-21550"/>
    <s v="Tracy Hopkins"/>
    <s v="Home Office"/>
    <s v="United States"/>
    <s v="Detroit"/>
    <x v="12"/>
    <n v="48227"/>
    <x v="2"/>
    <s v="OFF-AR-10003158"/>
    <x v="1"/>
    <s v="Art"/>
    <s v="Fluorescent Highlighters by Dixon"/>
    <n v="15.92"/>
    <n v="4"/>
    <n v="0"/>
    <n v="5.4127999999999998"/>
  </r>
  <r>
    <n v="894"/>
    <x v="423"/>
    <x v="295"/>
    <x v="11"/>
    <d v="2019-02-28T00:00:00"/>
    <d v="2019-03-06T00:00:00"/>
    <s v="First Class"/>
    <s v="TH-21550"/>
    <s v="Tracy Hopkins"/>
    <s v="Home Office"/>
    <s v="United States"/>
    <s v="Detroit"/>
    <x v="12"/>
    <n v="48227"/>
    <x v="2"/>
    <s v="TEC-PH-10002660"/>
    <x v="2"/>
    <s v="Phones"/>
    <s v="Nortel Networks T7316 E Nt8 B27"/>
    <n v="543.91999999999996"/>
    <n v="8"/>
    <n v="0"/>
    <n v="135.97999999999999"/>
  </r>
  <r>
    <n v="895"/>
    <x v="424"/>
    <x v="6"/>
    <x v="6"/>
    <d v="2016-10-31T00:00:00"/>
    <d v="2016-12-11T00:00:00"/>
    <s v="First Class"/>
    <s v="PC-18745"/>
    <s v="Pamela Coakley"/>
    <s v="Corporate"/>
    <s v="United States"/>
    <s v="San Francisco"/>
    <x v="1"/>
    <n v="94122"/>
    <x v="1"/>
    <s v="OFF-ST-10002205"/>
    <x v="1"/>
    <s v="Storage"/>
    <s v="File Shuttle I and Handi-File"/>
    <n v="155.82"/>
    <n v="7"/>
    <n v="0"/>
    <n v="42.071399999999997"/>
  </r>
  <r>
    <n v="896"/>
    <x v="424"/>
    <x v="6"/>
    <x v="6"/>
    <d v="2016-10-31T00:00:00"/>
    <d v="2016-12-11T00:00:00"/>
    <s v="First Class"/>
    <s v="PC-18745"/>
    <s v="Pamela Coakley"/>
    <s v="Corporate"/>
    <s v="United States"/>
    <s v="San Francisco"/>
    <x v="1"/>
    <n v="94122"/>
    <x v="1"/>
    <s v="OFF-BI-10003364"/>
    <x v="1"/>
    <s v="Binders"/>
    <s v="Binding Machine Supplies"/>
    <n v="70.007999999999996"/>
    <n v="3"/>
    <n v="0.2"/>
    <n v="24.502800000000001"/>
  </r>
  <r>
    <n v="897"/>
    <x v="425"/>
    <x v="52"/>
    <x v="4"/>
    <d v="2016-03-31T00:00:00"/>
    <d v="2016-06-10T00:00:00"/>
    <s v="Second Class"/>
    <s v="HL-15040"/>
    <s v="Hunter Lopez"/>
    <s v="Consumer"/>
    <s v="United States"/>
    <s v="Houston"/>
    <x v="5"/>
    <n v="77095"/>
    <x v="2"/>
    <s v="OFF-EN-10001099"/>
    <x v="1"/>
    <s v="Envelopes"/>
    <s v="Staple envelope"/>
    <n v="15.648"/>
    <n v="2"/>
    <n v="0.2"/>
    <n v="5.0856000000000003"/>
  </r>
  <r>
    <n v="898"/>
    <x v="426"/>
    <x v="298"/>
    <x v="3"/>
    <d v="2014-09-30T00:00:00"/>
    <d v="2015-03-09T00:00:00"/>
    <s v="Standard Class"/>
    <s v="MS-17365"/>
    <s v="Maribeth Schnelling"/>
    <s v="Consumer"/>
    <s v="United States"/>
    <s v="Detroit"/>
    <x v="12"/>
    <n v="48227"/>
    <x v="2"/>
    <s v="OFF-LA-10003923"/>
    <x v="1"/>
    <s v="Labels"/>
    <s v="Alphabetical Labels for Top Tab Filing"/>
    <n v="103.6"/>
    <n v="7"/>
    <n v="0"/>
    <n v="51.8"/>
  </r>
  <r>
    <n v="899"/>
    <x v="427"/>
    <x v="299"/>
    <x v="5"/>
    <d v="2019-05-31T00:00:00"/>
    <d v="2019-07-10T00:00:00"/>
    <s v="Second Class"/>
    <s v="GB-14530"/>
    <s v="George Bell"/>
    <s v="Corporate"/>
    <s v="United States"/>
    <s v="Auburn"/>
    <x v="15"/>
    <n v="13021"/>
    <x v="3"/>
    <s v="OFF-PA-10002250"/>
    <x v="1"/>
    <s v="Paper"/>
    <s v="Things To Do Today Pad"/>
    <n v="46.96"/>
    <n v="8"/>
    <n v="0"/>
    <n v="22.540800000000001"/>
  </r>
  <r>
    <n v="900"/>
    <x v="428"/>
    <x v="300"/>
    <x v="6"/>
    <d v="2016-10-31T00:00:00"/>
    <d v="2016-12-04T00:00:00"/>
    <s v="First Class"/>
    <s v="JR-16210"/>
    <s v="Justin Ritter"/>
    <s v="Corporate"/>
    <s v="United States"/>
    <s v="Springfield"/>
    <x v="24"/>
    <n v="45503"/>
    <x v="3"/>
    <s v="OFF-BI-10004716"/>
    <x v="1"/>
    <s v="Binders"/>
    <s v="Wilson Jones Hanging Recycled Pressboard Data Binders"/>
    <n v="8.9039999999999999"/>
    <n v="2"/>
    <n v="0.7"/>
    <n v="-6.5296000000000003"/>
  </r>
  <r>
    <n v="901"/>
    <x v="429"/>
    <x v="301"/>
    <x v="2"/>
    <d v="2017-11-30T00:00:00"/>
    <d v="2018-01-11T00:00:00"/>
    <s v="First Class"/>
    <s v="TD-20995"/>
    <s v="Tamara Dahlen"/>
    <s v="Consumer"/>
    <s v="United States"/>
    <s v="Garland"/>
    <x v="5"/>
    <n v="75043"/>
    <x v="2"/>
    <s v="OFF-LA-10001045"/>
    <x v="1"/>
    <s v="Labels"/>
    <s v="Permanent Self-Adhesive File Folder Labels for Typewriters by Universal"/>
    <n v="10.44"/>
    <n v="5"/>
    <n v="0.2"/>
    <n v="3.3929999999999998"/>
  </r>
  <r>
    <n v="902"/>
    <x v="429"/>
    <x v="301"/>
    <x v="2"/>
    <d v="2017-11-30T00:00:00"/>
    <d v="2018-01-11T00:00:00"/>
    <s v="First Class"/>
    <s v="TD-20995"/>
    <s v="Tamara Dahlen"/>
    <s v="Consumer"/>
    <s v="United States"/>
    <s v="Garland"/>
    <x v="5"/>
    <n v="75043"/>
    <x v="2"/>
    <s v="OFF-BI-10001510"/>
    <x v="1"/>
    <s v="Binders"/>
    <s v="Deluxe Heavy-Duty Vinyl Round Ring Binder"/>
    <n v="18.335999999999999"/>
    <n v="4"/>
    <n v="0.8"/>
    <n v="-32.088000000000001"/>
  </r>
  <r>
    <n v="903"/>
    <x v="430"/>
    <x v="164"/>
    <x v="4"/>
    <d v="2018-03-31T00:00:00"/>
    <d v="2018-05-09T00:00:00"/>
    <s v="First Class"/>
    <s v="DB-13060"/>
    <s v="Dave Brooks"/>
    <s v="Consumer"/>
    <s v="United States"/>
    <s v="Chicago"/>
    <x v="10"/>
    <n v="60653"/>
    <x v="2"/>
    <s v="TEC-PH-10004536"/>
    <x v="2"/>
    <s v="Phones"/>
    <s v="Avaya 5420 Digital phone"/>
    <n v="323.976"/>
    <n v="3"/>
    <n v="0.2"/>
    <n v="20.2485"/>
  </r>
  <r>
    <n v="904"/>
    <x v="431"/>
    <x v="136"/>
    <x v="0"/>
    <d v="2016-08-31T00:00:00"/>
    <d v="2016-12-04T00:00:00"/>
    <s v="Standard Class"/>
    <s v="LC-17140"/>
    <s v="Logan Currie"/>
    <s v="Consumer"/>
    <s v="United States"/>
    <s v="Los Angeles"/>
    <x v="1"/>
    <n v="90032"/>
    <x v="1"/>
    <s v="OFF-PA-10002947"/>
    <x v="1"/>
    <s v="Paper"/>
    <s v="Xerox 1923"/>
    <n v="20.04"/>
    <n v="3"/>
    <n v="0"/>
    <n v="9.6191999999999993"/>
  </r>
  <r>
    <n v="905"/>
    <x v="431"/>
    <x v="136"/>
    <x v="0"/>
    <d v="2016-08-31T00:00:00"/>
    <d v="2016-12-04T00:00:00"/>
    <s v="Standard Class"/>
    <s v="LC-17140"/>
    <s v="Logan Currie"/>
    <s v="Consumer"/>
    <s v="United States"/>
    <s v="Los Angeles"/>
    <x v="1"/>
    <n v="90032"/>
    <x v="1"/>
    <s v="OFF-ST-10002583"/>
    <x v="1"/>
    <s v="Storage"/>
    <s v="Fellowes Neat Ideas Storage Cubes"/>
    <n v="64.959999999999994"/>
    <n v="2"/>
    <n v="0"/>
    <n v="2.5983999999999998"/>
  </r>
  <r>
    <n v="906"/>
    <x v="431"/>
    <x v="136"/>
    <x v="0"/>
    <d v="2016-08-31T00:00:00"/>
    <d v="2016-12-04T00:00:00"/>
    <s v="Standard Class"/>
    <s v="LC-17140"/>
    <s v="Logan Currie"/>
    <s v="Consumer"/>
    <s v="United States"/>
    <s v="Los Angeles"/>
    <x v="1"/>
    <n v="90032"/>
    <x v="1"/>
    <s v="OFF-PA-10000019"/>
    <x v="1"/>
    <s v="Paper"/>
    <s v="Xerox 1931"/>
    <n v="12.96"/>
    <n v="2"/>
    <n v="0"/>
    <n v="6.2207999999999997"/>
  </r>
  <r>
    <n v="907"/>
    <x v="432"/>
    <x v="224"/>
    <x v="10"/>
    <d v="2019-06-30T00:00:00"/>
    <d v="2018-03-01T00:00:00"/>
    <s v="Standard Class"/>
    <s v="PO-18865"/>
    <s v="Patrick O'Donnell"/>
    <s v="Consumer"/>
    <s v="United States"/>
    <s v="New York City"/>
    <x v="15"/>
    <n v="10009"/>
    <x v="3"/>
    <s v="FUR-BO-10003441"/>
    <x v="0"/>
    <s v="Bookcases"/>
    <s v="Bush Westfield Collection Bookcases, Fully Assembled"/>
    <n v="323.13600000000002"/>
    <n v="4"/>
    <n v="0.2"/>
    <n v="12.117599999999999"/>
  </r>
  <r>
    <n v="908"/>
    <x v="432"/>
    <x v="224"/>
    <x v="10"/>
    <d v="2019-06-30T00:00:00"/>
    <d v="2018-03-01T00:00:00"/>
    <s v="Standard Class"/>
    <s v="PO-18865"/>
    <s v="Patrick O'Donnell"/>
    <s v="Consumer"/>
    <s v="United States"/>
    <s v="New York City"/>
    <x v="15"/>
    <n v="10009"/>
    <x v="3"/>
    <s v="TEC-PH-10004774"/>
    <x v="2"/>
    <s v="Phones"/>
    <s v="Gear Head AU3700S Headset"/>
    <n v="90.93"/>
    <n v="7"/>
    <n v="0"/>
    <n v="2.7279"/>
  </r>
  <r>
    <n v="909"/>
    <x v="432"/>
    <x v="224"/>
    <x v="10"/>
    <d v="2019-06-30T00:00:00"/>
    <d v="2018-03-01T00:00:00"/>
    <s v="Standard Class"/>
    <s v="PO-18865"/>
    <s v="Patrick O'Donnell"/>
    <s v="Consumer"/>
    <s v="United States"/>
    <s v="New York City"/>
    <x v="15"/>
    <n v="10009"/>
    <x v="3"/>
    <s v="OFF-BI-10003684"/>
    <x v="1"/>
    <s v="Binders"/>
    <s v="Wilson Jones Legal Size Ring Binders"/>
    <n v="52.776000000000003"/>
    <n v="3"/>
    <n v="0.2"/>
    <n v="19.791"/>
  </r>
  <r>
    <n v="910"/>
    <x v="433"/>
    <x v="115"/>
    <x v="11"/>
    <d v="2017-02-28T00:00:00"/>
    <d v="2017-07-09T00:00:00"/>
    <s v="Standard Class"/>
    <s v="BE-11335"/>
    <s v="Bill Eplett"/>
    <s v="Home Office"/>
    <s v="United States"/>
    <s v="Jackson"/>
    <x v="12"/>
    <n v="49201"/>
    <x v="2"/>
    <s v="TEC-PH-10001494"/>
    <x v="2"/>
    <s v="Phones"/>
    <s v="Polycom CX600 IP Phone VoIP phone"/>
    <n v="1199.8"/>
    <n v="4"/>
    <n v="0"/>
    <n v="323.94600000000003"/>
  </r>
  <r>
    <n v="911"/>
    <x v="433"/>
    <x v="115"/>
    <x v="11"/>
    <d v="2017-02-28T00:00:00"/>
    <d v="2017-07-09T00:00:00"/>
    <s v="Standard Class"/>
    <s v="BE-11335"/>
    <s v="Bill Eplett"/>
    <s v="Home Office"/>
    <s v="United States"/>
    <s v="Jackson"/>
    <x v="12"/>
    <n v="49201"/>
    <x v="2"/>
    <s v="TEC-AC-10004666"/>
    <x v="2"/>
    <s v="Accessories"/>
    <s v="Maxell iVDR EX 500GB Cartridge"/>
    <n v="1928.78"/>
    <n v="7"/>
    <n v="0"/>
    <n v="829.37540000000001"/>
  </r>
  <r>
    <n v="912"/>
    <x v="433"/>
    <x v="115"/>
    <x v="11"/>
    <d v="2017-02-28T00:00:00"/>
    <d v="2017-07-09T00:00:00"/>
    <s v="Standard Class"/>
    <s v="BE-11335"/>
    <s v="Bill Eplett"/>
    <s v="Home Office"/>
    <s v="United States"/>
    <s v="Jackson"/>
    <x v="12"/>
    <n v="49201"/>
    <x v="2"/>
    <s v="OFF-ST-10003816"/>
    <x v="1"/>
    <s v="Storage"/>
    <s v="Fellowes High-Stak Drawer Files"/>
    <n v="352.38"/>
    <n v="2"/>
    <n v="0"/>
    <n v="81.047399999999996"/>
  </r>
  <r>
    <n v="913"/>
    <x v="434"/>
    <x v="69"/>
    <x v="9"/>
    <d v="2017-07-31T00:00:00"/>
    <d v="2015-07-06T00:00:00"/>
    <s v="Standard Class"/>
    <s v="SC-20050"/>
    <s v="Sample Company A"/>
    <s v="Home Office"/>
    <s v="United States"/>
    <s v="Norwich"/>
    <x v="29"/>
    <n v="6360"/>
    <x v="3"/>
    <s v="FUR-FU-10001935"/>
    <x v="0"/>
    <s v="Furnishings"/>
    <s v="3M Hangers With Command Adhesive"/>
    <n v="22.2"/>
    <n v="6"/>
    <n v="0"/>
    <n v="9.1020000000000003"/>
  </r>
  <r>
    <n v="914"/>
    <x v="435"/>
    <x v="302"/>
    <x v="4"/>
    <d v="2019-03-31T00:00:00"/>
    <d v="2019-05-11T00:00:00"/>
    <s v="First Class"/>
    <s v="BM-11650"/>
    <s v="Brian Moss"/>
    <s v="Corporate"/>
    <s v="United States"/>
    <s v="Milwaukee"/>
    <x v="6"/>
    <n v="53209"/>
    <x v="2"/>
    <s v="FUR-FU-10004091"/>
    <x v="0"/>
    <s v="Furnishings"/>
    <s v="Howard Miller 13&quot; Diameter Goldtone Round Wall Clock"/>
    <n v="46.94"/>
    <n v="1"/>
    <n v="0"/>
    <n v="19.2454"/>
  </r>
  <r>
    <n v="915"/>
    <x v="435"/>
    <x v="302"/>
    <x v="4"/>
    <d v="2019-03-31T00:00:00"/>
    <d v="2019-05-11T00:00:00"/>
    <s v="First Class"/>
    <s v="BM-11650"/>
    <s v="Brian Moss"/>
    <s v="Corporate"/>
    <s v="United States"/>
    <s v="Milwaukee"/>
    <x v="6"/>
    <n v="53209"/>
    <x v="2"/>
    <s v="TEC-AC-10001772"/>
    <x v="2"/>
    <s v="Accessories"/>
    <s v="Memorex Mini Travel Drive 16 GB USB 2.0 Flash Drive"/>
    <n v="143.72999999999999"/>
    <n v="9"/>
    <n v="0"/>
    <n v="56.054699999999997"/>
  </r>
  <r>
    <n v="916"/>
    <x v="436"/>
    <x v="303"/>
    <x v="4"/>
    <d v="2015-03-31T00:00:00"/>
    <d v="2015-09-06T00:00:00"/>
    <s v="Standard Class"/>
    <s v="KL-16555"/>
    <s v="Kelly Lampkin"/>
    <s v="Corporate"/>
    <s v="United States"/>
    <s v="San Antonio"/>
    <x v="5"/>
    <n v="78207"/>
    <x v="2"/>
    <s v="FUR-TA-10001520"/>
    <x v="0"/>
    <s v="Tables"/>
    <s v="Lesro Sheffield Collection Coffee Table, End Table, Center Table, Corner Table"/>
    <n v="99.918000000000006"/>
    <n v="2"/>
    <n v="0.3"/>
    <n v="-18.5562"/>
  </r>
  <r>
    <n v="917"/>
    <x v="436"/>
    <x v="303"/>
    <x v="4"/>
    <d v="2015-03-31T00:00:00"/>
    <d v="2015-09-06T00:00:00"/>
    <s v="Standard Class"/>
    <s v="KL-16555"/>
    <s v="Kelly Lampkin"/>
    <s v="Corporate"/>
    <s v="United States"/>
    <s v="San Antonio"/>
    <x v="5"/>
    <n v="78207"/>
    <x v="2"/>
    <s v="FUR-CH-10003379"/>
    <x v="0"/>
    <s v="Chairs"/>
    <s v="Global Commerce Series High-Back Swivel/Tilt Chairs"/>
    <n v="797.94399999999996"/>
    <n v="4"/>
    <n v="0.3"/>
    <n v="-56.996000000000002"/>
  </r>
  <r>
    <n v="918"/>
    <x v="436"/>
    <x v="303"/>
    <x v="4"/>
    <d v="2015-03-31T00:00:00"/>
    <d v="2015-09-06T00:00:00"/>
    <s v="Standard Class"/>
    <s v="KL-16555"/>
    <s v="Kelly Lampkin"/>
    <s v="Corporate"/>
    <s v="United States"/>
    <s v="San Antonio"/>
    <x v="5"/>
    <n v="78207"/>
    <x v="2"/>
    <s v="OFF-BI-10002706"/>
    <x v="1"/>
    <s v="Binders"/>
    <s v="Avery Premier Heavy-Duty Binder with Round Locking Rings"/>
    <n v="8.5679999999999996"/>
    <n v="3"/>
    <n v="0.8"/>
    <n v="-14.5656"/>
  </r>
  <r>
    <n v="919"/>
    <x v="437"/>
    <x v="304"/>
    <x v="5"/>
    <d v="2016-05-31T00:00:00"/>
    <d v="2016-11-03T00:00:00"/>
    <s v="Standard Class"/>
    <s v="RW-19630"/>
    <s v="Rob Williams"/>
    <s v="Corporate"/>
    <s v="United States"/>
    <s v="Dallas"/>
    <x v="5"/>
    <n v="75220"/>
    <x v="2"/>
    <s v="OFF-EN-10000056"/>
    <x v="1"/>
    <s v="Envelopes"/>
    <s v="Cameo Buff Policy Envelopes"/>
    <n v="149.352"/>
    <n v="3"/>
    <n v="0.2"/>
    <n v="50.406300000000002"/>
  </r>
  <r>
    <n v="920"/>
    <x v="437"/>
    <x v="304"/>
    <x v="5"/>
    <d v="2016-05-31T00:00:00"/>
    <d v="2016-11-03T00:00:00"/>
    <s v="Standard Class"/>
    <s v="RW-19630"/>
    <s v="Rob Williams"/>
    <s v="Corporate"/>
    <s v="United States"/>
    <s v="Dallas"/>
    <x v="5"/>
    <n v="75220"/>
    <x v="2"/>
    <s v="OFF-ST-10001558"/>
    <x v="1"/>
    <s v="Storage"/>
    <s v="Acco Perma 4000 Stacking Storage Drawers"/>
    <n v="12.992000000000001"/>
    <n v="1"/>
    <n v="0.2"/>
    <n v="-0.81200000000000006"/>
  </r>
  <r>
    <n v="921"/>
    <x v="438"/>
    <x v="29"/>
    <x v="5"/>
    <d v="2014-05-31T00:00:00"/>
    <d v="2014-12-12T00:00:00"/>
    <s v="Standard Class"/>
    <s v="RC-19825"/>
    <s v="Roy Collins"/>
    <s v="Consumer"/>
    <s v="United States"/>
    <s v="Alexandria"/>
    <x v="17"/>
    <n v="22304"/>
    <x v="0"/>
    <s v="OFF-ST-10002444"/>
    <x v="1"/>
    <s v="Storage"/>
    <s v="Recycled Eldon Regeneration Jumbo File"/>
    <n v="24.56"/>
    <n v="2"/>
    <n v="0"/>
    <n v="6.8768000000000002"/>
  </r>
  <r>
    <n v="922"/>
    <x v="439"/>
    <x v="305"/>
    <x v="2"/>
    <d v="2015-11-30T00:00:00"/>
    <d v="2016-03-04T00:00:00"/>
    <s v="Standard Class"/>
    <s v="SE-20110"/>
    <s v="Sanjit Engle"/>
    <s v="Consumer"/>
    <s v="United States"/>
    <s v="New York City"/>
    <x v="15"/>
    <n v="10009"/>
    <x v="3"/>
    <s v="TEC-AC-10002473"/>
    <x v="2"/>
    <s v="Accessories"/>
    <s v="Maxell 4.7GB DVD-R"/>
    <n v="85.14"/>
    <n v="3"/>
    <n v="0"/>
    <n v="34.907400000000003"/>
  </r>
  <r>
    <n v="923"/>
    <x v="439"/>
    <x v="305"/>
    <x v="2"/>
    <d v="2015-11-30T00:00:00"/>
    <d v="2016-03-04T00:00:00"/>
    <s v="Standard Class"/>
    <s v="SE-20110"/>
    <s v="Sanjit Engle"/>
    <s v="Consumer"/>
    <s v="United States"/>
    <s v="New York City"/>
    <x v="15"/>
    <n v="10009"/>
    <x v="3"/>
    <s v="TEC-PH-10004531"/>
    <x v="2"/>
    <s v="Phones"/>
    <s v="OtterBox Commuter Series Case - iPhone 5 &amp; 5s"/>
    <n v="21.99"/>
    <n v="1"/>
    <n v="0"/>
    <n v="10.555199999999999"/>
  </r>
  <r>
    <n v="924"/>
    <x v="439"/>
    <x v="305"/>
    <x v="2"/>
    <d v="2015-11-30T00:00:00"/>
    <d v="2016-03-04T00:00:00"/>
    <s v="Standard Class"/>
    <s v="SE-20110"/>
    <s v="Sanjit Engle"/>
    <s v="Consumer"/>
    <s v="United States"/>
    <s v="New York City"/>
    <x v="15"/>
    <n v="10009"/>
    <x v="3"/>
    <s v="OFF-AP-10004487"/>
    <x v="1"/>
    <s v="Appliances"/>
    <s v="Kensington 4 Outlet MasterPiece Compact Power Control Center"/>
    <n v="406.6"/>
    <n v="5"/>
    <n v="0"/>
    <n v="113.848"/>
  </r>
  <r>
    <n v="925"/>
    <x v="440"/>
    <x v="198"/>
    <x v="4"/>
    <d v="2017-03-31T00:00:00"/>
    <d v="2017-08-09T00:00:00"/>
    <s v="Standard Class"/>
    <s v="AH-10075"/>
    <s v="Adam Hart"/>
    <s v="Corporate"/>
    <s v="United States"/>
    <s v="New York City"/>
    <x v="15"/>
    <n v="10011"/>
    <x v="3"/>
    <s v="OFF-BI-10003650"/>
    <x v="1"/>
    <s v="Binders"/>
    <s v="GBC DocuBind 300 Electric Binding Machine"/>
    <n v="841.56799999999998"/>
    <n v="2"/>
    <n v="0.2"/>
    <n v="294.54880000000003"/>
  </r>
  <r>
    <n v="926"/>
    <x v="441"/>
    <x v="102"/>
    <x v="7"/>
    <d v="2015-01-31T00:00:00"/>
    <d v="2015-04-09T00:00:00"/>
    <s v="First Class"/>
    <s v="JM-15535"/>
    <s v="Jessica Myrick"/>
    <s v="Consumer"/>
    <s v="United States"/>
    <s v="Philadelphia"/>
    <x v="9"/>
    <n v="19143"/>
    <x v="3"/>
    <s v="OFF-PA-10003543"/>
    <x v="1"/>
    <s v="Paper"/>
    <s v="Xerox 1985"/>
    <n v="15.552"/>
    <n v="3"/>
    <n v="0.2"/>
    <n v="5.4432"/>
  </r>
  <r>
    <n v="927"/>
    <x v="441"/>
    <x v="102"/>
    <x v="7"/>
    <d v="2015-01-31T00:00:00"/>
    <d v="2015-04-09T00:00:00"/>
    <s v="First Class"/>
    <s v="JM-15535"/>
    <s v="Jessica Myrick"/>
    <s v="Consumer"/>
    <s v="United States"/>
    <s v="Philadelphia"/>
    <x v="9"/>
    <n v="19143"/>
    <x v="3"/>
    <s v="TEC-AC-10004353"/>
    <x v="2"/>
    <s v="Accessories"/>
    <s v="Hypercom P1300 Pinpad"/>
    <n v="252"/>
    <n v="5"/>
    <n v="0.2"/>
    <n v="53.55"/>
  </r>
  <r>
    <n v="928"/>
    <x v="442"/>
    <x v="306"/>
    <x v="5"/>
    <d v="2015-05-31T00:00:00"/>
    <d v="2015-09-10T00:00:00"/>
    <s v="Standard Class"/>
    <s v="JJ-15760"/>
    <s v="Joel Jenkins"/>
    <s v="Home Office"/>
    <s v="United States"/>
    <s v="Springfield"/>
    <x v="17"/>
    <n v="22153"/>
    <x v="0"/>
    <s v="OFF-AR-10000658"/>
    <x v="1"/>
    <s v="Art"/>
    <s v="Newell 324"/>
    <n v="46.2"/>
    <n v="4"/>
    <n v="0"/>
    <n v="12.936"/>
  </r>
  <r>
    <n v="929"/>
    <x v="442"/>
    <x v="306"/>
    <x v="5"/>
    <d v="2015-05-31T00:00:00"/>
    <d v="2015-09-10T00:00:00"/>
    <s v="Standard Class"/>
    <s v="JJ-15760"/>
    <s v="Joel Jenkins"/>
    <s v="Home Office"/>
    <s v="United States"/>
    <s v="Springfield"/>
    <x v="17"/>
    <n v="22153"/>
    <x v="0"/>
    <s v="OFF-AP-10000696"/>
    <x v="1"/>
    <s v="Appliances"/>
    <s v="Holmes Odor Grabber"/>
    <n v="28.84"/>
    <n v="2"/>
    <n v="0"/>
    <n v="9.5172000000000008"/>
  </r>
  <r>
    <n v="930"/>
    <x v="443"/>
    <x v="307"/>
    <x v="11"/>
    <d v="2018-02-28T00:00:00"/>
    <d v="2018-05-04T00:00:00"/>
    <s v="First Class"/>
    <s v="AB-10165"/>
    <s v="Alan Barnes"/>
    <s v="Consumer"/>
    <s v="United States"/>
    <s v="Toledo"/>
    <x v="24"/>
    <n v="43615"/>
    <x v="3"/>
    <s v="OFF-AR-10003560"/>
    <x v="1"/>
    <s v="Art"/>
    <s v="Zebra Zazzle Fluorescent Highlighters"/>
    <n v="14.592000000000001"/>
    <n v="3"/>
    <n v="0.2"/>
    <n v="2.5535999999999999"/>
  </r>
  <r>
    <n v="931"/>
    <x v="443"/>
    <x v="307"/>
    <x v="11"/>
    <d v="2018-02-28T00:00:00"/>
    <d v="2018-05-04T00:00:00"/>
    <s v="First Class"/>
    <s v="AB-10165"/>
    <s v="Alan Barnes"/>
    <s v="Consumer"/>
    <s v="United States"/>
    <s v="Toledo"/>
    <x v="24"/>
    <n v="43615"/>
    <x v="3"/>
    <s v="OFF-AR-10001468"/>
    <x v="1"/>
    <s v="Art"/>
    <s v="Sanford Prismacolor Professional Thick Lead Art Pencils, 36-Color Set"/>
    <n v="89.855999999999995"/>
    <n v="3"/>
    <n v="0.2"/>
    <n v="21.340800000000002"/>
  </r>
  <r>
    <n v="932"/>
    <x v="443"/>
    <x v="307"/>
    <x v="11"/>
    <d v="2018-02-28T00:00:00"/>
    <d v="2018-05-04T00:00:00"/>
    <s v="First Class"/>
    <s v="AB-10165"/>
    <s v="Alan Barnes"/>
    <s v="Consumer"/>
    <s v="United States"/>
    <s v="Toledo"/>
    <x v="24"/>
    <n v="43615"/>
    <x v="3"/>
    <s v="OFF-PA-10004971"/>
    <x v="1"/>
    <s v="Paper"/>
    <s v="Xerox 196"/>
    <n v="13.872"/>
    <n v="3"/>
    <n v="0.2"/>
    <n v="5.0286"/>
  </r>
  <r>
    <n v="933"/>
    <x v="444"/>
    <x v="115"/>
    <x v="11"/>
    <d v="2017-02-28T00:00:00"/>
    <d v="2017-06-09T00:00:00"/>
    <s v="Standard Class"/>
    <s v="RK-19300"/>
    <s v="Ralph Kennedy"/>
    <s v="Consumer"/>
    <s v="United States"/>
    <s v="Philadelphia"/>
    <x v="9"/>
    <n v="19140"/>
    <x v="3"/>
    <s v="OFF-PA-10002195"/>
    <x v="1"/>
    <s v="Paper"/>
    <s v="RSVP Cards &amp; Envelopes, Blank White, 8-1/2&quot; X 11&quot;, 24 Cards/25 Envelopes/Set"/>
    <n v="12.192"/>
    <n v="3"/>
    <n v="0.2"/>
    <n v="4.1147999999999998"/>
  </r>
  <r>
    <n v="934"/>
    <x v="445"/>
    <x v="23"/>
    <x v="0"/>
    <d v="2017-08-31T00:00:00"/>
    <d v="2017-12-06T00:00:00"/>
    <s v="Standard Class"/>
    <s v="CG-12040"/>
    <s v="Catherine Glotzbach"/>
    <s v="Home Office"/>
    <s v="United States"/>
    <s v="Philadelphia"/>
    <x v="9"/>
    <n v="19120"/>
    <x v="3"/>
    <s v="OFF-PA-10001745"/>
    <x v="1"/>
    <s v="Paper"/>
    <s v="Wirebound Message Books, 2 7/8&quot; x 5&quot;, 3 Forms per Page"/>
    <n v="45.055999999999997"/>
    <n v="8"/>
    <n v="0.2"/>
    <n v="15.2064"/>
  </r>
  <r>
    <n v="935"/>
    <x v="445"/>
    <x v="23"/>
    <x v="0"/>
    <d v="2017-08-31T00:00:00"/>
    <d v="2017-12-06T00:00:00"/>
    <s v="Standard Class"/>
    <s v="CG-12040"/>
    <s v="Catherine Glotzbach"/>
    <s v="Home Office"/>
    <s v="United States"/>
    <s v="Philadelphia"/>
    <x v="9"/>
    <n v="19120"/>
    <x v="3"/>
    <s v="OFF-BI-10004826"/>
    <x v="1"/>
    <s v="Binders"/>
    <s v="JM Magazine Binder"/>
    <n v="29.718"/>
    <n v="6"/>
    <n v="0.7"/>
    <n v="-21.793199999999999"/>
  </r>
  <r>
    <n v="936"/>
    <x v="445"/>
    <x v="23"/>
    <x v="0"/>
    <d v="2017-08-31T00:00:00"/>
    <d v="2017-12-06T00:00:00"/>
    <s v="Standard Class"/>
    <s v="CG-12040"/>
    <s v="Catherine Glotzbach"/>
    <s v="Home Office"/>
    <s v="United States"/>
    <s v="Philadelphia"/>
    <x v="9"/>
    <n v="19120"/>
    <x v="3"/>
    <s v="OFF-PA-10001870"/>
    <x v="1"/>
    <s v="Paper"/>
    <s v="Xerox 202"/>
    <n v="15.552"/>
    <n v="3"/>
    <n v="0.2"/>
    <n v="5.4432"/>
  </r>
  <r>
    <n v="937"/>
    <x v="445"/>
    <x v="23"/>
    <x v="0"/>
    <d v="2017-08-31T00:00:00"/>
    <d v="2017-12-06T00:00:00"/>
    <s v="Standard Class"/>
    <s v="CG-12040"/>
    <s v="Catherine Glotzbach"/>
    <s v="Home Office"/>
    <s v="United States"/>
    <s v="Philadelphia"/>
    <x v="9"/>
    <n v="19120"/>
    <x v="3"/>
    <s v="OFF-AP-10001058"/>
    <x v="1"/>
    <s v="Appliances"/>
    <s v="Sanyo 2.5 Cubic Foot Mid-Size Office Refrigerators"/>
    <n v="447.69600000000003"/>
    <n v="2"/>
    <n v="0.2"/>
    <n v="33.577199999999998"/>
  </r>
  <r>
    <n v="938"/>
    <x v="446"/>
    <x v="60"/>
    <x v="5"/>
    <d v="2017-05-31T00:00:00"/>
    <d v="2017-06-11T00:00:00"/>
    <s v="First Class"/>
    <s v="RA-19885"/>
    <s v="Ruben Ausman"/>
    <s v="Corporate"/>
    <s v="United States"/>
    <s v="Farmington"/>
    <x v="27"/>
    <n v="87401"/>
    <x v="1"/>
    <s v="TEC-AC-10003911"/>
    <x v="2"/>
    <s v="Accessories"/>
    <s v="NETGEAR AC1750 Dual Band Gigabit Smart WiFi Router"/>
    <n v="159.99"/>
    <n v="1"/>
    <n v="0"/>
    <n v="54.396599999999999"/>
  </r>
  <r>
    <n v="939"/>
    <x v="447"/>
    <x v="49"/>
    <x v="7"/>
    <d v="2016-01-31T00:00:00"/>
    <d v="2016-05-12T00:00:00"/>
    <s v="Standard Class"/>
    <s v="RP-19270"/>
    <s v="Rachel Payne"/>
    <s v="Corporate"/>
    <s v="United States"/>
    <s v="Riverside"/>
    <x v="1"/>
    <n v="92503"/>
    <x v="1"/>
    <s v="OFF-PA-10000289"/>
    <x v="1"/>
    <s v="Paper"/>
    <s v="Xerox 213"/>
    <n v="12.96"/>
    <n v="2"/>
    <n v="0"/>
    <n v="6.2207999999999997"/>
  </r>
  <r>
    <n v="940"/>
    <x v="447"/>
    <x v="49"/>
    <x v="7"/>
    <d v="2016-01-31T00:00:00"/>
    <d v="2016-05-12T00:00:00"/>
    <s v="Standard Class"/>
    <s v="RP-19270"/>
    <s v="Rachel Payne"/>
    <s v="Corporate"/>
    <s v="United States"/>
    <s v="Riverside"/>
    <x v="1"/>
    <n v="92503"/>
    <x v="1"/>
    <s v="OFF-AP-10003040"/>
    <x v="1"/>
    <s v="Appliances"/>
    <s v="Fellowes 8 Outlet Superior Workstation Surge Protector w/o Phone/Fax/Modem Protection"/>
    <n v="134.47999999999999"/>
    <n v="4"/>
    <n v="0"/>
    <n v="34.964799999999997"/>
  </r>
  <r>
    <n v="941"/>
    <x v="448"/>
    <x v="308"/>
    <x v="9"/>
    <d v="2017-07-31T00:00:00"/>
    <d v="2017-08-06T00:00:00"/>
    <s v="First Class"/>
    <s v="KC-16255"/>
    <s v="Karen Carlisle"/>
    <s v="Corporate"/>
    <s v="United States"/>
    <s v="San Francisco"/>
    <x v="1"/>
    <n v="94110"/>
    <x v="1"/>
    <s v="OFF-PA-10000350"/>
    <x v="1"/>
    <s v="Paper"/>
    <s v="Message Book, Standard Line &quot;While You Were Out&quot;, 5 1/2&quot; X 4&quot;, 200 Sets/Book"/>
    <n v="17.12"/>
    <n v="2"/>
    <n v="0"/>
    <n v="8.0464000000000002"/>
  </r>
  <r>
    <n v="942"/>
    <x v="449"/>
    <x v="95"/>
    <x v="7"/>
    <d v="2017-01-31T00:00:00"/>
    <d v="2017-08-12T00:00:00"/>
    <s v="Standard Class"/>
    <s v="RW-19630"/>
    <s v="Rob Williams"/>
    <s v="Corporate"/>
    <s v="United States"/>
    <s v="Torrance"/>
    <x v="1"/>
    <n v="90503"/>
    <x v="1"/>
    <s v="OFF-BI-10001759"/>
    <x v="1"/>
    <s v="Binders"/>
    <s v="Acco Pressboard Covers with Storage Hooks, 14 7/8&quot; x 11&quot;, Dark Blue"/>
    <n v="6.0960000000000001"/>
    <n v="2"/>
    <n v="0.2"/>
    <n v="2.2098"/>
  </r>
  <r>
    <n v="943"/>
    <x v="449"/>
    <x v="95"/>
    <x v="7"/>
    <d v="2017-01-31T00:00:00"/>
    <d v="2017-08-12T00:00:00"/>
    <s v="Standard Class"/>
    <s v="RW-19630"/>
    <s v="Rob Williams"/>
    <s v="Corporate"/>
    <s v="United States"/>
    <s v="Torrance"/>
    <x v="1"/>
    <n v="90503"/>
    <x v="1"/>
    <s v="FUR-TA-10000577"/>
    <x v="0"/>
    <s v="Tables"/>
    <s v="Bretford CR4500 Series Slim Rectangular Table"/>
    <n v="1114.2719999999999"/>
    <n v="4"/>
    <n v="0.2"/>
    <n v="41.785200000000003"/>
  </r>
  <r>
    <n v="944"/>
    <x v="450"/>
    <x v="309"/>
    <x v="5"/>
    <d v="2017-05-31T00:00:00"/>
    <d v="2015-03-06T00:00:00"/>
    <s v="Standard Class"/>
    <s v="JL-15850"/>
    <s v="John Lucas"/>
    <s v="Consumer"/>
    <s v="United States"/>
    <s v="Seattle"/>
    <x v="4"/>
    <n v="98105"/>
    <x v="1"/>
    <s v="OFF-PA-10004101"/>
    <x v="1"/>
    <s v="Paper"/>
    <s v="Xerox 1894"/>
    <n v="32.4"/>
    <n v="5"/>
    <n v="0"/>
    <n v="15.552"/>
  </r>
  <r>
    <n v="945"/>
    <x v="450"/>
    <x v="309"/>
    <x v="5"/>
    <d v="2017-05-31T00:00:00"/>
    <d v="2015-03-06T00:00:00"/>
    <s v="Standard Class"/>
    <s v="JL-15850"/>
    <s v="John Lucas"/>
    <s v="Consumer"/>
    <s v="United States"/>
    <s v="Seattle"/>
    <x v="4"/>
    <n v="98105"/>
    <x v="1"/>
    <s v="OFF-ST-10001496"/>
    <x v="1"/>
    <s v="Storage"/>
    <s v="Standard Rollaway File with Lock"/>
    <n v="540.57000000000005"/>
    <n v="3"/>
    <n v="0"/>
    <n v="140.54820000000001"/>
  </r>
  <r>
    <n v="946"/>
    <x v="450"/>
    <x v="309"/>
    <x v="5"/>
    <d v="2017-05-31T00:00:00"/>
    <d v="2015-03-06T00:00:00"/>
    <s v="Standard Class"/>
    <s v="JL-15850"/>
    <s v="John Lucas"/>
    <s v="Consumer"/>
    <s v="United States"/>
    <s v="Seattle"/>
    <x v="4"/>
    <n v="98105"/>
    <x v="1"/>
    <s v="OFF-BI-10002931"/>
    <x v="1"/>
    <s v="Binders"/>
    <s v="Avery Trapezoid Extra Heavy Duty 4&quot; Binders"/>
    <n v="167.76"/>
    <n v="5"/>
    <n v="0.2"/>
    <n v="62.91"/>
  </r>
  <r>
    <n v="947"/>
    <x v="451"/>
    <x v="200"/>
    <x v="11"/>
    <d v="2017-02-28T00:00:00"/>
    <d v="2017-04-07T00:00:00"/>
    <s v="First Class"/>
    <s v="CA-12775"/>
    <s v="Cynthia Arntzen"/>
    <s v="Consumer"/>
    <s v="United States"/>
    <s v="Mesa"/>
    <x v="16"/>
    <n v="85204"/>
    <x v="1"/>
    <s v="FUR-TA-10002356"/>
    <x v="0"/>
    <s v="Tables"/>
    <s v="Bevis Boat-Shaped Conference Table"/>
    <n v="393.16500000000002"/>
    <n v="3"/>
    <n v="0.5"/>
    <n v="-204.44579999999999"/>
  </r>
  <r>
    <n v="948"/>
    <x v="452"/>
    <x v="310"/>
    <x v="8"/>
    <d v="2019-04-30T00:00:00"/>
    <d v="2017-02-12T00:00:00"/>
    <s v="Standard Class"/>
    <s v="RB-19795"/>
    <s v="Ross Baird"/>
    <s v="Home Office"/>
    <s v="United States"/>
    <s v="Philadelphia"/>
    <x v="9"/>
    <n v="19120"/>
    <x v="3"/>
    <s v="FUR-FU-10003601"/>
    <x v="0"/>
    <s v="Furnishings"/>
    <s v="Deflect-o RollaMat Studded, Beveled Mat for Medium Pile Carpeting"/>
    <n v="516.48800000000006"/>
    <n v="7"/>
    <n v="0.2"/>
    <n v="-12.9122"/>
  </r>
  <r>
    <n v="949"/>
    <x v="452"/>
    <x v="310"/>
    <x v="8"/>
    <d v="2019-04-30T00:00:00"/>
    <d v="2017-02-12T00:00:00"/>
    <s v="Standard Class"/>
    <s v="RB-19795"/>
    <s v="Ross Baird"/>
    <s v="Home Office"/>
    <s v="United States"/>
    <s v="Philadelphia"/>
    <x v="9"/>
    <n v="19120"/>
    <x v="3"/>
    <s v="FUR-FU-10000576"/>
    <x v="0"/>
    <s v="Furnishings"/>
    <s v="Luxo Professional Fluorescent Magnifier Lamp with Clamp-Mount Base"/>
    <n v="1007.232"/>
    <n v="6"/>
    <n v="0.2"/>
    <n v="75.542400000000001"/>
  </r>
  <r>
    <n v="950"/>
    <x v="452"/>
    <x v="310"/>
    <x v="8"/>
    <d v="2019-04-30T00:00:00"/>
    <d v="2017-02-12T00:00:00"/>
    <s v="Standard Class"/>
    <s v="RB-19795"/>
    <s v="Ross Baird"/>
    <s v="Home Office"/>
    <s v="United States"/>
    <s v="Philadelphia"/>
    <x v="9"/>
    <n v="19120"/>
    <x v="3"/>
    <s v="FUR-TA-10004154"/>
    <x v="0"/>
    <s v="Tables"/>
    <s v="Riverside Furniture Oval Coffee Table, Oval End Table, End Table with Drawer"/>
    <n v="2065.3200000000002"/>
    <n v="12"/>
    <n v="0.4"/>
    <n v="-619.596"/>
  </r>
  <r>
    <n v="951"/>
    <x v="452"/>
    <x v="310"/>
    <x v="8"/>
    <d v="2019-04-30T00:00:00"/>
    <d v="2017-02-12T00:00:00"/>
    <s v="Standard Class"/>
    <s v="RB-19795"/>
    <s v="Ross Baird"/>
    <s v="Home Office"/>
    <s v="United States"/>
    <s v="Philadelphia"/>
    <x v="9"/>
    <n v="19120"/>
    <x v="3"/>
    <s v="OFF-PA-10000788"/>
    <x v="1"/>
    <s v="Paper"/>
    <s v="Xerox 210"/>
    <n v="15.552"/>
    <n v="3"/>
    <n v="0.2"/>
    <n v="5.4432"/>
  </r>
  <r>
    <n v="952"/>
    <x v="452"/>
    <x v="310"/>
    <x v="8"/>
    <d v="2019-04-30T00:00:00"/>
    <d v="2017-02-12T00:00:00"/>
    <s v="Standard Class"/>
    <s v="RB-19795"/>
    <s v="Ross Baird"/>
    <s v="Home Office"/>
    <s v="United States"/>
    <s v="Philadelphia"/>
    <x v="9"/>
    <n v="19120"/>
    <x v="3"/>
    <s v="OFF-PA-10002479"/>
    <x v="1"/>
    <s v="Paper"/>
    <s v="Xerox 4200 Series MultiUse Premium Copy Paper (20Lb. and 84 Bright)"/>
    <n v="25.344000000000001"/>
    <n v="6"/>
    <n v="0.2"/>
    <n v="7.92"/>
  </r>
  <r>
    <n v="953"/>
    <x v="453"/>
    <x v="162"/>
    <x v="4"/>
    <d v="2017-03-31T00:00:00"/>
    <d v="2017-07-04T00:00:00"/>
    <s v="Standard Class"/>
    <s v="KH-16360"/>
    <s v="Katherine Hughes"/>
    <s v="Consumer"/>
    <s v="United States"/>
    <s v="Philadelphia"/>
    <x v="9"/>
    <n v="19143"/>
    <x v="3"/>
    <s v="FUR-FU-10001940"/>
    <x v="0"/>
    <s v="Furnishings"/>
    <s v="Staple-based wall hangings"/>
    <n v="25.472000000000001"/>
    <n v="4"/>
    <n v="0.2"/>
    <n v="7.6416000000000004"/>
  </r>
  <r>
    <n v="954"/>
    <x v="454"/>
    <x v="112"/>
    <x v="8"/>
    <d v="2019-04-30T00:00:00"/>
    <d v="2018-01-01T00:00:00"/>
    <s v="Standard Class"/>
    <s v="GH-14665"/>
    <s v="Greg Hansen"/>
    <s v="Consumer"/>
    <s v="United States"/>
    <s v="Round Rock"/>
    <x v="5"/>
    <n v="78664"/>
    <x v="2"/>
    <s v="OFF-AR-10001958"/>
    <x v="1"/>
    <s v="Art"/>
    <s v="Stanley Bostitch Contemporary Electric Pencil Sharpeners"/>
    <n v="27.167999999999999"/>
    <n v="2"/>
    <n v="0.2"/>
    <n v="2.7168000000000001"/>
  </r>
  <r>
    <n v="955"/>
    <x v="454"/>
    <x v="112"/>
    <x v="8"/>
    <d v="2019-04-30T00:00:00"/>
    <d v="2018-01-01T00:00:00"/>
    <s v="Standard Class"/>
    <s v="GH-14665"/>
    <s v="Greg Hansen"/>
    <s v="Consumer"/>
    <s v="United States"/>
    <s v="Round Rock"/>
    <x v="5"/>
    <n v="78664"/>
    <x v="2"/>
    <s v="FUR-BO-10004709"/>
    <x v="0"/>
    <s v="Bookcases"/>
    <s v="Bush Westfield Collection Bookcases, Medium Cherry Finish"/>
    <n v="78.852800000000002"/>
    <n v="2"/>
    <n v="0.32"/>
    <n v="-11.596"/>
  </r>
  <r>
    <n v="956"/>
    <x v="455"/>
    <x v="290"/>
    <x v="10"/>
    <d v="2019-06-30T00:00:00"/>
    <d v="2017-04-12T00:00:00"/>
    <s v="Standard Class"/>
    <s v="SW-20275"/>
    <s v="Scott Williamson"/>
    <s v="Consumer"/>
    <s v="United States"/>
    <s v="Jackson"/>
    <x v="35"/>
    <n v="39212"/>
    <x v="0"/>
    <s v="OFF-ST-10000604"/>
    <x v="1"/>
    <s v="Storage"/>
    <s v="Home/Office Personal File Carts"/>
    <n v="173.8"/>
    <n v="5"/>
    <n v="0"/>
    <n v="43.45"/>
  </r>
  <r>
    <n v="957"/>
    <x v="456"/>
    <x v="311"/>
    <x v="4"/>
    <d v="2018-03-31T00:00:00"/>
    <d v="2018-06-05T00:00:00"/>
    <s v="Second Class"/>
    <s v="JA-15970"/>
    <s v="Joseph Airdo"/>
    <s v="Consumer"/>
    <s v="United States"/>
    <s v="Phoenix"/>
    <x v="16"/>
    <n v="85023"/>
    <x v="1"/>
    <s v="TEC-PH-10002923"/>
    <x v="2"/>
    <s v="Phones"/>
    <s v="Logitech B530 USB Headset - headset - Full size, Binaural"/>
    <n v="29.591999999999999"/>
    <n v="1"/>
    <n v="0.2"/>
    <n v="2.5893000000000002"/>
  </r>
  <r>
    <n v="958"/>
    <x v="456"/>
    <x v="311"/>
    <x v="4"/>
    <d v="2018-03-31T00:00:00"/>
    <d v="2018-06-05T00:00:00"/>
    <s v="Second Class"/>
    <s v="JA-15970"/>
    <s v="Joseph Airdo"/>
    <s v="Consumer"/>
    <s v="United States"/>
    <s v="Phoenix"/>
    <x v="16"/>
    <n v="85023"/>
    <x v="1"/>
    <s v="OFF-BI-10004465"/>
    <x v="1"/>
    <s v="Binders"/>
    <s v="Avery Durable Slant Ring Binders"/>
    <n v="4.7519999999999998"/>
    <n v="2"/>
    <n v="0.7"/>
    <n v="-3.1680000000000001"/>
  </r>
  <r>
    <n v="959"/>
    <x v="456"/>
    <x v="311"/>
    <x v="4"/>
    <d v="2018-03-31T00:00:00"/>
    <d v="2018-06-05T00:00:00"/>
    <s v="Second Class"/>
    <s v="JA-15970"/>
    <s v="Joseph Airdo"/>
    <s v="Consumer"/>
    <s v="United States"/>
    <s v="Phoenix"/>
    <x v="16"/>
    <n v="85023"/>
    <x v="1"/>
    <s v="OFF-PA-10002333"/>
    <x v="1"/>
    <s v="Paper"/>
    <s v="Universal Ultra Bright White Copier/Laser Paper, 8 1/2&quot; x 11&quot;, Ream"/>
    <n v="15.552"/>
    <n v="3"/>
    <n v="0.2"/>
    <n v="5.6375999999999999"/>
  </r>
  <r>
    <n v="960"/>
    <x v="457"/>
    <x v="312"/>
    <x v="6"/>
    <d v="2016-10-31T00:00:00"/>
    <d v="2016-10-09T00:00:00"/>
    <s v="Same Day"/>
    <s v="DL-12925"/>
    <s v="Daniel Lacy"/>
    <s v="Consumer"/>
    <s v="United States"/>
    <s v="Oceanside"/>
    <x v="1"/>
    <n v="92054"/>
    <x v="1"/>
    <s v="FUR-FU-10004188"/>
    <x v="0"/>
    <s v="Furnishings"/>
    <s v="Luxo Professional Combination Clamp-On Lamps"/>
    <n v="204.6"/>
    <n v="2"/>
    <n v="0"/>
    <n v="53.195999999999998"/>
  </r>
  <r>
    <n v="961"/>
    <x v="458"/>
    <x v="216"/>
    <x v="11"/>
    <d v="2018-02-28T00:00:00"/>
    <d v="2018-07-11T00:00:00"/>
    <s v="Standard Class"/>
    <s v="LW-16990"/>
    <s v="Lindsay Williams"/>
    <s v="Corporate"/>
    <s v="United States"/>
    <s v="San Francisco"/>
    <x v="1"/>
    <n v="94110"/>
    <x v="1"/>
    <s v="FUR-CH-10002965"/>
    <x v="0"/>
    <s v="Chairs"/>
    <s v="Global Leather Highback Executive Chair with Pneumatic Height Adjustment, Black"/>
    <n v="321.56799999999998"/>
    <n v="2"/>
    <n v="0.2"/>
    <n v="28.1372"/>
  </r>
  <r>
    <n v="962"/>
    <x v="459"/>
    <x v="127"/>
    <x v="4"/>
    <d v="2017-03-31T00:00:00"/>
    <d v="2015-01-12T00:00:00"/>
    <s v="Standard Class"/>
    <s v="TB-21190"/>
    <s v="Thomas Brumley"/>
    <s v="Home Office"/>
    <s v="United States"/>
    <s v="Fayetteville"/>
    <x v="36"/>
    <n v="72701"/>
    <x v="0"/>
    <s v="OFF-BI-10000145"/>
    <x v="1"/>
    <s v="Binders"/>
    <s v="Zipper Ring Binder Pockets"/>
    <n v="6.24"/>
    <n v="2"/>
    <n v="0"/>
    <n v="3.0575999999999999"/>
  </r>
  <r>
    <n v="963"/>
    <x v="460"/>
    <x v="135"/>
    <x v="7"/>
    <d v="2016-01-31T00:00:00"/>
    <d v="2016-04-09T00:00:00"/>
    <s v="First Class"/>
    <s v="CV-12805"/>
    <s v="Cynthia Voltz"/>
    <s v="Corporate"/>
    <s v="United States"/>
    <s v="San Francisco"/>
    <x v="1"/>
    <n v="94110"/>
    <x v="1"/>
    <s v="OFF-EN-10001335"/>
    <x v="1"/>
    <s v="Envelopes"/>
    <s v="White Business Envelopes with Contemporary Seam, Recycled White Business Envelopes"/>
    <n v="21.88"/>
    <n v="2"/>
    <n v="0"/>
    <n v="10.94"/>
  </r>
  <r>
    <n v="964"/>
    <x v="461"/>
    <x v="209"/>
    <x v="6"/>
    <d v="2015-10-31T00:00:00"/>
    <d v="2015-12-09T00:00:00"/>
    <s v="Second Class"/>
    <s v="MS-17365"/>
    <s v="Maribeth Schnelling"/>
    <s v="Consumer"/>
    <s v="United States"/>
    <s v="Boca Raton"/>
    <x v="2"/>
    <n v="33433"/>
    <x v="0"/>
    <s v="OFF-LA-10001613"/>
    <x v="1"/>
    <s v="Labels"/>
    <s v="Avery File Folder Labels"/>
    <n v="4.6079999999999997"/>
    <n v="2"/>
    <n v="0.2"/>
    <n v="1.6704000000000001"/>
  </r>
  <r>
    <n v="965"/>
    <x v="462"/>
    <x v="313"/>
    <x v="3"/>
    <d v="2017-09-30T00:00:00"/>
    <d v="2017-11-04T00:00:00"/>
    <s v="First Class"/>
    <s v="BS-11800"/>
    <s v="Bryan Spruell"/>
    <s v="Home Office"/>
    <s v="United States"/>
    <s v="New York City"/>
    <x v="15"/>
    <n v="10011"/>
    <x v="3"/>
    <s v="OFF-LA-10004055"/>
    <x v="1"/>
    <s v="Labels"/>
    <s v="Color-Coded Legal Exhibit Labels"/>
    <n v="9.82"/>
    <n v="2"/>
    <n v="0"/>
    <n v="4.8117999999999999"/>
  </r>
  <r>
    <n v="966"/>
    <x v="462"/>
    <x v="313"/>
    <x v="3"/>
    <d v="2017-09-30T00:00:00"/>
    <d v="2017-11-04T00:00:00"/>
    <s v="First Class"/>
    <s v="BS-11800"/>
    <s v="Bryan Spruell"/>
    <s v="Home Office"/>
    <s v="United States"/>
    <s v="New York City"/>
    <x v="15"/>
    <n v="10011"/>
    <x v="3"/>
    <s v="OFF-AR-10004344"/>
    <x v="1"/>
    <s v="Art"/>
    <s v="Bulldog Vacuum Base Pencil Sharpener"/>
    <n v="35.97"/>
    <n v="3"/>
    <n v="0"/>
    <n v="9.7119"/>
  </r>
  <r>
    <n v="967"/>
    <x v="462"/>
    <x v="313"/>
    <x v="3"/>
    <d v="2017-09-30T00:00:00"/>
    <d v="2017-11-04T00:00:00"/>
    <s v="First Class"/>
    <s v="BS-11800"/>
    <s v="Bryan Spruell"/>
    <s v="Home Office"/>
    <s v="United States"/>
    <s v="New York City"/>
    <x v="15"/>
    <n v="10011"/>
    <x v="3"/>
    <s v="OFF-PA-10004621"/>
    <x v="1"/>
    <s v="Paper"/>
    <s v="Xerox 212"/>
    <n v="12.96"/>
    <n v="2"/>
    <n v="0"/>
    <n v="6.2207999999999997"/>
  </r>
  <r>
    <n v="968"/>
    <x v="462"/>
    <x v="313"/>
    <x v="3"/>
    <d v="2017-09-30T00:00:00"/>
    <d v="2017-11-04T00:00:00"/>
    <s v="First Class"/>
    <s v="BS-11800"/>
    <s v="Bryan Spruell"/>
    <s v="Home Office"/>
    <s v="United States"/>
    <s v="New York City"/>
    <x v="15"/>
    <n v="10011"/>
    <x v="3"/>
    <s v="OFF-PA-10001281"/>
    <x v="1"/>
    <s v="Paper"/>
    <s v="Computer Printout Paper with Letter-Trim Fine Perforations"/>
    <n v="191.6"/>
    <n v="4"/>
    <n v="0"/>
    <n v="91.968000000000004"/>
  </r>
  <r>
    <n v="969"/>
    <x v="462"/>
    <x v="313"/>
    <x v="3"/>
    <d v="2017-09-30T00:00:00"/>
    <d v="2017-11-04T00:00:00"/>
    <s v="First Class"/>
    <s v="BS-11800"/>
    <s v="Bryan Spruell"/>
    <s v="Home Office"/>
    <s v="United States"/>
    <s v="New York City"/>
    <x v="15"/>
    <n v="10011"/>
    <x v="3"/>
    <s v="OFF-LA-10001613"/>
    <x v="1"/>
    <s v="Labels"/>
    <s v="Avery File Folder Labels"/>
    <n v="8.64"/>
    <n v="3"/>
    <n v="0"/>
    <n v="4.2336"/>
  </r>
  <r>
    <n v="970"/>
    <x v="462"/>
    <x v="313"/>
    <x v="3"/>
    <d v="2017-09-30T00:00:00"/>
    <d v="2017-11-04T00:00:00"/>
    <s v="First Class"/>
    <s v="BS-11800"/>
    <s v="Bryan Spruell"/>
    <s v="Home Office"/>
    <s v="United States"/>
    <s v="New York City"/>
    <x v="15"/>
    <n v="10011"/>
    <x v="3"/>
    <s v="OFF-ST-10001097"/>
    <x v="1"/>
    <s v="Storage"/>
    <s v="Office Impressions Heavy Duty Welded Shelving &amp; Multimedia Storage Drawers"/>
    <n v="501.81"/>
    <n v="3"/>
    <n v="0"/>
    <n v="0"/>
  </r>
  <r>
    <n v="971"/>
    <x v="463"/>
    <x v="314"/>
    <x v="8"/>
    <d v="2015-04-30T00:00:00"/>
    <d v="2015-06-01T00:00:00"/>
    <s v="Second Class"/>
    <s v="DL-13315"/>
    <s v="Delfina Latchford"/>
    <s v="Consumer"/>
    <s v="United States"/>
    <s v="Philadelphia"/>
    <x v="9"/>
    <n v="19134"/>
    <x v="3"/>
    <s v="FUR-FU-10001095"/>
    <x v="0"/>
    <s v="Furnishings"/>
    <s v="DAX Black Cherry Wood-Tone Poster Frame"/>
    <n v="127.104"/>
    <n v="6"/>
    <n v="0.2"/>
    <n v="28.598400000000002"/>
  </r>
  <r>
    <n v="972"/>
    <x v="463"/>
    <x v="314"/>
    <x v="8"/>
    <d v="2015-04-30T00:00:00"/>
    <d v="2015-06-01T00:00:00"/>
    <s v="Second Class"/>
    <s v="DL-13315"/>
    <s v="Delfina Latchford"/>
    <s v="Consumer"/>
    <s v="United States"/>
    <s v="Philadelphia"/>
    <x v="9"/>
    <n v="19134"/>
    <x v="3"/>
    <s v="TEC-PH-10004614"/>
    <x v="2"/>
    <s v="Phones"/>
    <s v="AT&amp;T 841000 Phone"/>
    <n v="124.2"/>
    <n v="3"/>
    <n v="0.4"/>
    <n v="-31.05"/>
  </r>
  <r>
    <n v="973"/>
    <x v="463"/>
    <x v="314"/>
    <x v="8"/>
    <d v="2015-04-30T00:00:00"/>
    <d v="2015-06-01T00:00:00"/>
    <s v="Second Class"/>
    <s v="DL-13315"/>
    <s v="Delfina Latchford"/>
    <s v="Consumer"/>
    <s v="United States"/>
    <s v="Philadelphia"/>
    <x v="9"/>
    <n v="19134"/>
    <x v="3"/>
    <s v="OFF-BI-10001575"/>
    <x v="1"/>
    <s v="Binders"/>
    <s v="GBC Linen Binding Covers"/>
    <n v="18.588000000000001"/>
    <n v="2"/>
    <n v="0.7"/>
    <n v="-13.6312"/>
  </r>
  <r>
    <n v="974"/>
    <x v="463"/>
    <x v="314"/>
    <x v="8"/>
    <d v="2015-04-30T00:00:00"/>
    <d v="2015-06-01T00:00:00"/>
    <s v="Second Class"/>
    <s v="DL-13315"/>
    <s v="Delfina Latchford"/>
    <s v="Consumer"/>
    <s v="United States"/>
    <s v="Philadelphia"/>
    <x v="9"/>
    <n v="19134"/>
    <x v="3"/>
    <s v="OFF-LA-10001074"/>
    <x v="1"/>
    <s v="Labels"/>
    <s v="Round Specialty Laser Printer Labels"/>
    <n v="30.071999999999999"/>
    <n v="3"/>
    <n v="0.2"/>
    <n v="10.1493"/>
  </r>
  <r>
    <n v="975"/>
    <x v="464"/>
    <x v="315"/>
    <x v="5"/>
    <d v="2017-05-31T00:00:00"/>
    <d v="2017-08-10T00:00:00"/>
    <s v="Second Class"/>
    <s v="PO-19195"/>
    <s v="Phillina Ober"/>
    <s v="Home Office"/>
    <s v="United States"/>
    <s v="New York City"/>
    <x v="15"/>
    <n v="10011"/>
    <x v="3"/>
    <s v="TEC-PH-10003555"/>
    <x v="2"/>
    <s v="Phones"/>
    <s v="Motorola HK250 Universal Bluetooth Headset"/>
    <n v="160.93"/>
    <n v="7"/>
    <n v="0"/>
    <n v="3.2185999999999999"/>
  </r>
  <r>
    <n v="976"/>
    <x v="464"/>
    <x v="315"/>
    <x v="5"/>
    <d v="2017-05-31T00:00:00"/>
    <d v="2017-08-10T00:00:00"/>
    <s v="Second Class"/>
    <s v="PO-19195"/>
    <s v="Phillina Ober"/>
    <s v="Home Office"/>
    <s v="United States"/>
    <s v="New York City"/>
    <x v="15"/>
    <n v="10011"/>
    <x v="3"/>
    <s v="OFF-BI-10004492"/>
    <x v="1"/>
    <s v="Binders"/>
    <s v="Tuf-Vin Binders"/>
    <n v="75.792000000000002"/>
    <n v="3"/>
    <n v="0.2"/>
    <n v="25.579799999999999"/>
  </r>
  <r>
    <n v="977"/>
    <x v="465"/>
    <x v="316"/>
    <x v="3"/>
    <d v="2017-09-30T00:00:00"/>
    <d v="2018-03-07T00:00:00"/>
    <s v="Standard Class"/>
    <s v="TD-20995"/>
    <s v="Tamara Dahlen"/>
    <s v="Consumer"/>
    <s v="United States"/>
    <s v="Portland"/>
    <x v="21"/>
    <n v="97206"/>
    <x v="1"/>
    <s v="OFF-BI-10002012"/>
    <x v="1"/>
    <s v="Binders"/>
    <s v="Wilson Jones Easy Flow II Sheet Lifters"/>
    <n v="1.08"/>
    <n v="2"/>
    <n v="0.7"/>
    <n v="-0.79200000000000004"/>
  </r>
  <r>
    <n v="978"/>
    <x v="466"/>
    <x v="43"/>
    <x v="9"/>
    <d v="2017-07-31T00:00:00"/>
    <d v="2017-10-01T00:00:00"/>
    <s v="First Class"/>
    <s v="BW-11110"/>
    <s v="Bart Watters"/>
    <s v="Corporate"/>
    <s v="United States"/>
    <s v="Detroit"/>
    <x v="12"/>
    <n v="48205"/>
    <x v="2"/>
    <s v="TEC-MA-10000822"/>
    <x v="2"/>
    <s v="Machines"/>
    <s v="Lexmark MX611dhe Monochrome Laser Printer"/>
    <n v="3059.982"/>
    <n v="2"/>
    <n v="0.1"/>
    <n v="679.99599999999998"/>
  </r>
  <r>
    <n v="979"/>
    <x v="467"/>
    <x v="184"/>
    <x v="10"/>
    <d v="2018-06-30T00:00:00"/>
    <d v="2018-07-05T00:00:00"/>
    <s v="First Class"/>
    <s v="RW-19690"/>
    <s v="Robert Waldorf"/>
    <s v="Consumer"/>
    <s v="United States"/>
    <s v="Wilmington"/>
    <x v="3"/>
    <n v="28403"/>
    <x v="0"/>
    <s v="OFF-BI-10000848"/>
    <x v="1"/>
    <s v="Binders"/>
    <s v="Angle-D Ring Binders"/>
    <n v="3.282"/>
    <n v="2"/>
    <n v="0.7"/>
    <n v="-2.6255999999999999"/>
  </r>
  <r>
    <n v="980"/>
    <x v="468"/>
    <x v="317"/>
    <x v="3"/>
    <d v="2015-09-30T00:00:00"/>
    <d v="2015-12-12T00:00:00"/>
    <s v="First Class"/>
    <s v="KB-16600"/>
    <s v="Ken Brennan"/>
    <s v="Corporate"/>
    <s v="United States"/>
    <s v="Columbus"/>
    <x v="14"/>
    <n v="47201"/>
    <x v="2"/>
    <s v="OFF-PA-10004156"/>
    <x v="1"/>
    <s v="Paper"/>
    <s v="Xerox 188"/>
    <n v="34.020000000000003"/>
    <n v="3"/>
    <n v="0"/>
    <n v="16.669799999999999"/>
  </r>
  <r>
    <n v="981"/>
    <x v="469"/>
    <x v="52"/>
    <x v="4"/>
    <d v="2016-03-31T00:00:00"/>
    <d v="2016-08-10T00:00:00"/>
    <s v="Standard Class"/>
    <s v="EB-13870"/>
    <s v="Emily Burns"/>
    <s v="Consumer"/>
    <s v="United States"/>
    <s v="New York City"/>
    <x v="15"/>
    <n v="10035"/>
    <x v="3"/>
    <s v="FUR-CH-10003199"/>
    <x v="0"/>
    <s v="Chairs"/>
    <s v="Office Star - Contemporary Task Swivel Chair"/>
    <n v="599.29200000000003"/>
    <n v="6"/>
    <n v="0.1"/>
    <n v="93.223200000000006"/>
  </r>
  <r>
    <n v="982"/>
    <x v="470"/>
    <x v="7"/>
    <x v="2"/>
    <d v="2014-11-30T00:00:00"/>
    <d v="2015-02-11T00:00:00"/>
    <s v="Second Class"/>
    <s v="TZ-21580"/>
    <s v="Tracy Zic"/>
    <s v="Consumer"/>
    <s v="United States"/>
    <s v="Louisville"/>
    <x v="22"/>
    <n v="80027"/>
    <x v="1"/>
    <s v="OFF-AR-10000034"/>
    <x v="1"/>
    <s v="Art"/>
    <s v="BIC Brite Liner Grip Highlighters, Assorted, 5/Pack"/>
    <n v="3.3919999999999999"/>
    <n v="1"/>
    <n v="0.2"/>
    <n v="0.80559999999999998"/>
  </r>
  <r>
    <n v="983"/>
    <x v="470"/>
    <x v="7"/>
    <x v="2"/>
    <d v="2014-11-30T00:00:00"/>
    <d v="2015-02-11T00:00:00"/>
    <s v="Second Class"/>
    <s v="TZ-21580"/>
    <s v="Tracy Zic"/>
    <s v="Consumer"/>
    <s v="United States"/>
    <s v="Louisville"/>
    <x v="22"/>
    <n v="80027"/>
    <x v="1"/>
    <s v="TEC-PH-10000560"/>
    <x v="2"/>
    <s v="Phones"/>
    <s v="Samsung Galaxy S III - 16GB - pebble blue (T-Mobile)"/>
    <n v="559.98400000000004"/>
    <n v="2"/>
    <n v="0.2"/>
    <n v="55.998399999999997"/>
  </r>
  <r>
    <n v="984"/>
    <x v="470"/>
    <x v="7"/>
    <x v="2"/>
    <d v="2014-11-30T00:00:00"/>
    <d v="2015-02-11T00:00:00"/>
    <s v="Second Class"/>
    <s v="TZ-21580"/>
    <s v="Tracy Zic"/>
    <s v="Consumer"/>
    <s v="United States"/>
    <s v="Louisville"/>
    <x v="22"/>
    <n v="80027"/>
    <x v="1"/>
    <s v="FUR-CH-10000665"/>
    <x v="0"/>
    <s v="Chairs"/>
    <s v="Global Airflow Leather Mesh Back Chair, Black"/>
    <n v="603.91999999999996"/>
    <n v="5"/>
    <n v="0.2"/>
    <n v="75.489999999999995"/>
  </r>
  <r>
    <n v="985"/>
    <x v="471"/>
    <x v="318"/>
    <x v="5"/>
    <d v="2019-05-31T00:00:00"/>
    <d v="2017-05-10T00:00:00"/>
    <s v="Standard Class"/>
    <s v="AS-10630"/>
    <s v="Ann Steele"/>
    <s v="Home Office"/>
    <s v="United States"/>
    <s v="Pasadena"/>
    <x v="5"/>
    <n v="77506"/>
    <x v="2"/>
    <s v="OFF-LA-10001569"/>
    <x v="1"/>
    <s v="Labels"/>
    <s v="Avery 499"/>
    <n v="7.968"/>
    <n v="2"/>
    <n v="0.2"/>
    <n v="2.5895999999999999"/>
  </r>
  <r>
    <n v="986"/>
    <x v="471"/>
    <x v="318"/>
    <x v="5"/>
    <d v="2019-05-31T00:00:00"/>
    <d v="2017-05-10T00:00:00"/>
    <s v="Standard Class"/>
    <s v="AS-10630"/>
    <s v="Ann Steele"/>
    <s v="Home Office"/>
    <s v="United States"/>
    <s v="Pasadena"/>
    <x v="5"/>
    <n v="77506"/>
    <x v="2"/>
    <s v="OFF-EN-10000461"/>
    <x v="1"/>
    <s v="Envelopes"/>
    <s v="#10- 4 1/8&quot; x 9 1/2&quot; Recycled Envelopes"/>
    <n v="27.968"/>
    <n v="4"/>
    <n v="0.2"/>
    <n v="9.4391999999999996"/>
  </r>
  <r>
    <n v="987"/>
    <x v="471"/>
    <x v="318"/>
    <x v="5"/>
    <d v="2019-05-31T00:00:00"/>
    <d v="2017-05-10T00:00:00"/>
    <s v="Standard Class"/>
    <s v="AS-10630"/>
    <s v="Ann Steele"/>
    <s v="Home Office"/>
    <s v="United States"/>
    <s v="Pasadena"/>
    <x v="5"/>
    <n v="77506"/>
    <x v="2"/>
    <s v="TEC-MA-10003066"/>
    <x v="2"/>
    <s v="Machines"/>
    <s v="Wasp CCD Handheld Bar Code Reader"/>
    <n v="336.51"/>
    <n v="3"/>
    <n v="0.4"/>
    <n v="44.868000000000002"/>
  </r>
  <r>
    <n v="988"/>
    <x v="472"/>
    <x v="319"/>
    <x v="6"/>
    <d v="2015-10-31T00:00:00"/>
    <d v="2015-10-03T00:00:00"/>
    <s v="Same Day"/>
    <s v="TS-21340"/>
    <s v="Toby Swindell"/>
    <s v="Consumer"/>
    <s v="United States"/>
    <s v="Houston"/>
    <x v="5"/>
    <n v="77041"/>
    <x v="2"/>
    <s v="OFF-BI-10004022"/>
    <x v="1"/>
    <s v="Binders"/>
    <s v="Acco Suede Grain Vinyl Round Ring Binder"/>
    <n v="1.1120000000000001"/>
    <n v="2"/>
    <n v="0.8"/>
    <n v="-1.8904000000000001"/>
  </r>
  <r>
    <n v="989"/>
    <x v="473"/>
    <x v="320"/>
    <x v="3"/>
    <d v="2018-09-30T00:00:00"/>
    <d v="2019-02-05T00:00:00"/>
    <s v="Standard Class"/>
    <s v="JG-15805"/>
    <s v="John Grady"/>
    <s v="Corporate"/>
    <s v="United States"/>
    <s v="Auburn"/>
    <x v="15"/>
    <n v="13021"/>
    <x v="3"/>
    <s v="FUR-FU-10004071"/>
    <x v="0"/>
    <s v="Furnishings"/>
    <s v="Luxo Professional Magnifying Clamp-On Fluorescent Lamps"/>
    <n v="520.04999999999995"/>
    <n v="5"/>
    <n v="0"/>
    <n v="72.807000000000002"/>
  </r>
  <r>
    <n v="990"/>
    <x v="473"/>
    <x v="320"/>
    <x v="3"/>
    <d v="2018-09-30T00:00:00"/>
    <d v="2019-02-05T00:00:00"/>
    <s v="Standard Class"/>
    <s v="JG-15805"/>
    <s v="John Grady"/>
    <s v="Corporate"/>
    <s v="United States"/>
    <s v="Auburn"/>
    <x v="15"/>
    <n v="13021"/>
    <x v="3"/>
    <s v="OFF-AR-10001988"/>
    <x v="1"/>
    <s v="Art"/>
    <s v="Bulldog Table or Wall-Mount Pencil Sharpener"/>
    <n v="17.97"/>
    <n v="3"/>
    <n v="0"/>
    <n v="5.2112999999999996"/>
  </r>
  <r>
    <n v="991"/>
    <x v="474"/>
    <x v="321"/>
    <x v="5"/>
    <d v="2017-05-31T00:00:00"/>
    <d v="2017-07-03T00:00:00"/>
    <s v="Second Class"/>
    <s v="SL-20155"/>
    <s v="Sara Luxemburg"/>
    <s v="Home Office"/>
    <s v="United States"/>
    <s v="Jacksonville"/>
    <x v="2"/>
    <n v="32216"/>
    <x v="0"/>
    <s v="FUR-CH-10004086"/>
    <x v="0"/>
    <s v="Chairs"/>
    <s v="Hon 4070 Series Pagoda Armless Upholstered Stacking Chairs"/>
    <n v="1166.92"/>
    <n v="5"/>
    <n v="0.2"/>
    <n v="131.27850000000001"/>
  </r>
  <r>
    <n v="992"/>
    <x v="475"/>
    <x v="322"/>
    <x v="3"/>
    <d v="2016-09-30T00:00:00"/>
    <d v="2016-11-09T00:00:00"/>
    <s v="First Class"/>
    <s v="TS-21610"/>
    <s v="Troy Staebel"/>
    <s v="Consumer"/>
    <s v="United States"/>
    <s v="New York City"/>
    <x v="15"/>
    <n v="10024"/>
    <x v="3"/>
    <s v="OFF-BI-10001036"/>
    <x v="1"/>
    <s v="Binders"/>
    <s v="Cardinal EasyOpen D-Ring Binders"/>
    <n v="14.624000000000001"/>
    <n v="2"/>
    <n v="0.2"/>
    <n v="5.484"/>
  </r>
  <r>
    <n v="993"/>
    <x v="476"/>
    <x v="323"/>
    <x v="11"/>
    <d v="2018-02-28T00:00:00"/>
    <d v="2018-03-08T00:00:00"/>
    <s v="First Class"/>
    <s v="RF-19735"/>
    <s v="Roland Fjeld"/>
    <s v="Consumer"/>
    <s v="United States"/>
    <s v="San Jose"/>
    <x v="1"/>
    <n v="95123"/>
    <x v="1"/>
    <s v="OFF-FA-10002983"/>
    <x v="1"/>
    <s v="Fasteners"/>
    <s v="Advantus SlideClip Paper Clips"/>
    <n v="10.23"/>
    <n v="3"/>
    <n v="0"/>
    <n v="4.9104000000000001"/>
  </r>
  <r>
    <n v="994"/>
    <x v="476"/>
    <x v="323"/>
    <x v="11"/>
    <d v="2018-02-28T00:00:00"/>
    <d v="2018-03-08T00:00:00"/>
    <s v="First Class"/>
    <s v="RF-19735"/>
    <s v="Roland Fjeld"/>
    <s v="Consumer"/>
    <s v="United States"/>
    <s v="San Jose"/>
    <x v="1"/>
    <n v="95123"/>
    <x v="1"/>
    <s v="OFF-PA-10003625"/>
    <x v="1"/>
    <s v="Paper"/>
    <s v="Xerox 1979"/>
    <n v="154.9"/>
    <n v="5"/>
    <n v="0"/>
    <n v="69.704999999999998"/>
  </r>
  <r>
    <n v="995"/>
    <x v="477"/>
    <x v="324"/>
    <x v="3"/>
    <d v="2015-09-30T00:00:00"/>
    <d v="2016-01-05T00:00:00"/>
    <s v="Standard Class"/>
    <s v="MW-18235"/>
    <s v="Mitch Willingham"/>
    <s v="Corporate"/>
    <s v="United States"/>
    <s v="Virginia Beach"/>
    <x v="17"/>
    <n v="23464"/>
    <x v="0"/>
    <s v="OFF-BI-10003925"/>
    <x v="1"/>
    <s v="Binders"/>
    <s v="Fellowes PB300 Plastic Comb Binding Machine"/>
    <n v="2715.93"/>
    <n v="7"/>
    <n v="0"/>
    <n v="1276.4871000000001"/>
  </r>
  <r>
    <n v="996"/>
    <x v="477"/>
    <x v="324"/>
    <x v="3"/>
    <d v="2015-09-30T00:00:00"/>
    <d v="2016-01-05T00:00:00"/>
    <s v="Standard Class"/>
    <s v="MW-18235"/>
    <s v="Mitch Willingham"/>
    <s v="Corporate"/>
    <s v="United States"/>
    <s v="Virginia Beach"/>
    <x v="17"/>
    <n v="23464"/>
    <x v="0"/>
    <s v="TEC-PH-10001530"/>
    <x v="2"/>
    <s v="Phones"/>
    <s v="Plantronics Voyager Pro Legend"/>
    <n v="617.97"/>
    <n v="3"/>
    <n v="0"/>
    <n v="173.0316"/>
  </r>
  <r>
    <n v="997"/>
    <x v="478"/>
    <x v="325"/>
    <x v="8"/>
    <d v="2017-04-30T00:00:00"/>
    <d v="2015-03-11T00:00:00"/>
    <s v="Standard Class"/>
    <s v="RD-19585"/>
    <s v="Rob Dowd"/>
    <s v="Consumer"/>
    <s v="United States"/>
    <s v="Henderson"/>
    <x v="0"/>
    <n v="42420"/>
    <x v="0"/>
    <s v="OFF-EN-10003862"/>
    <x v="1"/>
    <s v="Envelopes"/>
    <s v="Laser &amp; Ink Jet Business Envelopes"/>
    <n v="10.67"/>
    <n v="1"/>
    <n v="0"/>
    <n v="4.9081999999999999"/>
  </r>
  <r>
    <n v="998"/>
    <x v="478"/>
    <x v="325"/>
    <x v="8"/>
    <d v="2017-04-30T00:00:00"/>
    <d v="2015-03-11T00:00:00"/>
    <s v="Standard Class"/>
    <s v="RD-19585"/>
    <s v="Rob Dowd"/>
    <s v="Consumer"/>
    <s v="United States"/>
    <s v="Henderson"/>
    <x v="0"/>
    <n v="42420"/>
    <x v="0"/>
    <s v="OFF-ST-10004258"/>
    <x v="1"/>
    <s v="Storage"/>
    <s v="Portable Personal File Box"/>
    <n v="36.630000000000003"/>
    <n v="3"/>
    <n v="0"/>
    <n v="9.8901000000000003"/>
  </r>
  <r>
    <n v="999"/>
    <x v="478"/>
    <x v="325"/>
    <x v="8"/>
    <d v="2017-04-30T00:00:00"/>
    <d v="2015-03-11T00:00:00"/>
    <s v="Standard Class"/>
    <s v="RD-19585"/>
    <s v="Rob Dowd"/>
    <s v="Consumer"/>
    <s v="United States"/>
    <s v="Henderson"/>
    <x v="0"/>
    <n v="42420"/>
    <x v="0"/>
    <s v="FUR-FU-10002885"/>
    <x v="0"/>
    <s v="Furnishings"/>
    <s v="Magna Visual Magnetic Picture Hangers"/>
    <n v="24.1"/>
    <n v="5"/>
    <n v="0"/>
    <n v="9.1579999999999995"/>
  </r>
  <r>
    <n v="1000"/>
    <x v="478"/>
    <x v="325"/>
    <x v="8"/>
    <d v="2017-04-30T00:00:00"/>
    <d v="2015-03-11T00:00:00"/>
    <s v="Standard Class"/>
    <s v="RD-19585"/>
    <s v="Rob Dowd"/>
    <s v="Consumer"/>
    <s v="United States"/>
    <s v="Henderson"/>
    <x v="0"/>
    <n v="42420"/>
    <x v="0"/>
    <s v="FUR-FU-10001918"/>
    <x v="0"/>
    <s v="Furnishings"/>
    <s v="C-Line Cubicle Keepers Polyproplyene Holder With Velcro Backings"/>
    <n v="33.11"/>
    <n v="7"/>
    <n v="0"/>
    <n v="12.91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57DAFA-2376-430E-B18E-10CC765B7913}" name="Quantity_Per_Category"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Category">
  <location ref="D9:E12" firstHeaderRow="1" firstDataRow="1" firstDataCol="1"/>
  <pivotFields count="27">
    <pivotField showAll="0"/>
    <pivotField showAll="0"/>
    <pivotField numFmtId="14" showAll="0">
      <items count="327">
        <item x="199"/>
        <item x="71"/>
        <item x="105"/>
        <item x="241"/>
        <item x="268"/>
        <item x="243"/>
        <item x="239"/>
        <item x="205"/>
        <item x="92"/>
        <item x="248"/>
        <item x="125"/>
        <item x="240"/>
        <item x="235"/>
        <item x="78"/>
        <item x="29"/>
        <item x="284"/>
        <item x="177"/>
        <item x="279"/>
        <item x="150"/>
        <item x="245"/>
        <item x="212"/>
        <item x="77"/>
        <item x="211"/>
        <item x="274"/>
        <item x="3"/>
        <item x="123"/>
        <item x="298"/>
        <item x="173"/>
        <item x="297"/>
        <item x="282"/>
        <item x="286"/>
        <item x="242"/>
        <item x="201"/>
        <item x="7"/>
        <item x="169"/>
        <item x="130"/>
        <item x="161"/>
        <item x="36"/>
        <item x="256"/>
        <item x="132"/>
        <item x="8"/>
        <item x="102"/>
        <item x="270"/>
        <item x="97"/>
        <item x="56"/>
        <item x="257"/>
        <item x="79"/>
        <item x="116"/>
        <item x="269"/>
        <item x="213"/>
        <item x="303"/>
        <item x="210"/>
        <item x="37"/>
        <item x="261"/>
        <item x="146"/>
        <item x="314"/>
        <item x="155"/>
        <item x="119"/>
        <item x="219"/>
        <item x="57"/>
        <item x="289"/>
        <item x="306"/>
        <item x="66"/>
        <item x="83"/>
        <item x="163"/>
        <item x="255"/>
        <item x="59"/>
        <item x="22"/>
        <item x="96"/>
        <item x="89"/>
        <item x="238"/>
        <item x="324"/>
        <item x="236"/>
        <item x="100"/>
        <item x="149"/>
        <item x="291"/>
        <item x="317"/>
        <item x="319"/>
        <item x="159"/>
        <item x="178"/>
        <item x="209"/>
        <item x="67"/>
        <item x="109"/>
        <item x="305"/>
        <item x="214"/>
        <item x="142"/>
        <item x="2"/>
        <item x="139"/>
        <item x="87"/>
        <item x="147"/>
        <item x="154"/>
        <item x="167"/>
        <item x="55"/>
        <item x="135"/>
        <item x="277"/>
        <item x="50"/>
        <item x="49"/>
        <item x="237"/>
        <item x="85"/>
        <item x="35"/>
        <item x="58"/>
        <item x="250"/>
        <item x="9"/>
        <item x="122"/>
        <item x="52"/>
        <item x="54"/>
        <item x="82"/>
        <item x="185"/>
        <item x="30"/>
        <item x="230"/>
        <item x="124"/>
        <item x="171"/>
        <item x="304"/>
        <item x="41"/>
        <item x="259"/>
        <item x="14"/>
        <item x="180"/>
        <item x="5"/>
        <item x="24"/>
        <item x="108"/>
        <item x="47"/>
        <item x="61"/>
        <item x="120"/>
        <item x="276"/>
        <item x="252"/>
        <item x="246"/>
        <item x="285"/>
        <item x="76"/>
        <item x="272"/>
        <item x="136"/>
        <item x="153"/>
        <item x="0"/>
        <item x="16"/>
        <item x="181"/>
        <item x="260"/>
        <item x="322"/>
        <item x="81"/>
        <item x="10"/>
        <item x="190"/>
        <item x="300"/>
        <item x="131"/>
        <item x="197"/>
        <item x="312"/>
        <item x="6"/>
        <item x="106"/>
        <item x="21"/>
        <item x="73"/>
        <item x="107"/>
        <item x="25"/>
        <item x="266"/>
        <item x="1"/>
        <item x="174"/>
        <item x="228"/>
        <item x="121"/>
        <item x="27"/>
        <item x="99"/>
        <item x="278"/>
        <item x="244"/>
        <item x="68"/>
        <item x="294"/>
        <item x="12"/>
        <item x="63"/>
        <item x="95"/>
        <item x="62"/>
        <item x="33"/>
        <item x="145"/>
        <item x="200"/>
        <item x="115"/>
        <item x="251"/>
        <item x="193"/>
        <item x="162"/>
        <item x="94"/>
        <item x="220"/>
        <item x="198"/>
        <item x="127"/>
        <item x="17"/>
        <item x="13"/>
        <item x="101"/>
        <item x="158"/>
        <item x="144"/>
        <item x="70"/>
        <item x="86"/>
        <item x="325"/>
        <item x="75"/>
        <item x="74"/>
        <item x="288"/>
        <item x="321"/>
        <item x="309"/>
        <item x="26"/>
        <item x="19"/>
        <item x="42"/>
        <item x="315"/>
        <item x="60"/>
        <item x="232"/>
        <item x="182"/>
        <item x="28"/>
        <item x="90"/>
        <item x="265"/>
        <item x="31"/>
        <item x="44"/>
        <item x="117"/>
        <item x="43"/>
        <item x="281"/>
        <item x="103"/>
        <item x="69"/>
        <item x="308"/>
        <item x="254"/>
        <item x="195"/>
        <item x="88"/>
        <item x="234"/>
        <item x="207"/>
        <item x="137"/>
        <item x="221"/>
        <item x="23"/>
        <item x="134"/>
        <item x="187"/>
        <item x="72"/>
        <item x="157"/>
        <item x="313"/>
        <item x="192"/>
        <item x="231"/>
        <item x="316"/>
        <item x="140"/>
        <item x="45"/>
        <item x="34"/>
        <item x="111"/>
        <item x="170"/>
        <item x="179"/>
        <item x="227"/>
        <item x="18"/>
        <item x="293"/>
        <item x="126"/>
        <item x="275"/>
        <item x="202"/>
        <item x="225"/>
        <item x="301"/>
        <item x="148"/>
        <item x="104"/>
        <item x="129"/>
        <item x="183"/>
        <item x="114"/>
        <item x="38"/>
        <item x="229"/>
        <item x="307"/>
        <item x="271"/>
        <item x="176"/>
        <item x="323"/>
        <item x="32"/>
        <item x="296"/>
        <item x="216"/>
        <item x="4"/>
        <item x="311"/>
        <item x="133"/>
        <item x="249"/>
        <item x="164"/>
        <item x="175"/>
        <item x="215"/>
        <item x="280"/>
        <item x="110"/>
        <item x="11"/>
        <item x="113"/>
        <item x="98"/>
        <item x="84"/>
        <item x="262"/>
        <item x="196"/>
        <item x="46"/>
        <item x="48"/>
        <item x="283"/>
        <item x="152"/>
        <item x="93"/>
        <item x="233"/>
        <item x="184"/>
        <item x="128"/>
        <item x="64"/>
        <item x="217"/>
        <item x="226"/>
        <item x="20"/>
        <item x="15"/>
        <item x="118"/>
        <item x="165"/>
        <item x="264"/>
        <item x="166"/>
        <item x="273"/>
        <item x="208"/>
        <item x="168"/>
        <item x="206"/>
        <item x="247"/>
        <item x="80"/>
        <item x="320"/>
        <item x="223"/>
        <item x="160"/>
        <item x="263"/>
        <item x="194"/>
        <item x="188"/>
        <item x="189"/>
        <item x="267"/>
        <item x="65"/>
        <item x="191"/>
        <item x="253"/>
        <item x="51"/>
        <item x="292"/>
        <item x="91"/>
        <item x="218"/>
        <item x="203"/>
        <item x="156"/>
        <item x="287"/>
        <item x="138"/>
        <item x="53"/>
        <item x="295"/>
        <item x="40"/>
        <item x="186"/>
        <item x="143"/>
        <item x="302"/>
        <item x="39"/>
        <item x="310"/>
        <item x="112"/>
        <item x="141"/>
        <item x="204"/>
        <item x="318"/>
        <item x="299"/>
        <item x="258"/>
        <item x="151"/>
        <item x="222"/>
        <item x="290"/>
        <item x="224"/>
        <item x="172"/>
        <item t="default"/>
      </items>
    </pivotField>
    <pivotField showAll="0"/>
    <pivotField numFmtId="14" showAll="0"/>
    <pivotField numFmtId="14" showAll="0"/>
    <pivotField showAll="0"/>
    <pivotField showAll="0"/>
    <pivotField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6"/>
  </rowFields>
  <rowItems count="3">
    <i>
      <x v="1"/>
    </i>
    <i>
      <x/>
    </i>
    <i>
      <x v="2"/>
    </i>
  </rowItems>
  <colItems count="1">
    <i/>
  </colItems>
  <dataFields count="1">
    <dataField name="Sum of Quantity"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7910BA-2559-49DE-B746-1C0E93900F6A}" name="Month_Ordered"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Month Ordered">
  <location ref="A9:B21" firstHeaderRow="1" firstDataRow="1" firstDataCol="1"/>
  <pivotFields count="27">
    <pivotField showAll="0"/>
    <pivotField dataField="1" showAll="0">
      <items count="480">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 t="default"/>
      </items>
    </pivotField>
    <pivotField numFmtId="14" showAll="0">
      <items count="327">
        <item x="199"/>
        <item x="71"/>
        <item x="105"/>
        <item x="241"/>
        <item x="268"/>
        <item x="243"/>
        <item x="239"/>
        <item x="205"/>
        <item x="92"/>
        <item x="248"/>
        <item x="125"/>
        <item x="240"/>
        <item x="235"/>
        <item x="78"/>
        <item x="29"/>
        <item x="284"/>
        <item x="177"/>
        <item x="279"/>
        <item x="150"/>
        <item x="245"/>
        <item x="212"/>
        <item x="77"/>
        <item x="211"/>
        <item x="274"/>
        <item x="3"/>
        <item x="123"/>
        <item x="298"/>
        <item x="173"/>
        <item x="297"/>
        <item x="282"/>
        <item x="286"/>
        <item x="242"/>
        <item x="201"/>
        <item x="7"/>
        <item x="169"/>
        <item x="130"/>
        <item x="161"/>
        <item x="36"/>
        <item x="256"/>
        <item x="132"/>
        <item x="8"/>
        <item x="102"/>
        <item x="270"/>
        <item x="97"/>
        <item x="56"/>
        <item x="257"/>
        <item x="79"/>
        <item x="116"/>
        <item x="269"/>
        <item x="213"/>
        <item x="303"/>
        <item x="210"/>
        <item x="37"/>
        <item x="261"/>
        <item x="146"/>
        <item x="314"/>
        <item x="155"/>
        <item x="119"/>
        <item x="219"/>
        <item x="57"/>
        <item x="289"/>
        <item x="306"/>
        <item x="66"/>
        <item x="83"/>
        <item x="163"/>
        <item x="255"/>
        <item x="59"/>
        <item x="22"/>
        <item x="96"/>
        <item x="89"/>
        <item x="238"/>
        <item x="324"/>
        <item x="236"/>
        <item x="100"/>
        <item x="149"/>
        <item x="291"/>
        <item x="317"/>
        <item x="319"/>
        <item x="159"/>
        <item x="178"/>
        <item x="209"/>
        <item x="67"/>
        <item x="109"/>
        <item x="305"/>
        <item x="214"/>
        <item x="142"/>
        <item x="2"/>
        <item x="139"/>
        <item x="87"/>
        <item x="147"/>
        <item x="154"/>
        <item x="167"/>
        <item x="55"/>
        <item x="135"/>
        <item x="277"/>
        <item x="50"/>
        <item x="49"/>
        <item x="237"/>
        <item x="85"/>
        <item x="35"/>
        <item x="58"/>
        <item x="250"/>
        <item x="9"/>
        <item x="122"/>
        <item x="52"/>
        <item x="54"/>
        <item x="82"/>
        <item x="185"/>
        <item x="30"/>
        <item x="230"/>
        <item x="124"/>
        <item x="171"/>
        <item x="304"/>
        <item x="41"/>
        <item x="259"/>
        <item x="14"/>
        <item x="180"/>
        <item x="5"/>
        <item x="24"/>
        <item x="108"/>
        <item x="47"/>
        <item x="61"/>
        <item x="120"/>
        <item x="276"/>
        <item x="252"/>
        <item x="246"/>
        <item x="285"/>
        <item x="76"/>
        <item x="272"/>
        <item x="136"/>
        <item x="153"/>
        <item x="0"/>
        <item x="16"/>
        <item x="181"/>
        <item x="260"/>
        <item x="322"/>
        <item x="81"/>
        <item x="10"/>
        <item x="190"/>
        <item x="300"/>
        <item x="131"/>
        <item x="197"/>
        <item x="312"/>
        <item x="6"/>
        <item x="106"/>
        <item x="21"/>
        <item x="73"/>
        <item x="107"/>
        <item x="25"/>
        <item x="266"/>
        <item x="1"/>
        <item x="174"/>
        <item x="228"/>
        <item x="121"/>
        <item x="27"/>
        <item x="99"/>
        <item x="278"/>
        <item x="244"/>
        <item x="68"/>
        <item x="294"/>
        <item x="12"/>
        <item x="63"/>
        <item x="95"/>
        <item x="62"/>
        <item x="33"/>
        <item x="145"/>
        <item x="200"/>
        <item x="115"/>
        <item x="251"/>
        <item x="193"/>
        <item x="162"/>
        <item x="94"/>
        <item x="220"/>
        <item x="198"/>
        <item x="127"/>
        <item x="17"/>
        <item x="13"/>
        <item x="101"/>
        <item x="158"/>
        <item x="144"/>
        <item x="70"/>
        <item x="86"/>
        <item x="325"/>
        <item x="75"/>
        <item x="74"/>
        <item x="288"/>
        <item x="321"/>
        <item x="309"/>
        <item x="26"/>
        <item x="19"/>
        <item x="42"/>
        <item x="315"/>
        <item x="60"/>
        <item x="232"/>
        <item x="182"/>
        <item x="28"/>
        <item x="90"/>
        <item x="265"/>
        <item x="31"/>
        <item x="44"/>
        <item x="117"/>
        <item x="43"/>
        <item x="281"/>
        <item x="103"/>
        <item x="69"/>
        <item x="308"/>
        <item x="254"/>
        <item x="195"/>
        <item x="88"/>
        <item x="234"/>
        <item x="207"/>
        <item x="137"/>
        <item x="221"/>
        <item x="23"/>
        <item x="134"/>
        <item x="187"/>
        <item x="72"/>
        <item x="157"/>
        <item x="313"/>
        <item x="192"/>
        <item x="231"/>
        <item x="316"/>
        <item x="140"/>
        <item x="45"/>
        <item x="34"/>
        <item x="111"/>
        <item x="170"/>
        <item x="179"/>
        <item x="227"/>
        <item x="18"/>
        <item x="293"/>
        <item x="126"/>
        <item x="275"/>
        <item x="202"/>
        <item x="225"/>
        <item x="301"/>
        <item x="148"/>
        <item x="104"/>
        <item x="129"/>
        <item x="183"/>
        <item x="114"/>
        <item x="38"/>
        <item x="229"/>
        <item x="307"/>
        <item x="271"/>
        <item x="176"/>
        <item x="323"/>
        <item x="32"/>
        <item x="296"/>
        <item x="216"/>
        <item x="4"/>
        <item x="311"/>
        <item x="133"/>
        <item x="249"/>
        <item x="164"/>
        <item x="175"/>
        <item x="215"/>
        <item x="280"/>
        <item x="110"/>
        <item x="11"/>
        <item x="113"/>
        <item x="98"/>
        <item x="84"/>
        <item x="262"/>
        <item x="196"/>
        <item x="46"/>
        <item x="48"/>
        <item x="283"/>
        <item x="152"/>
        <item x="93"/>
        <item x="233"/>
        <item x="184"/>
        <item x="128"/>
        <item x="64"/>
        <item x="217"/>
        <item x="226"/>
        <item x="20"/>
        <item x="15"/>
        <item x="118"/>
        <item x="165"/>
        <item x="264"/>
        <item x="166"/>
        <item x="273"/>
        <item x="208"/>
        <item x="168"/>
        <item x="206"/>
        <item x="247"/>
        <item x="80"/>
        <item x="320"/>
        <item x="223"/>
        <item x="160"/>
        <item x="263"/>
        <item x="194"/>
        <item x="188"/>
        <item x="189"/>
        <item x="267"/>
        <item x="65"/>
        <item x="191"/>
        <item x="253"/>
        <item x="51"/>
        <item x="292"/>
        <item x="91"/>
        <item x="218"/>
        <item x="203"/>
        <item x="156"/>
        <item x="287"/>
        <item x="138"/>
        <item x="53"/>
        <item x="295"/>
        <item x="40"/>
        <item x="186"/>
        <item x="143"/>
        <item x="302"/>
        <item x="39"/>
        <item x="310"/>
        <item x="112"/>
        <item x="141"/>
        <item x="204"/>
        <item x="318"/>
        <item x="299"/>
        <item x="258"/>
        <item x="151"/>
        <item x="222"/>
        <item x="290"/>
        <item x="224"/>
        <item x="172"/>
        <item t="default"/>
      </items>
    </pivotField>
    <pivotField axis="axisRow" showAll="0" sortType="descending">
      <items count="13">
        <item x="7"/>
        <item x="11"/>
        <item x="4"/>
        <item x="8"/>
        <item x="5"/>
        <item x="10"/>
        <item x="9"/>
        <item x="0"/>
        <item x="3"/>
        <item x="6"/>
        <item x="2"/>
        <item x="1"/>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pivotField showAll="0"/>
    <pivotField showAll="0">
      <items count="4">
        <item x="0"/>
        <item x="1"/>
        <item x="2"/>
        <item t="default"/>
      </items>
    </pivotField>
    <pivotField showAll="0"/>
    <pivotField showAll="0"/>
    <pivotField numFmtId="164" showAll="0"/>
    <pivotField showAll="0"/>
    <pivotField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12">
    <i>
      <x/>
    </i>
    <i>
      <x v="3"/>
    </i>
    <i>
      <x v="2"/>
    </i>
    <i>
      <x v="4"/>
    </i>
    <i>
      <x v="8"/>
    </i>
    <i>
      <x v="7"/>
    </i>
    <i>
      <x v="1"/>
    </i>
    <i>
      <x v="5"/>
    </i>
    <i>
      <x v="6"/>
    </i>
    <i>
      <x v="11"/>
    </i>
    <i>
      <x v="10"/>
    </i>
    <i>
      <x v="9"/>
    </i>
  </rowItems>
  <colItems count="1">
    <i/>
  </colItems>
  <dataFields count="1">
    <dataField name="Count of Ord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7A57E8-149B-4ACC-94CF-B8529F210AB1}" name="Regional_Sales_and_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Region">
  <location ref="C2:E7" firstHeaderRow="0" firstDataRow="1" firstDataCol="1"/>
  <pivotFields count="27">
    <pivotField showAll="0"/>
    <pivotField showAll="0"/>
    <pivotField numFmtId="14" showAll="0">
      <items count="327">
        <item x="199"/>
        <item x="71"/>
        <item x="105"/>
        <item x="241"/>
        <item x="268"/>
        <item x="243"/>
        <item x="239"/>
        <item x="205"/>
        <item x="92"/>
        <item x="248"/>
        <item x="125"/>
        <item x="240"/>
        <item x="235"/>
        <item x="78"/>
        <item x="29"/>
        <item x="284"/>
        <item x="177"/>
        <item x="279"/>
        <item x="150"/>
        <item x="245"/>
        <item x="212"/>
        <item x="77"/>
        <item x="211"/>
        <item x="274"/>
        <item x="3"/>
        <item x="123"/>
        <item x="298"/>
        <item x="173"/>
        <item x="297"/>
        <item x="282"/>
        <item x="286"/>
        <item x="242"/>
        <item x="201"/>
        <item x="7"/>
        <item x="169"/>
        <item x="130"/>
        <item x="161"/>
        <item x="36"/>
        <item x="256"/>
        <item x="132"/>
        <item x="8"/>
        <item x="102"/>
        <item x="270"/>
        <item x="97"/>
        <item x="56"/>
        <item x="257"/>
        <item x="79"/>
        <item x="116"/>
        <item x="269"/>
        <item x="213"/>
        <item x="303"/>
        <item x="210"/>
        <item x="37"/>
        <item x="261"/>
        <item x="146"/>
        <item x="314"/>
        <item x="155"/>
        <item x="119"/>
        <item x="219"/>
        <item x="57"/>
        <item x="289"/>
        <item x="306"/>
        <item x="66"/>
        <item x="83"/>
        <item x="163"/>
        <item x="255"/>
        <item x="59"/>
        <item x="22"/>
        <item x="96"/>
        <item x="89"/>
        <item x="238"/>
        <item x="324"/>
        <item x="236"/>
        <item x="100"/>
        <item x="149"/>
        <item x="291"/>
        <item x="317"/>
        <item x="319"/>
        <item x="159"/>
        <item x="178"/>
        <item x="209"/>
        <item x="67"/>
        <item x="109"/>
        <item x="305"/>
        <item x="214"/>
        <item x="142"/>
        <item x="2"/>
        <item x="139"/>
        <item x="87"/>
        <item x="147"/>
        <item x="154"/>
        <item x="167"/>
        <item x="55"/>
        <item x="135"/>
        <item x="277"/>
        <item x="50"/>
        <item x="49"/>
        <item x="237"/>
        <item x="85"/>
        <item x="35"/>
        <item x="58"/>
        <item x="250"/>
        <item x="9"/>
        <item x="122"/>
        <item x="52"/>
        <item x="54"/>
        <item x="82"/>
        <item x="185"/>
        <item x="30"/>
        <item x="230"/>
        <item x="124"/>
        <item x="171"/>
        <item x="304"/>
        <item x="41"/>
        <item x="259"/>
        <item x="14"/>
        <item x="180"/>
        <item x="5"/>
        <item x="24"/>
        <item x="108"/>
        <item x="47"/>
        <item x="61"/>
        <item x="120"/>
        <item x="276"/>
        <item x="252"/>
        <item x="246"/>
        <item x="285"/>
        <item x="76"/>
        <item x="272"/>
        <item x="136"/>
        <item x="153"/>
        <item x="0"/>
        <item x="16"/>
        <item x="181"/>
        <item x="260"/>
        <item x="322"/>
        <item x="81"/>
        <item x="10"/>
        <item x="190"/>
        <item x="300"/>
        <item x="131"/>
        <item x="197"/>
        <item x="312"/>
        <item x="6"/>
        <item x="106"/>
        <item x="21"/>
        <item x="73"/>
        <item x="107"/>
        <item x="25"/>
        <item x="266"/>
        <item x="1"/>
        <item x="174"/>
        <item x="228"/>
        <item x="121"/>
        <item x="27"/>
        <item x="99"/>
        <item x="278"/>
        <item x="244"/>
        <item x="68"/>
        <item x="294"/>
        <item x="12"/>
        <item x="63"/>
        <item x="95"/>
        <item x="62"/>
        <item x="33"/>
        <item x="145"/>
        <item x="200"/>
        <item x="115"/>
        <item x="251"/>
        <item x="193"/>
        <item x="162"/>
        <item x="94"/>
        <item x="220"/>
        <item x="198"/>
        <item x="127"/>
        <item x="17"/>
        <item x="13"/>
        <item x="101"/>
        <item x="158"/>
        <item x="144"/>
        <item x="70"/>
        <item x="86"/>
        <item x="325"/>
        <item x="75"/>
        <item x="74"/>
        <item x="288"/>
        <item x="321"/>
        <item x="309"/>
        <item x="26"/>
        <item x="19"/>
        <item x="42"/>
        <item x="315"/>
        <item x="60"/>
        <item x="232"/>
        <item x="182"/>
        <item x="28"/>
        <item x="90"/>
        <item x="265"/>
        <item x="31"/>
        <item x="44"/>
        <item x="117"/>
        <item x="43"/>
        <item x="281"/>
        <item x="103"/>
        <item x="69"/>
        <item x="308"/>
        <item x="254"/>
        <item x="195"/>
        <item x="88"/>
        <item x="234"/>
        <item x="207"/>
        <item x="137"/>
        <item x="221"/>
        <item x="23"/>
        <item x="134"/>
        <item x="187"/>
        <item x="72"/>
        <item x="157"/>
        <item x="313"/>
        <item x="192"/>
        <item x="231"/>
        <item x="316"/>
        <item x="140"/>
        <item x="45"/>
        <item x="34"/>
        <item x="111"/>
        <item x="170"/>
        <item x="179"/>
        <item x="227"/>
        <item x="18"/>
        <item x="293"/>
        <item x="126"/>
        <item x="275"/>
        <item x="202"/>
        <item x="225"/>
        <item x="301"/>
        <item x="148"/>
        <item x="104"/>
        <item x="129"/>
        <item x="183"/>
        <item x="114"/>
        <item x="38"/>
        <item x="229"/>
        <item x="307"/>
        <item x="271"/>
        <item x="176"/>
        <item x="323"/>
        <item x="32"/>
        <item x="296"/>
        <item x="216"/>
        <item x="4"/>
        <item x="311"/>
        <item x="133"/>
        <item x="249"/>
        <item x="164"/>
        <item x="175"/>
        <item x="215"/>
        <item x="280"/>
        <item x="110"/>
        <item x="11"/>
        <item x="113"/>
        <item x="98"/>
        <item x="84"/>
        <item x="262"/>
        <item x="196"/>
        <item x="46"/>
        <item x="48"/>
        <item x="283"/>
        <item x="152"/>
        <item x="93"/>
        <item x="233"/>
        <item x="184"/>
        <item x="128"/>
        <item x="64"/>
        <item x="217"/>
        <item x="226"/>
        <item x="20"/>
        <item x="15"/>
        <item x="118"/>
        <item x="165"/>
        <item x="264"/>
        <item x="166"/>
        <item x="273"/>
        <item x="208"/>
        <item x="168"/>
        <item x="206"/>
        <item x="247"/>
        <item x="80"/>
        <item x="320"/>
        <item x="223"/>
        <item x="160"/>
        <item x="263"/>
        <item x="194"/>
        <item x="188"/>
        <item x="189"/>
        <item x="267"/>
        <item x="65"/>
        <item x="191"/>
        <item x="253"/>
        <item x="51"/>
        <item x="292"/>
        <item x="91"/>
        <item x="218"/>
        <item x="203"/>
        <item x="156"/>
        <item x="287"/>
        <item x="138"/>
        <item x="53"/>
        <item x="295"/>
        <item x="40"/>
        <item x="186"/>
        <item x="143"/>
        <item x="302"/>
        <item x="39"/>
        <item x="310"/>
        <item x="112"/>
        <item x="141"/>
        <item x="204"/>
        <item x="318"/>
        <item x="299"/>
        <item x="258"/>
        <item x="151"/>
        <item x="222"/>
        <item x="290"/>
        <item x="224"/>
        <item x="172"/>
        <item t="default"/>
      </items>
    </pivotField>
    <pivotField showAll="0"/>
    <pivotField numFmtId="14" showAll="0"/>
    <pivotField numFmtId="14" showAll="0"/>
    <pivotField showAll="0"/>
    <pivotField showAll="0"/>
    <pivotField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dataField="1"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4"/>
  </rowFields>
  <rowItems count="5">
    <i>
      <x/>
    </i>
    <i>
      <x v="1"/>
    </i>
    <i>
      <x v="2"/>
    </i>
    <i>
      <x v="3"/>
    </i>
    <i t="grand">
      <x/>
    </i>
  </rowItems>
  <colFields count="1">
    <field x="-2"/>
  </colFields>
  <colItems count="2">
    <i>
      <x/>
    </i>
    <i i="1">
      <x v="1"/>
    </i>
  </colItems>
  <dataFields count="2">
    <dataField name="Sum of Sales" fld="19" baseField="0" baseItem="0" numFmtId="164"/>
    <dataField name="Sum of Profit" fld="22"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77ADB3-632B-41B0-A3B8-8D1F768B0F87}" name="Number_of_Custom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3" firstHeaderRow="1" firstDataRow="1" firstDataCol="0"/>
  <pivotFields count="27">
    <pivotField showAll="0"/>
    <pivotField showAll="0"/>
    <pivotField numFmtId="14" showAll="0">
      <items count="327">
        <item x="199"/>
        <item x="71"/>
        <item x="105"/>
        <item x="241"/>
        <item x="268"/>
        <item x="243"/>
        <item x="239"/>
        <item x="205"/>
        <item x="92"/>
        <item x="248"/>
        <item x="125"/>
        <item x="240"/>
        <item x="235"/>
        <item x="78"/>
        <item x="29"/>
        <item x="284"/>
        <item x="177"/>
        <item x="279"/>
        <item x="150"/>
        <item x="245"/>
        <item x="212"/>
        <item x="77"/>
        <item x="211"/>
        <item x="274"/>
        <item x="3"/>
        <item x="123"/>
        <item x="298"/>
        <item x="173"/>
        <item x="297"/>
        <item x="282"/>
        <item x="286"/>
        <item x="242"/>
        <item x="201"/>
        <item x="7"/>
        <item x="169"/>
        <item x="130"/>
        <item x="161"/>
        <item x="36"/>
        <item x="256"/>
        <item x="132"/>
        <item x="8"/>
        <item x="102"/>
        <item x="270"/>
        <item x="97"/>
        <item x="56"/>
        <item x="257"/>
        <item x="79"/>
        <item x="116"/>
        <item x="269"/>
        <item x="213"/>
        <item x="303"/>
        <item x="210"/>
        <item x="37"/>
        <item x="261"/>
        <item x="146"/>
        <item x="314"/>
        <item x="155"/>
        <item x="119"/>
        <item x="219"/>
        <item x="57"/>
        <item x="289"/>
        <item x="306"/>
        <item x="66"/>
        <item x="83"/>
        <item x="163"/>
        <item x="255"/>
        <item x="59"/>
        <item x="22"/>
        <item x="96"/>
        <item x="89"/>
        <item x="238"/>
        <item x="324"/>
        <item x="236"/>
        <item x="100"/>
        <item x="149"/>
        <item x="291"/>
        <item x="317"/>
        <item x="319"/>
        <item x="159"/>
        <item x="178"/>
        <item x="209"/>
        <item x="67"/>
        <item x="109"/>
        <item x="305"/>
        <item x="214"/>
        <item x="142"/>
        <item x="2"/>
        <item x="139"/>
        <item x="87"/>
        <item x="147"/>
        <item x="154"/>
        <item x="167"/>
        <item x="55"/>
        <item x="135"/>
        <item x="277"/>
        <item x="50"/>
        <item x="49"/>
        <item x="237"/>
        <item x="85"/>
        <item x="35"/>
        <item x="58"/>
        <item x="250"/>
        <item x="9"/>
        <item x="122"/>
        <item x="52"/>
        <item x="54"/>
        <item x="82"/>
        <item x="185"/>
        <item x="30"/>
        <item x="230"/>
        <item x="124"/>
        <item x="171"/>
        <item x="304"/>
        <item x="41"/>
        <item x="259"/>
        <item x="14"/>
        <item x="180"/>
        <item x="5"/>
        <item x="24"/>
        <item x="108"/>
        <item x="47"/>
        <item x="61"/>
        <item x="120"/>
        <item x="276"/>
        <item x="252"/>
        <item x="246"/>
        <item x="285"/>
        <item x="76"/>
        <item x="272"/>
        <item x="136"/>
        <item x="153"/>
        <item x="0"/>
        <item x="16"/>
        <item x="181"/>
        <item x="260"/>
        <item x="322"/>
        <item x="81"/>
        <item x="10"/>
        <item x="190"/>
        <item x="300"/>
        <item x="131"/>
        <item x="197"/>
        <item x="312"/>
        <item x="6"/>
        <item x="106"/>
        <item x="21"/>
        <item x="73"/>
        <item x="107"/>
        <item x="25"/>
        <item x="266"/>
        <item x="1"/>
        <item x="174"/>
        <item x="228"/>
        <item x="121"/>
        <item x="27"/>
        <item x="99"/>
        <item x="278"/>
        <item x="244"/>
        <item x="68"/>
        <item x="294"/>
        <item x="12"/>
        <item x="63"/>
        <item x="95"/>
        <item x="62"/>
        <item x="33"/>
        <item x="145"/>
        <item x="200"/>
        <item x="115"/>
        <item x="251"/>
        <item x="193"/>
        <item x="162"/>
        <item x="94"/>
        <item x="220"/>
        <item x="198"/>
        <item x="127"/>
        <item x="17"/>
        <item x="13"/>
        <item x="101"/>
        <item x="158"/>
        <item x="144"/>
        <item x="70"/>
        <item x="86"/>
        <item x="325"/>
        <item x="75"/>
        <item x="74"/>
        <item x="288"/>
        <item x="321"/>
        <item x="309"/>
        <item x="26"/>
        <item x="19"/>
        <item x="42"/>
        <item x="315"/>
        <item x="60"/>
        <item x="232"/>
        <item x="182"/>
        <item x="28"/>
        <item x="90"/>
        <item x="265"/>
        <item x="31"/>
        <item x="44"/>
        <item x="117"/>
        <item x="43"/>
        <item x="281"/>
        <item x="103"/>
        <item x="69"/>
        <item x="308"/>
        <item x="254"/>
        <item x="195"/>
        <item x="88"/>
        <item x="234"/>
        <item x="207"/>
        <item x="137"/>
        <item x="221"/>
        <item x="23"/>
        <item x="134"/>
        <item x="187"/>
        <item x="72"/>
        <item x="157"/>
        <item x="313"/>
        <item x="192"/>
        <item x="231"/>
        <item x="316"/>
        <item x="140"/>
        <item x="45"/>
        <item x="34"/>
        <item x="111"/>
        <item x="170"/>
        <item x="179"/>
        <item x="227"/>
        <item x="18"/>
        <item x="293"/>
        <item x="126"/>
        <item x="275"/>
        <item x="202"/>
        <item x="225"/>
        <item x="301"/>
        <item x="148"/>
        <item x="104"/>
        <item x="129"/>
        <item x="183"/>
        <item x="114"/>
        <item x="38"/>
        <item x="229"/>
        <item x="307"/>
        <item x="271"/>
        <item x="176"/>
        <item x="323"/>
        <item x="32"/>
        <item x="296"/>
        <item x="216"/>
        <item x="4"/>
        <item x="311"/>
        <item x="133"/>
        <item x="249"/>
        <item x="164"/>
        <item x="175"/>
        <item x="215"/>
        <item x="280"/>
        <item x="110"/>
        <item x="11"/>
        <item x="113"/>
        <item x="98"/>
        <item x="84"/>
        <item x="262"/>
        <item x="196"/>
        <item x="46"/>
        <item x="48"/>
        <item x="283"/>
        <item x="152"/>
        <item x="93"/>
        <item x="233"/>
        <item x="184"/>
        <item x="128"/>
        <item x="64"/>
        <item x="217"/>
        <item x="226"/>
        <item x="20"/>
        <item x="15"/>
        <item x="118"/>
        <item x="165"/>
        <item x="264"/>
        <item x="166"/>
        <item x="273"/>
        <item x="208"/>
        <item x="168"/>
        <item x="206"/>
        <item x="247"/>
        <item x="80"/>
        <item x="320"/>
        <item x="223"/>
        <item x="160"/>
        <item x="263"/>
        <item x="194"/>
        <item x="188"/>
        <item x="189"/>
        <item x="267"/>
        <item x="65"/>
        <item x="191"/>
        <item x="253"/>
        <item x="51"/>
        <item x="292"/>
        <item x="91"/>
        <item x="218"/>
        <item x="203"/>
        <item x="156"/>
        <item x="287"/>
        <item x="138"/>
        <item x="53"/>
        <item x="295"/>
        <item x="40"/>
        <item x="186"/>
        <item x="143"/>
        <item x="302"/>
        <item x="39"/>
        <item x="310"/>
        <item x="112"/>
        <item x="141"/>
        <item x="204"/>
        <item x="318"/>
        <item x="299"/>
        <item x="258"/>
        <item x="151"/>
        <item x="222"/>
        <item x="290"/>
        <item x="224"/>
        <item x="172"/>
        <item t="default"/>
      </items>
    </pivotField>
    <pivotField showAll="0"/>
    <pivotField numFmtId="14" showAll="0"/>
    <pivotField numFmtId="14" showAll="0"/>
    <pivotField showAll="0"/>
    <pivotField dataField="1" showAll="0"/>
    <pivotField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pivotField showAll="0"/>
    <pivotField showAll="0">
      <items count="4">
        <item x="0"/>
        <item x="1"/>
        <item x="2"/>
        <item t="default"/>
      </items>
    </pivotField>
    <pivotField showAll="0"/>
    <pivotField showAll="0"/>
    <pivotField numFmtId="164" showAll="0"/>
    <pivotField showAll="0"/>
    <pivotField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Total Custom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7DECFD-97A7-48D1-8825-17D674EDEAD1}" name="Profit_Per_Period"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rowHeaderCaption="Period">
  <location ref="D14:E20" firstHeaderRow="1" firstDataRow="1" firstDataCol="1"/>
  <pivotFields count="27">
    <pivotField showAll="0"/>
    <pivotField showAll="0">
      <items count="480">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 t="default"/>
      </items>
    </pivotField>
    <pivotField numFmtId="14" showAll="0">
      <items count="327">
        <item x="199"/>
        <item x="71"/>
        <item x="105"/>
        <item x="241"/>
        <item x="268"/>
        <item x="243"/>
        <item x="239"/>
        <item x="205"/>
        <item x="92"/>
        <item x="248"/>
        <item x="125"/>
        <item x="240"/>
        <item x="235"/>
        <item x="78"/>
        <item x="29"/>
        <item x="284"/>
        <item x="177"/>
        <item x="279"/>
        <item x="150"/>
        <item x="245"/>
        <item x="212"/>
        <item x="77"/>
        <item x="211"/>
        <item x="274"/>
        <item x="3"/>
        <item x="123"/>
        <item x="298"/>
        <item x="173"/>
        <item x="297"/>
        <item x="282"/>
        <item x="286"/>
        <item x="242"/>
        <item x="201"/>
        <item x="7"/>
        <item x="169"/>
        <item x="130"/>
        <item x="161"/>
        <item x="36"/>
        <item x="256"/>
        <item x="132"/>
        <item x="8"/>
        <item x="102"/>
        <item x="270"/>
        <item x="97"/>
        <item x="56"/>
        <item x="257"/>
        <item x="79"/>
        <item x="116"/>
        <item x="269"/>
        <item x="213"/>
        <item x="303"/>
        <item x="210"/>
        <item x="37"/>
        <item x="261"/>
        <item x="146"/>
        <item x="314"/>
        <item x="155"/>
        <item x="119"/>
        <item x="219"/>
        <item x="57"/>
        <item x="289"/>
        <item x="306"/>
        <item x="66"/>
        <item x="83"/>
        <item x="163"/>
        <item x="255"/>
        <item x="59"/>
        <item x="22"/>
        <item x="96"/>
        <item x="89"/>
        <item x="238"/>
        <item x="324"/>
        <item x="236"/>
        <item x="100"/>
        <item x="149"/>
        <item x="291"/>
        <item x="317"/>
        <item x="319"/>
        <item x="159"/>
        <item x="178"/>
        <item x="209"/>
        <item x="67"/>
        <item x="109"/>
        <item x="305"/>
        <item x="214"/>
        <item x="142"/>
        <item x="2"/>
        <item x="139"/>
        <item x="87"/>
        <item x="147"/>
        <item x="154"/>
        <item x="167"/>
        <item x="55"/>
        <item x="135"/>
        <item x="277"/>
        <item x="50"/>
        <item x="49"/>
        <item x="237"/>
        <item x="85"/>
        <item x="35"/>
        <item x="58"/>
        <item x="250"/>
        <item x="9"/>
        <item x="122"/>
        <item x="52"/>
        <item x="54"/>
        <item x="82"/>
        <item x="185"/>
        <item x="30"/>
        <item x="230"/>
        <item x="124"/>
        <item x="171"/>
        <item x="304"/>
        <item x="41"/>
        <item x="259"/>
        <item x="14"/>
        <item x="180"/>
        <item x="5"/>
        <item x="24"/>
        <item x="108"/>
        <item x="47"/>
        <item x="61"/>
        <item x="120"/>
        <item x="276"/>
        <item x="252"/>
        <item x="246"/>
        <item x="285"/>
        <item x="76"/>
        <item x="272"/>
        <item x="136"/>
        <item x="153"/>
        <item x="0"/>
        <item x="16"/>
        <item x="181"/>
        <item x="260"/>
        <item x="322"/>
        <item x="81"/>
        <item x="10"/>
        <item x="190"/>
        <item x="300"/>
        <item x="131"/>
        <item x="197"/>
        <item x="312"/>
        <item x="6"/>
        <item x="106"/>
        <item x="21"/>
        <item x="73"/>
        <item x="107"/>
        <item x="25"/>
        <item x="266"/>
        <item x="1"/>
        <item x="174"/>
        <item x="228"/>
        <item x="121"/>
        <item x="27"/>
        <item x="99"/>
        <item x="278"/>
        <item x="244"/>
        <item x="68"/>
        <item x="294"/>
        <item x="12"/>
        <item x="63"/>
        <item x="95"/>
        <item x="62"/>
        <item x="33"/>
        <item x="145"/>
        <item x="200"/>
        <item x="115"/>
        <item x="251"/>
        <item x="193"/>
        <item x="162"/>
        <item x="94"/>
        <item x="220"/>
        <item x="198"/>
        <item x="127"/>
        <item x="17"/>
        <item x="13"/>
        <item x="101"/>
        <item x="158"/>
        <item x="144"/>
        <item x="70"/>
        <item x="86"/>
        <item x="325"/>
        <item x="75"/>
        <item x="74"/>
        <item x="288"/>
        <item x="321"/>
        <item x="309"/>
        <item x="26"/>
        <item x="19"/>
        <item x="42"/>
        <item x="315"/>
        <item x="60"/>
        <item x="232"/>
        <item x="182"/>
        <item x="28"/>
        <item x="90"/>
        <item x="265"/>
        <item x="31"/>
        <item x="44"/>
        <item x="117"/>
        <item x="43"/>
        <item x="281"/>
        <item x="103"/>
        <item x="69"/>
        <item x="308"/>
        <item x="254"/>
        <item x="195"/>
        <item x="88"/>
        <item x="234"/>
        <item x="207"/>
        <item x="137"/>
        <item x="221"/>
        <item x="23"/>
        <item x="134"/>
        <item x="187"/>
        <item x="72"/>
        <item x="157"/>
        <item x="313"/>
        <item x="192"/>
        <item x="231"/>
        <item x="316"/>
        <item x="140"/>
        <item x="45"/>
        <item x="34"/>
        <item x="111"/>
        <item x="170"/>
        <item x="179"/>
        <item x="227"/>
        <item x="18"/>
        <item x="293"/>
        <item x="126"/>
        <item x="275"/>
        <item x="202"/>
        <item x="225"/>
        <item x="301"/>
        <item x="148"/>
        <item x="104"/>
        <item x="129"/>
        <item x="183"/>
        <item x="114"/>
        <item x="38"/>
        <item x="229"/>
        <item x="307"/>
        <item x="271"/>
        <item x="176"/>
        <item x="323"/>
        <item x="32"/>
        <item x="296"/>
        <item x="216"/>
        <item x="4"/>
        <item x="311"/>
        <item x="133"/>
        <item x="249"/>
        <item x="164"/>
        <item x="175"/>
        <item x="215"/>
        <item x="280"/>
        <item x="110"/>
        <item x="11"/>
        <item x="113"/>
        <item x="98"/>
        <item x="84"/>
        <item x="262"/>
        <item x="196"/>
        <item x="46"/>
        <item x="48"/>
        <item x="283"/>
        <item x="152"/>
        <item x="93"/>
        <item x="233"/>
        <item x="184"/>
        <item x="128"/>
        <item x="64"/>
        <item x="217"/>
        <item x="226"/>
        <item x="20"/>
        <item x="15"/>
        <item x="118"/>
        <item x="165"/>
        <item x="264"/>
        <item x="166"/>
        <item x="273"/>
        <item x="208"/>
        <item x="168"/>
        <item x="206"/>
        <item x="247"/>
        <item x="80"/>
        <item x="320"/>
        <item x="223"/>
        <item x="160"/>
        <item x="263"/>
        <item x="194"/>
        <item x="188"/>
        <item x="189"/>
        <item x="267"/>
        <item x="65"/>
        <item x="191"/>
        <item x="253"/>
        <item x="51"/>
        <item x="292"/>
        <item x="91"/>
        <item x="218"/>
        <item x="203"/>
        <item x="156"/>
        <item x="287"/>
        <item x="138"/>
        <item x="53"/>
        <item x="295"/>
        <item x="40"/>
        <item x="186"/>
        <item x="143"/>
        <item x="302"/>
        <item x="39"/>
        <item x="310"/>
        <item x="112"/>
        <item x="141"/>
        <item x="204"/>
        <item x="318"/>
        <item x="299"/>
        <item x="258"/>
        <item x="151"/>
        <item x="222"/>
        <item x="290"/>
        <item x="224"/>
        <item x="172"/>
        <item t="default"/>
      </items>
    </pivotField>
    <pivotField showAll="0"/>
    <pivotField numFmtId="14" showAll="0"/>
    <pivotField numFmtId="14" showAll="0"/>
    <pivotField showAll="0"/>
    <pivotField showAll="0"/>
    <pivotField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pivotField showAll="0"/>
    <pivotField showAll="0">
      <items count="4">
        <item x="0"/>
        <item x="1"/>
        <item x="2"/>
        <item t="default"/>
      </items>
    </pivotField>
    <pivotField showAll="0"/>
    <pivotField showAll="0"/>
    <pivotField numFmtId="164" showAll="0"/>
    <pivotField showAll="0"/>
    <pivotField showAll="0"/>
    <pivotField dataField="1" numFmtId="164"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3">
    <field x="26"/>
    <field x="25"/>
    <field x="24"/>
  </rowFields>
  <rowItems count="6">
    <i>
      <x v="1"/>
    </i>
    <i>
      <x v="2"/>
    </i>
    <i>
      <x v="3"/>
    </i>
    <i>
      <x v="4"/>
    </i>
    <i>
      <x v="5"/>
    </i>
    <i>
      <x v="6"/>
    </i>
  </rowItems>
  <colItems count="1">
    <i/>
  </colItems>
  <dataFields count="1">
    <dataField name="Sum of Profit" fld="2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3BBFCFB-15ED-4658-917F-A414E784E71B}" sourceName="State">
  <pivotTables>
    <pivotTable tabId="2" name="Quantity_Per_Category"/>
    <pivotTable tabId="2" name="Month_Ordered"/>
    <pivotTable tabId="2" name="Number_of_Customers"/>
    <pivotTable tabId="2" name="Profit_Per_Period"/>
    <pivotTable tabId="2" name="Regional_Sales_and_Profit"/>
  </pivotTables>
  <data>
    <tabular pivotCacheId="137559458">
      <items count="40">
        <i x="19" s="1"/>
        <i x="16" s="1"/>
        <i x="36" s="1"/>
        <i x="1" s="1"/>
        <i x="22" s="1"/>
        <i x="29" s="1"/>
        <i x="13" s="1"/>
        <i x="2" s="1"/>
        <i x="32" s="1"/>
        <i x="10" s="1"/>
        <i x="14" s="1"/>
        <i x="23" s="1"/>
        <i x="0" s="1"/>
        <i x="28" s="1"/>
        <i x="39" s="1"/>
        <i x="31" s="1"/>
        <i x="12" s="1"/>
        <i x="11" s="1"/>
        <i x="35" s="1"/>
        <i x="25" s="1"/>
        <i x="37" s="1"/>
        <i x="8" s="1"/>
        <i x="33" s="1"/>
        <i x="38" s="1"/>
        <i x="30" s="1"/>
        <i x="27" s="1"/>
        <i x="15" s="1"/>
        <i x="3" s="1"/>
        <i x="24" s="1"/>
        <i x="26" s="1"/>
        <i x="21" s="1"/>
        <i x="9" s="1"/>
        <i x="34" s="1"/>
        <i x="20" s="1"/>
        <i x="18" s="1"/>
        <i x="5" s="1"/>
        <i x="7" s="1"/>
        <i x="17"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E19283C4-E451-4F6D-98A7-DBBE074875C6}" cache="Slicer_State" caption="St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2557619-980A-4DE9-844B-8EEB63A8F0B7}" sourceName="Order Date">
  <pivotTables>
    <pivotTable tabId="2" name="Month_Ordered"/>
    <pivotTable tabId="2" name="Number_of_Customers"/>
    <pivotTable tabId="2" name="Profit_Per_Period"/>
    <pivotTable tabId="2" name="Quantity_Per_Category"/>
    <pivotTable tabId="2" name="Regional_Sales_and_Profit"/>
  </pivotTables>
  <state minimalRefreshVersion="6" lastRefreshVersion="6" pivotCacheId="137559458" filterType="unknown">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5254CA6-B3B1-4344-B200-F8D2E98F5623}" cache="NativeTimeline_Order_Date" caption="Order Date" level="2" selectionLevel="2" scrollPosition="2019-06-06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AFCA-941D-4C48-A633-FC0CA6CB5AC3}">
  <dimension ref="A1:W9995"/>
  <sheetViews>
    <sheetView workbookViewId="0">
      <selection activeCell="D28" sqref="D28"/>
    </sheetView>
  </sheetViews>
  <sheetFormatPr defaultRowHeight="14.4" x14ac:dyDescent="0.3"/>
  <cols>
    <col min="3" max="3" width="10.6640625" bestFit="1" customWidth="1"/>
    <col min="4" max="4" width="12.77734375" customWidth="1"/>
    <col min="5" max="6" width="10.6640625" bestFit="1" customWidth="1"/>
    <col min="14" max="14" width="10.88671875" bestFit="1" customWidth="1"/>
    <col min="17" max="17" width="14.5546875" bestFit="1" customWidth="1"/>
    <col min="20" max="20" width="10" style="4" bestFit="1" customWidth="1"/>
    <col min="23" max="23" width="10.6640625" style="4" bestFit="1" customWidth="1"/>
  </cols>
  <sheetData>
    <row r="1" spans="1:23" x14ac:dyDescent="0.3">
      <c r="A1" s="1" t="s">
        <v>0</v>
      </c>
      <c r="B1" s="1" t="s">
        <v>1</v>
      </c>
      <c r="C1" s="1" t="s">
        <v>2</v>
      </c>
      <c r="D1" s="1" t="s">
        <v>3003</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2" t="s">
        <v>18</v>
      </c>
      <c r="U1" s="1" t="s">
        <v>19</v>
      </c>
      <c r="V1" s="1" t="s">
        <v>20</v>
      </c>
      <c r="W1" s="2" t="s">
        <v>21</v>
      </c>
    </row>
    <row r="2" spans="1:23" x14ac:dyDescent="0.3">
      <c r="A2">
        <v>1</v>
      </c>
      <c r="B2" t="s">
        <v>22</v>
      </c>
      <c r="C2" s="3">
        <v>42593</v>
      </c>
      <c r="D2" s="7" t="str">
        <f>TEXT(C2,"mmmm")</f>
        <v>August</v>
      </c>
      <c r="E2" s="3">
        <f>EOMONTH(C2,0)</f>
        <v>42613</v>
      </c>
      <c r="F2" s="3">
        <v>42685</v>
      </c>
      <c r="G2" t="s">
        <v>23</v>
      </c>
      <c r="H2" t="s">
        <v>24</v>
      </c>
      <c r="I2" t="s">
        <v>25</v>
      </c>
      <c r="J2" t="s">
        <v>26</v>
      </c>
      <c r="K2" t="s">
        <v>27</v>
      </c>
      <c r="L2" t="s">
        <v>28</v>
      </c>
      <c r="M2" t="s">
        <v>29</v>
      </c>
      <c r="N2">
        <v>42420</v>
      </c>
      <c r="O2" t="s">
        <v>30</v>
      </c>
      <c r="P2" t="s">
        <v>31</v>
      </c>
      <c r="Q2" t="s">
        <v>32</v>
      </c>
      <c r="R2" t="s">
        <v>33</v>
      </c>
      <c r="S2" t="s">
        <v>34</v>
      </c>
      <c r="T2" s="4">
        <v>261.95999999999998</v>
      </c>
      <c r="U2">
        <v>2</v>
      </c>
      <c r="V2">
        <v>0</v>
      </c>
      <c r="W2" s="4">
        <v>41.913600000000002</v>
      </c>
    </row>
    <row r="3" spans="1:23" x14ac:dyDescent="0.3">
      <c r="A3">
        <v>2</v>
      </c>
      <c r="B3" t="s">
        <v>22</v>
      </c>
      <c r="C3" s="3">
        <v>42593</v>
      </c>
      <c r="D3" s="7" t="str">
        <f t="shared" ref="D3:D66" si="0">TEXT(C3,"mmmm")</f>
        <v>August</v>
      </c>
      <c r="E3" s="3">
        <f t="shared" ref="E3:E66" si="1">EOMONTH(C3,0)</f>
        <v>42613</v>
      </c>
      <c r="F3" s="3">
        <v>42685</v>
      </c>
      <c r="G3" t="s">
        <v>23</v>
      </c>
      <c r="H3" t="s">
        <v>24</v>
      </c>
      <c r="I3" t="s">
        <v>25</v>
      </c>
      <c r="J3" t="s">
        <v>26</v>
      </c>
      <c r="K3" t="s">
        <v>27</v>
      </c>
      <c r="L3" t="s">
        <v>28</v>
      </c>
      <c r="M3" t="s">
        <v>29</v>
      </c>
      <c r="N3" t="s">
        <v>2998</v>
      </c>
      <c r="O3" t="s">
        <v>30</v>
      </c>
      <c r="P3" t="s">
        <v>35</v>
      </c>
      <c r="Q3" t="s">
        <v>32</v>
      </c>
      <c r="R3" t="s">
        <v>36</v>
      </c>
      <c r="S3" t="s">
        <v>37</v>
      </c>
      <c r="T3" s="4">
        <v>731.94</v>
      </c>
      <c r="U3">
        <v>3</v>
      </c>
      <c r="V3">
        <v>0</v>
      </c>
      <c r="W3" s="4">
        <v>219.58199999999999</v>
      </c>
    </row>
    <row r="4" spans="1:23" x14ac:dyDescent="0.3">
      <c r="A4">
        <v>3</v>
      </c>
      <c r="B4" t="s">
        <v>38</v>
      </c>
      <c r="C4" s="3">
        <v>42710</v>
      </c>
      <c r="D4" s="7" t="str">
        <f t="shared" si="0"/>
        <v>December</v>
      </c>
      <c r="E4" s="3">
        <f t="shared" si="1"/>
        <v>42735</v>
      </c>
      <c r="F4" s="3">
        <v>42831</v>
      </c>
      <c r="G4" t="s">
        <v>23</v>
      </c>
      <c r="H4" t="s">
        <v>39</v>
      </c>
      <c r="I4" t="s">
        <v>40</v>
      </c>
      <c r="J4" t="s">
        <v>41</v>
      </c>
      <c r="K4" t="s">
        <v>27</v>
      </c>
      <c r="L4" t="s">
        <v>42</v>
      </c>
      <c r="M4" t="s">
        <v>43</v>
      </c>
      <c r="N4">
        <v>90036</v>
      </c>
      <c r="O4" t="s">
        <v>44</v>
      </c>
      <c r="P4" t="s">
        <v>45</v>
      </c>
      <c r="Q4" t="s">
        <v>46</v>
      </c>
      <c r="R4" t="s">
        <v>47</v>
      </c>
      <c r="S4" t="s">
        <v>48</v>
      </c>
      <c r="T4" s="4">
        <v>14.62</v>
      </c>
      <c r="U4">
        <v>2</v>
      </c>
      <c r="V4">
        <v>0</v>
      </c>
      <c r="W4" s="4">
        <v>6.8714000000000004</v>
      </c>
    </row>
    <row r="5" spans="1:23" x14ac:dyDescent="0.3">
      <c r="A5">
        <v>4</v>
      </c>
      <c r="B5" t="s">
        <v>49</v>
      </c>
      <c r="C5" s="3">
        <v>42318</v>
      </c>
      <c r="D5" s="7" t="str">
        <f t="shared" si="0"/>
        <v>November</v>
      </c>
      <c r="E5" s="3">
        <f t="shared" si="1"/>
        <v>42338</v>
      </c>
      <c r="F5" s="3">
        <v>42531</v>
      </c>
      <c r="G5" t="s">
        <v>50</v>
      </c>
      <c r="H5" t="s">
        <v>51</v>
      </c>
      <c r="I5" t="s">
        <v>52</v>
      </c>
      <c r="J5" t="s">
        <v>26</v>
      </c>
      <c r="K5" t="s">
        <v>27</v>
      </c>
      <c r="L5" t="s">
        <v>53</v>
      </c>
      <c r="M5" t="s">
        <v>54</v>
      </c>
      <c r="N5">
        <v>33311</v>
      </c>
      <c r="O5" t="s">
        <v>30</v>
      </c>
      <c r="P5" t="s">
        <v>55</v>
      </c>
      <c r="Q5" t="s">
        <v>32</v>
      </c>
      <c r="R5" t="s">
        <v>56</v>
      </c>
      <c r="S5" t="s">
        <v>57</v>
      </c>
      <c r="T5" s="4">
        <v>957.57749999999999</v>
      </c>
      <c r="U5">
        <v>5</v>
      </c>
      <c r="V5">
        <v>0.45</v>
      </c>
      <c r="W5" s="4">
        <v>-383.03100000000001</v>
      </c>
    </row>
    <row r="6" spans="1:23" x14ac:dyDescent="0.3">
      <c r="A6">
        <v>5</v>
      </c>
      <c r="B6" t="s">
        <v>49</v>
      </c>
      <c r="C6" s="3">
        <v>42318</v>
      </c>
      <c r="D6" s="7" t="str">
        <f t="shared" si="0"/>
        <v>November</v>
      </c>
      <c r="E6" s="3">
        <f t="shared" si="1"/>
        <v>42338</v>
      </c>
      <c r="F6" s="3">
        <v>42531</v>
      </c>
      <c r="G6" t="s">
        <v>50</v>
      </c>
      <c r="H6" t="s">
        <v>51</v>
      </c>
      <c r="I6" t="s">
        <v>52</v>
      </c>
      <c r="J6" t="s">
        <v>26</v>
      </c>
      <c r="K6" t="s">
        <v>27</v>
      </c>
      <c r="L6" t="s">
        <v>53</v>
      </c>
      <c r="M6" t="s">
        <v>54</v>
      </c>
      <c r="N6">
        <v>33311</v>
      </c>
      <c r="O6" t="s">
        <v>30</v>
      </c>
      <c r="P6" t="s">
        <v>58</v>
      </c>
      <c r="Q6" t="s">
        <v>46</v>
      </c>
      <c r="R6" t="s">
        <v>59</v>
      </c>
      <c r="S6" t="s">
        <v>60</v>
      </c>
      <c r="T6" s="4">
        <v>22.367999999999999</v>
      </c>
      <c r="U6">
        <v>2</v>
      </c>
      <c r="V6">
        <v>0.2</v>
      </c>
      <c r="W6" s="4">
        <v>2.5164</v>
      </c>
    </row>
    <row r="7" spans="1:23" x14ac:dyDescent="0.3">
      <c r="A7">
        <v>6</v>
      </c>
      <c r="B7" t="s">
        <v>61</v>
      </c>
      <c r="C7" s="3">
        <v>41888</v>
      </c>
      <c r="D7" s="7" t="str">
        <f t="shared" si="0"/>
        <v>September</v>
      </c>
      <c r="E7" s="3">
        <f t="shared" si="1"/>
        <v>41912</v>
      </c>
      <c r="F7" s="3">
        <v>42041</v>
      </c>
      <c r="G7" t="s">
        <v>50</v>
      </c>
      <c r="H7" t="s">
        <v>62</v>
      </c>
      <c r="I7" t="s">
        <v>63</v>
      </c>
      <c r="J7" t="s">
        <v>26</v>
      </c>
      <c r="K7" t="s">
        <v>27</v>
      </c>
      <c r="L7" t="s">
        <v>42</v>
      </c>
      <c r="M7" t="s">
        <v>43</v>
      </c>
      <c r="N7">
        <v>90032</v>
      </c>
      <c r="O7" t="s">
        <v>44</v>
      </c>
      <c r="P7" t="s">
        <v>64</v>
      </c>
      <c r="Q7" t="s">
        <v>32</v>
      </c>
      <c r="R7" t="s">
        <v>65</v>
      </c>
      <c r="S7" t="s">
        <v>66</v>
      </c>
      <c r="T7" s="4">
        <v>48.86</v>
      </c>
      <c r="U7">
        <v>7</v>
      </c>
      <c r="V7">
        <v>0</v>
      </c>
      <c r="W7" s="4">
        <v>14.1694</v>
      </c>
    </row>
    <row r="8" spans="1:23" x14ac:dyDescent="0.3">
      <c r="A8">
        <v>7</v>
      </c>
      <c r="B8" t="s">
        <v>61</v>
      </c>
      <c r="C8" s="3">
        <v>41888</v>
      </c>
      <c r="D8" s="7" t="str">
        <f t="shared" si="0"/>
        <v>September</v>
      </c>
      <c r="E8" s="3">
        <f t="shared" si="1"/>
        <v>41912</v>
      </c>
      <c r="F8" s="3">
        <v>42041</v>
      </c>
      <c r="G8" t="s">
        <v>50</v>
      </c>
      <c r="H8" t="s">
        <v>62</v>
      </c>
      <c r="I8" t="s">
        <v>63</v>
      </c>
      <c r="J8" t="s">
        <v>26</v>
      </c>
      <c r="K8" t="s">
        <v>27</v>
      </c>
      <c r="L8" t="s">
        <v>42</v>
      </c>
      <c r="M8" t="s">
        <v>43</v>
      </c>
      <c r="N8">
        <v>90032</v>
      </c>
      <c r="O8" t="s">
        <v>44</v>
      </c>
      <c r="P8" t="s">
        <v>67</v>
      </c>
      <c r="Q8" t="s">
        <v>46</v>
      </c>
      <c r="R8" t="s">
        <v>68</v>
      </c>
      <c r="S8" t="s">
        <v>69</v>
      </c>
      <c r="T8" s="4">
        <v>7.28</v>
      </c>
      <c r="U8">
        <v>4</v>
      </c>
      <c r="V8">
        <v>0</v>
      </c>
      <c r="W8" s="4">
        <v>1.9656</v>
      </c>
    </row>
    <row r="9" spans="1:23" x14ac:dyDescent="0.3">
      <c r="A9">
        <v>8</v>
      </c>
      <c r="B9" t="s">
        <v>61</v>
      </c>
      <c r="C9" s="3">
        <v>41888</v>
      </c>
      <c r="D9" s="7" t="str">
        <f t="shared" si="0"/>
        <v>September</v>
      </c>
      <c r="E9" s="3">
        <f t="shared" si="1"/>
        <v>41912</v>
      </c>
      <c r="F9" s="3">
        <v>42041</v>
      </c>
      <c r="G9" t="s">
        <v>50</v>
      </c>
      <c r="H9" t="s">
        <v>62</v>
      </c>
      <c r="I9" t="s">
        <v>63</v>
      </c>
      <c r="J9" t="s">
        <v>26</v>
      </c>
      <c r="K9" t="s">
        <v>27</v>
      </c>
      <c r="L9" t="s">
        <v>42</v>
      </c>
      <c r="M9" t="s">
        <v>43</v>
      </c>
      <c r="N9">
        <v>90032</v>
      </c>
      <c r="O9" t="s">
        <v>44</v>
      </c>
      <c r="P9" t="s">
        <v>70</v>
      </c>
      <c r="Q9" t="s">
        <v>71</v>
      </c>
      <c r="R9" t="s">
        <v>72</v>
      </c>
      <c r="S9" t="s">
        <v>73</v>
      </c>
      <c r="T9" s="4">
        <v>907.15200000000004</v>
      </c>
      <c r="U9">
        <v>6</v>
      </c>
      <c r="V9">
        <v>0.2</v>
      </c>
      <c r="W9" s="4">
        <v>90.715199999999996</v>
      </c>
    </row>
    <row r="10" spans="1:23" x14ac:dyDescent="0.3">
      <c r="A10">
        <v>9</v>
      </c>
      <c r="B10" t="s">
        <v>61</v>
      </c>
      <c r="C10" s="3">
        <v>41888</v>
      </c>
      <c r="D10" s="7" t="str">
        <f t="shared" si="0"/>
        <v>September</v>
      </c>
      <c r="E10" s="3">
        <f t="shared" si="1"/>
        <v>41912</v>
      </c>
      <c r="F10" s="3">
        <v>42041</v>
      </c>
      <c r="G10" t="s">
        <v>50</v>
      </c>
      <c r="H10" t="s">
        <v>62</v>
      </c>
      <c r="I10" t="s">
        <v>63</v>
      </c>
      <c r="J10" t="s">
        <v>26</v>
      </c>
      <c r="K10" t="s">
        <v>27</v>
      </c>
      <c r="L10" t="s">
        <v>42</v>
      </c>
      <c r="M10" t="s">
        <v>43</v>
      </c>
      <c r="N10">
        <v>90032</v>
      </c>
      <c r="O10" t="s">
        <v>44</v>
      </c>
      <c r="P10" t="s">
        <v>74</v>
      </c>
      <c r="Q10" t="s">
        <v>46</v>
      </c>
      <c r="R10" t="s">
        <v>75</v>
      </c>
      <c r="S10" t="s">
        <v>76</v>
      </c>
      <c r="T10" s="4">
        <v>18.504000000000001</v>
      </c>
      <c r="U10">
        <v>3</v>
      </c>
      <c r="V10">
        <v>0.2</v>
      </c>
      <c r="W10" s="4">
        <v>5.7824999999999998</v>
      </c>
    </row>
    <row r="11" spans="1:23" x14ac:dyDescent="0.3">
      <c r="A11">
        <v>10</v>
      </c>
      <c r="B11" t="s">
        <v>61</v>
      </c>
      <c r="C11" s="3">
        <v>41888</v>
      </c>
      <c r="D11" s="7" t="str">
        <f t="shared" si="0"/>
        <v>September</v>
      </c>
      <c r="E11" s="3">
        <f t="shared" si="1"/>
        <v>41912</v>
      </c>
      <c r="F11" s="3">
        <v>42041</v>
      </c>
      <c r="G11" t="s">
        <v>50</v>
      </c>
      <c r="H11" t="s">
        <v>62</v>
      </c>
      <c r="I11" t="s">
        <v>63</v>
      </c>
      <c r="J11" t="s">
        <v>26</v>
      </c>
      <c r="K11" t="s">
        <v>27</v>
      </c>
      <c r="L11" t="s">
        <v>42</v>
      </c>
      <c r="M11" t="s">
        <v>43</v>
      </c>
      <c r="N11">
        <v>90032</v>
      </c>
      <c r="O11" t="s">
        <v>44</v>
      </c>
      <c r="P11" t="s">
        <v>77</v>
      </c>
      <c r="Q11" t="s">
        <v>46</v>
      </c>
      <c r="R11" t="s">
        <v>78</v>
      </c>
      <c r="S11" t="s">
        <v>79</v>
      </c>
      <c r="T11" s="4">
        <v>114.9</v>
      </c>
      <c r="U11">
        <v>5</v>
      </c>
      <c r="V11">
        <v>0</v>
      </c>
      <c r="W11" s="4">
        <v>34.47</v>
      </c>
    </row>
    <row r="12" spans="1:23" x14ac:dyDescent="0.3">
      <c r="A12">
        <v>11</v>
      </c>
      <c r="B12" t="s">
        <v>61</v>
      </c>
      <c r="C12" s="3">
        <v>41888</v>
      </c>
      <c r="D12" s="7" t="str">
        <f t="shared" si="0"/>
        <v>September</v>
      </c>
      <c r="E12" s="3">
        <f t="shared" si="1"/>
        <v>41912</v>
      </c>
      <c r="F12" s="3">
        <v>42041</v>
      </c>
      <c r="G12" t="s">
        <v>50</v>
      </c>
      <c r="H12" t="s">
        <v>62</v>
      </c>
      <c r="I12" t="s">
        <v>63</v>
      </c>
      <c r="J12" t="s">
        <v>26</v>
      </c>
      <c r="K12" t="s">
        <v>27</v>
      </c>
      <c r="L12" t="s">
        <v>42</v>
      </c>
      <c r="M12" t="s">
        <v>43</v>
      </c>
      <c r="N12">
        <v>90032</v>
      </c>
      <c r="O12" t="s">
        <v>44</v>
      </c>
      <c r="P12" t="s">
        <v>80</v>
      </c>
      <c r="Q12" t="s">
        <v>32</v>
      </c>
      <c r="R12" t="s">
        <v>56</v>
      </c>
      <c r="S12" t="s">
        <v>81</v>
      </c>
      <c r="T12" s="4">
        <v>1706.184</v>
      </c>
      <c r="U12">
        <v>9</v>
      </c>
      <c r="V12">
        <v>0.2</v>
      </c>
      <c r="W12" s="4">
        <v>85.309200000000004</v>
      </c>
    </row>
    <row r="13" spans="1:23" x14ac:dyDescent="0.3">
      <c r="A13">
        <v>12</v>
      </c>
      <c r="B13" t="s">
        <v>61</v>
      </c>
      <c r="C13" s="3">
        <v>41888</v>
      </c>
      <c r="D13" s="7" t="str">
        <f t="shared" si="0"/>
        <v>September</v>
      </c>
      <c r="E13" s="3">
        <f t="shared" si="1"/>
        <v>41912</v>
      </c>
      <c r="F13" s="3">
        <v>42041</v>
      </c>
      <c r="G13" t="s">
        <v>50</v>
      </c>
      <c r="H13" t="s">
        <v>62</v>
      </c>
      <c r="I13" t="s">
        <v>63</v>
      </c>
      <c r="J13" t="s">
        <v>26</v>
      </c>
      <c r="K13" t="s">
        <v>27</v>
      </c>
      <c r="L13" t="s">
        <v>42</v>
      </c>
      <c r="M13" t="s">
        <v>43</v>
      </c>
      <c r="N13">
        <v>90032</v>
      </c>
      <c r="O13" t="s">
        <v>44</v>
      </c>
      <c r="P13" t="s">
        <v>82</v>
      </c>
      <c r="Q13" t="s">
        <v>71</v>
      </c>
      <c r="R13" t="s">
        <v>72</v>
      </c>
      <c r="S13" t="s">
        <v>83</v>
      </c>
      <c r="T13" s="4">
        <v>911.42399999999998</v>
      </c>
      <c r="U13">
        <v>4</v>
      </c>
      <c r="V13">
        <v>0.2</v>
      </c>
      <c r="W13" s="4">
        <v>68.356800000000007</v>
      </c>
    </row>
    <row r="14" spans="1:23" x14ac:dyDescent="0.3">
      <c r="A14">
        <v>13</v>
      </c>
      <c r="B14" t="s">
        <v>84</v>
      </c>
      <c r="C14" s="3">
        <v>43163</v>
      </c>
      <c r="D14" s="7" t="str">
        <f t="shared" si="0"/>
        <v>March</v>
      </c>
      <c r="E14" s="3">
        <f t="shared" si="1"/>
        <v>43190</v>
      </c>
      <c r="F14" s="3">
        <v>43316</v>
      </c>
      <c r="G14" t="s">
        <v>50</v>
      </c>
      <c r="H14" t="s">
        <v>85</v>
      </c>
      <c r="I14" t="s">
        <v>86</v>
      </c>
      <c r="J14" t="s">
        <v>26</v>
      </c>
      <c r="K14" t="s">
        <v>27</v>
      </c>
      <c r="L14" t="s">
        <v>87</v>
      </c>
      <c r="M14" t="s">
        <v>88</v>
      </c>
      <c r="N14">
        <v>28027</v>
      </c>
      <c r="O14" t="s">
        <v>30</v>
      </c>
      <c r="P14" t="s">
        <v>89</v>
      </c>
      <c r="Q14" t="s">
        <v>46</v>
      </c>
      <c r="R14" t="s">
        <v>90</v>
      </c>
      <c r="S14" t="s">
        <v>91</v>
      </c>
      <c r="T14" s="4">
        <v>15.552</v>
      </c>
      <c r="U14">
        <v>3</v>
      </c>
      <c r="V14">
        <v>0.2</v>
      </c>
      <c r="W14" s="4">
        <v>5.4432</v>
      </c>
    </row>
    <row r="15" spans="1:23" x14ac:dyDescent="0.3">
      <c r="A15">
        <v>14</v>
      </c>
      <c r="B15" t="s">
        <v>92</v>
      </c>
      <c r="C15" s="3">
        <v>42502</v>
      </c>
      <c r="D15" s="7" t="str">
        <f t="shared" si="0"/>
        <v>May</v>
      </c>
      <c r="E15" s="3">
        <f t="shared" si="1"/>
        <v>42521</v>
      </c>
      <c r="F15" s="3">
        <v>42655</v>
      </c>
      <c r="G15" t="s">
        <v>50</v>
      </c>
      <c r="H15" t="s">
        <v>93</v>
      </c>
      <c r="I15" t="s">
        <v>94</v>
      </c>
      <c r="J15" t="s">
        <v>26</v>
      </c>
      <c r="K15" t="s">
        <v>27</v>
      </c>
      <c r="L15" t="s">
        <v>95</v>
      </c>
      <c r="M15" t="s">
        <v>96</v>
      </c>
      <c r="N15">
        <v>98103</v>
      </c>
      <c r="O15" t="s">
        <v>44</v>
      </c>
      <c r="P15" t="s">
        <v>97</v>
      </c>
      <c r="Q15" t="s">
        <v>46</v>
      </c>
      <c r="R15" t="s">
        <v>75</v>
      </c>
      <c r="S15" t="s">
        <v>98</v>
      </c>
      <c r="T15" s="4">
        <v>407.976</v>
      </c>
      <c r="U15">
        <v>3</v>
      </c>
      <c r="V15">
        <v>0.2</v>
      </c>
      <c r="W15" s="4">
        <v>132.59219999999999</v>
      </c>
    </row>
    <row r="16" spans="1:23" x14ac:dyDescent="0.3">
      <c r="A16">
        <v>15</v>
      </c>
      <c r="B16" t="s">
        <v>99</v>
      </c>
      <c r="C16" s="3">
        <v>42654</v>
      </c>
      <c r="D16" s="7" t="str">
        <f t="shared" si="0"/>
        <v>October</v>
      </c>
      <c r="E16" s="3">
        <f t="shared" si="1"/>
        <v>42674</v>
      </c>
      <c r="F16" s="3">
        <v>42777</v>
      </c>
      <c r="G16" t="s">
        <v>50</v>
      </c>
      <c r="H16" t="s">
        <v>100</v>
      </c>
      <c r="I16" t="s">
        <v>101</v>
      </c>
      <c r="J16" t="s">
        <v>102</v>
      </c>
      <c r="K16" t="s">
        <v>27</v>
      </c>
      <c r="L16" t="s">
        <v>103</v>
      </c>
      <c r="M16" t="s">
        <v>104</v>
      </c>
      <c r="N16">
        <v>76106</v>
      </c>
      <c r="O16" t="s">
        <v>105</v>
      </c>
      <c r="P16" t="s">
        <v>106</v>
      </c>
      <c r="Q16" t="s">
        <v>46</v>
      </c>
      <c r="R16" t="s">
        <v>78</v>
      </c>
      <c r="S16" t="s">
        <v>107</v>
      </c>
      <c r="T16" s="4">
        <v>68.81</v>
      </c>
      <c r="U16">
        <v>5</v>
      </c>
      <c r="V16">
        <v>0.8</v>
      </c>
      <c r="W16" s="4">
        <v>-123.858</v>
      </c>
    </row>
    <row r="17" spans="1:23" x14ac:dyDescent="0.3">
      <c r="A17">
        <v>16</v>
      </c>
      <c r="B17" t="s">
        <v>99</v>
      </c>
      <c r="C17" s="3">
        <v>42654</v>
      </c>
      <c r="D17" s="7" t="str">
        <f t="shared" si="0"/>
        <v>October</v>
      </c>
      <c r="E17" s="3">
        <f t="shared" si="1"/>
        <v>42674</v>
      </c>
      <c r="F17" s="3">
        <v>42777</v>
      </c>
      <c r="G17" t="s">
        <v>50</v>
      </c>
      <c r="H17" t="s">
        <v>100</v>
      </c>
      <c r="I17" t="s">
        <v>101</v>
      </c>
      <c r="J17" t="s">
        <v>102</v>
      </c>
      <c r="K17" t="s">
        <v>27</v>
      </c>
      <c r="L17" t="s">
        <v>103</v>
      </c>
      <c r="M17" t="s">
        <v>104</v>
      </c>
      <c r="N17">
        <v>76106</v>
      </c>
      <c r="O17" t="s">
        <v>105</v>
      </c>
      <c r="P17" t="s">
        <v>108</v>
      </c>
      <c r="Q17" t="s">
        <v>46</v>
      </c>
      <c r="R17" t="s">
        <v>75</v>
      </c>
      <c r="S17" t="s">
        <v>109</v>
      </c>
      <c r="T17" s="4">
        <v>2.544</v>
      </c>
      <c r="U17">
        <v>3</v>
      </c>
      <c r="V17">
        <v>0.8</v>
      </c>
      <c r="W17" s="4">
        <v>-3.8159999999999998</v>
      </c>
    </row>
    <row r="18" spans="1:23" x14ac:dyDescent="0.3">
      <c r="A18">
        <v>17</v>
      </c>
      <c r="B18" t="s">
        <v>110</v>
      </c>
      <c r="C18" s="3">
        <v>41954</v>
      </c>
      <c r="D18" s="7" t="str">
        <f t="shared" si="0"/>
        <v>November</v>
      </c>
      <c r="E18" s="3">
        <f t="shared" si="1"/>
        <v>41973</v>
      </c>
      <c r="F18" s="3">
        <v>42166</v>
      </c>
      <c r="G18" t="s">
        <v>50</v>
      </c>
      <c r="H18" t="s">
        <v>111</v>
      </c>
      <c r="I18" t="s">
        <v>112</v>
      </c>
      <c r="J18" t="s">
        <v>26</v>
      </c>
      <c r="K18" t="s">
        <v>27</v>
      </c>
      <c r="L18" t="s">
        <v>113</v>
      </c>
      <c r="M18" t="s">
        <v>114</v>
      </c>
      <c r="N18">
        <v>53711</v>
      </c>
      <c r="O18" t="s">
        <v>105</v>
      </c>
      <c r="P18" t="s">
        <v>115</v>
      </c>
      <c r="Q18" t="s">
        <v>46</v>
      </c>
      <c r="R18" t="s">
        <v>59</v>
      </c>
      <c r="S18" t="s">
        <v>116</v>
      </c>
      <c r="T18" s="4">
        <v>665.88</v>
      </c>
      <c r="U18">
        <v>6</v>
      </c>
      <c r="V18">
        <v>0</v>
      </c>
      <c r="W18" s="4">
        <v>13.317600000000001</v>
      </c>
    </row>
    <row r="19" spans="1:23" x14ac:dyDescent="0.3">
      <c r="A19">
        <v>18</v>
      </c>
      <c r="B19" t="s">
        <v>117</v>
      </c>
      <c r="C19" s="3">
        <v>42009</v>
      </c>
      <c r="D19" s="7" t="str">
        <f t="shared" si="0"/>
        <v>January</v>
      </c>
      <c r="E19" s="3">
        <f t="shared" si="1"/>
        <v>42035</v>
      </c>
      <c r="F19" s="3">
        <v>42068</v>
      </c>
      <c r="G19" t="s">
        <v>23</v>
      </c>
      <c r="H19" t="s">
        <v>118</v>
      </c>
      <c r="I19" t="s">
        <v>119</v>
      </c>
      <c r="J19" t="s">
        <v>26</v>
      </c>
      <c r="K19" t="s">
        <v>27</v>
      </c>
      <c r="L19" t="s">
        <v>120</v>
      </c>
      <c r="M19" t="s">
        <v>121</v>
      </c>
      <c r="N19">
        <v>84084</v>
      </c>
      <c r="O19" t="s">
        <v>44</v>
      </c>
      <c r="P19" t="s">
        <v>122</v>
      </c>
      <c r="Q19" t="s">
        <v>46</v>
      </c>
      <c r="R19" t="s">
        <v>59</v>
      </c>
      <c r="S19" t="s">
        <v>123</v>
      </c>
      <c r="T19" s="4">
        <v>55.5</v>
      </c>
      <c r="U19">
        <v>2</v>
      </c>
      <c r="V19">
        <v>0</v>
      </c>
      <c r="W19" s="4">
        <v>9.99</v>
      </c>
    </row>
    <row r="20" spans="1:23" x14ac:dyDescent="0.3">
      <c r="A20">
        <v>19</v>
      </c>
      <c r="B20" t="s">
        <v>124</v>
      </c>
      <c r="C20" s="3">
        <v>42437</v>
      </c>
      <c r="D20" s="7" t="str">
        <f t="shared" si="0"/>
        <v>March</v>
      </c>
      <c r="E20" s="3">
        <f t="shared" si="1"/>
        <v>42460</v>
      </c>
      <c r="F20" s="3">
        <v>41648</v>
      </c>
      <c r="G20" t="s">
        <v>23</v>
      </c>
      <c r="H20" t="s">
        <v>125</v>
      </c>
      <c r="I20" t="s">
        <v>126</v>
      </c>
      <c r="J20" t="s">
        <v>26</v>
      </c>
      <c r="K20" t="s">
        <v>27</v>
      </c>
      <c r="L20" t="s">
        <v>127</v>
      </c>
      <c r="M20" t="s">
        <v>43</v>
      </c>
      <c r="N20">
        <v>94109</v>
      </c>
      <c r="O20" t="s">
        <v>44</v>
      </c>
      <c r="P20" t="s">
        <v>128</v>
      </c>
      <c r="Q20" t="s">
        <v>46</v>
      </c>
      <c r="R20" t="s">
        <v>68</v>
      </c>
      <c r="S20" t="s">
        <v>129</v>
      </c>
      <c r="T20" s="4">
        <v>8.56</v>
      </c>
      <c r="U20">
        <v>2</v>
      </c>
      <c r="V20">
        <v>0</v>
      </c>
      <c r="W20" s="4">
        <v>2.4824000000000002</v>
      </c>
    </row>
    <row r="21" spans="1:23" x14ac:dyDescent="0.3">
      <c r="A21">
        <v>20</v>
      </c>
      <c r="B21" t="s">
        <v>124</v>
      </c>
      <c r="C21" s="3">
        <v>42437</v>
      </c>
      <c r="D21" s="7" t="str">
        <f t="shared" si="0"/>
        <v>March</v>
      </c>
      <c r="E21" s="3">
        <f t="shared" si="1"/>
        <v>42460</v>
      </c>
      <c r="F21" s="3">
        <v>41648</v>
      </c>
      <c r="G21" t="s">
        <v>23</v>
      </c>
      <c r="H21" t="s">
        <v>125</v>
      </c>
      <c r="I21" t="s">
        <v>126</v>
      </c>
      <c r="J21" t="s">
        <v>26</v>
      </c>
      <c r="K21" t="s">
        <v>27</v>
      </c>
      <c r="L21" t="s">
        <v>127</v>
      </c>
      <c r="M21" t="s">
        <v>43</v>
      </c>
      <c r="N21">
        <v>94109</v>
      </c>
      <c r="O21" t="s">
        <v>44</v>
      </c>
      <c r="P21" t="s">
        <v>130</v>
      </c>
      <c r="Q21" t="s">
        <v>71</v>
      </c>
      <c r="R21" t="s">
        <v>72</v>
      </c>
      <c r="S21" t="s">
        <v>131</v>
      </c>
      <c r="T21" s="4">
        <v>213.48</v>
      </c>
      <c r="U21">
        <v>3</v>
      </c>
      <c r="V21">
        <v>0.2</v>
      </c>
      <c r="W21" s="4">
        <v>16.010999999999999</v>
      </c>
    </row>
    <row r="22" spans="1:23" x14ac:dyDescent="0.3">
      <c r="A22">
        <v>21</v>
      </c>
      <c r="B22" t="s">
        <v>124</v>
      </c>
      <c r="C22" s="3">
        <v>42437</v>
      </c>
      <c r="D22" s="7" t="str">
        <f t="shared" si="0"/>
        <v>March</v>
      </c>
      <c r="E22" s="3">
        <f t="shared" si="1"/>
        <v>42460</v>
      </c>
      <c r="F22" s="3">
        <v>41648</v>
      </c>
      <c r="G22" t="s">
        <v>23</v>
      </c>
      <c r="H22" t="s">
        <v>125</v>
      </c>
      <c r="I22" t="s">
        <v>126</v>
      </c>
      <c r="J22" t="s">
        <v>26</v>
      </c>
      <c r="K22" t="s">
        <v>27</v>
      </c>
      <c r="L22" t="s">
        <v>127</v>
      </c>
      <c r="M22" t="s">
        <v>43</v>
      </c>
      <c r="N22">
        <v>94109</v>
      </c>
      <c r="O22" t="s">
        <v>44</v>
      </c>
      <c r="P22" t="s">
        <v>132</v>
      </c>
      <c r="Q22" t="s">
        <v>46</v>
      </c>
      <c r="R22" t="s">
        <v>75</v>
      </c>
      <c r="S22" t="s">
        <v>133</v>
      </c>
      <c r="T22" s="4">
        <v>22.72</v>
      </c>
      <c r="U22">
        <v>4</v>
      </c>
      <c r="V22">
        <v>0.2</v>
      </c>
      <c r="W22" s="4">
        <v>7.3840000000000003</v>
      </c>
    </row>
    <row r="23" spans="1:23" x14ac:dyDescent="0.3">
      <c r="A23">
        <v>22</v>
      </c>
      <c r="B23" t="s">
        <v>134</v>
      </c>
      <c r="C23" s="3">
        <v>42625</v>
      </c>
      <c r="D23" s="7" t="str">
        <f t="shared" si="0"/>
        <v>September</v>
      </c>
      <c r="E23" s="3">
        <f t="shared" si="1"/>
        <v>42643</v>
      </c>
      <c r="F23" s="3">
        <v>42747</v>
      </c>
      <c r="G23" t="s">
        <v>50</v>
      </c>
      <c r="H23" t="s">
        <v>135</v>
      </c>
      <c r="I23" t="s">
        <v>136</v>
      </c>
      <c r="J23" t="s">
        <v>41</v>
      </c>
      <c r="K23" t="s">
        <v>27</v>
      </c>
      <c r="L23" t="s">
        <v>137</v>
      </c>
      <c r="M23" t="s">
        <v>138</v>
      </c>
      <c r="N23">
        <v>68025</v>
      </c>
      <c r="O23" t="s">
        <v>105</v>
      </c>
      <c r="P23" t="s">
        <v>139</v>
      </c>
      <c r="Q23" t="s">
        <v>46</v>
      </c>
      <c r="R23" t="s">
        <v>68</v>
      </c>
      <c r="S23" t="s">
        <v>140</v>
      </c>
      <c r="T23" s="4">
        <v>19.46</v>
      </c>
      <c r="U23">
        <v>7</v>
      </c>
      <c r="V23">
        <v>0</v>
      </c>
      <c r="W23" s="4">
        <v>5.0595999999999997</v>
      </c>
    </row>
    <row r="24" spans="1:23" x14ac:dyDescent="0.3">
      <c r="A24">
        <v>23</v>
      </c>
      <c r="B24" t="s">
        <v>134</v>
      </c>
      <c r="C24" s="3">
        <v>42625</v>
      </c>
      <c r="D24" s="7" t="str">
        <f t="shared" si="0"/>
        <v>September</v>
      </c>
      <c r="E24" s="3">
        <f t="shared" si="1"/>
        <v>42643</v>
      </c>
      <c r="F24" s="3">
        <v>42747</v>
      </c>
      <c r="G24" t="s">
        <v>50</v>
      </c>
      <c r="H24" t="s">
        <v>135</v>
      </c>
      <c r="I24" t="s">
        <v>136</v>
      </c>
      <c r="J24" t="s">
        <v>41</v>
      </c>
      <c r="K24" t="s">
        <v>27</v>
      </c>
      <c r="L24" t="s">
        <v>137</v>
      </c>
      <c r="M24" t="s">
        <v>138</v>
      </c>
      <c r="N24">
        <v>68025</v>
      </c>
      <c r="O24" t="s">
        <v>105</v>
      </c>
      <c r="P24" t="s">
        <v>141</v>
      </c>
      <c r="Q24" t="s">
        <v>46</v>
      </c>
      <c r="R24" t="s">
        <v>78</v>
      </c>
      <c r="S24" t="s">
        <v>142</v>
      </c>
      <c r="T24" s="4">
        <v>60.34</v>
      </c>
      <c r="U24">
        <v>7</v>
      </c>
      <c r="V24">
        <v>0</v>
      </c>
      <c r="W24" s="4">
        <v>15.6884</v>
      </c>
    </row>
    <row r="25" spans="1:23" x14ac:dyDescent="0.3">
      <c r="A25">
        <v>24</v>
      </c>
      <c r="B25" t="s">
        <v>143</v>
      </c>
      <c r="C25" s="3">
        <v>43197</v>
      </c>
      <c r="D25" s="7" t="str">
        <f t="shared" si="0"/>
        <v>April</v>
      </c>
      <c r="E25" s="3">
        <f t="shared" si="1"/>
        <v>43220</v>
      </c>
      <c r="F25" s="3">
        <v>43258</v>
      </c>
      <c r="G25" t="s">
        <v>23</v>
      </c>
      <c r="H25" t="s">
        <v>144</v>
      </c>
      <c r="I25" t="s">
        <v>145</v>
      </c>
      <c r="J25" t="s">
        <v>26</v>
      </c>
      <c r="K25" t="s">
        <v>27</v>
      </c>
      <c r="L25" t="s">
        <v>146</v>
      </c>
      <c r="M25" t="s">
        <v>147</v>
      </c>
      <c r="N25">
        <v>19140</v>
      </c>
      <c r="O25" t="s">
        <v>148</v>
      </c>
      <c r="P25" t="s">
        <v>149</v>
      </c>
      <c r="Q25" t="s">
        <v>32</v>
      </c>
      <c r="R25" t="s">
        <v>36</v>
      </c>
      <c r="S25" t="s">
        <v>150</v>
      </c>
      <c r="T25" s="4">
        <v>71.372</v>
      </c>
      <c r="U25">
        <v>2</v>
      </c>
      <c r="V25">
        <v>0.3</v>
      </c>
      <c r="W25" s="4">
        <v>-1.0196000000000001</v>
      </c>
    </row>
    <row r="26" spans="1:23" x14ac:dyDescent="0.3">
      <c r="A26">
        <v>25</v>
      </c>
      <c r="B26" t="s">
        <v>151</v>
      </c>
      <c r="C26" s="3">
        <v>42744</v>
      </c>
      <c r="D26" s="7" t="str">
        <f t="shared" si="0"/>
        <v>January</v>
      </c>
      <c r="E26" s="3">
        <f t="shared" si="1"/>
        <v>42766</v>
      </c>
      <c r="F26" s="3">
        <v>42895</v>
      </c>
      <c r="G26" t="s">
        <v>50</v>
      </c>
      <c r="H26" t="s">
        <v>152</v>
      </c>
      <c r="I26" t="s">
        <v>153</v>
      </c>
      <c r="J26" t="s">
        <v>26</v>
      </c>
      <c r="K26" t="s">
        <v>27</v>
      </c>
      <c r="L26" t="s">
        <v>154</v>
      </c>
      <c r="M26" t="s">
        <v>121</v>
      </c>
      <c r="N26">
        <v>84057</v>
      </c>
      <c r="O26" t="s">
        <v>44</v>
      </c>
      <c r="P26" t="s">
        <v>55</v>
      </c>
      <c r="Q26" t="s">
        <v>32</v>
      </c>
      <c r="R26" t="s">
        <v>56</v>
      </c>
      <c r="S26" t="s">
        <v>57</v>
      </c>
      <c r="T26" s="4">
        <v>1044.6300000000001</v>
      </c>
      <c r="U26">
        <v>3</v>
      </c>
      <c r="V26">
        <v>0</v>
      </c>
      <c r="W26" s="4">
        <v>240.26490000000001</v>
      </c>
    </row>
    <row r="27" spans="1:23" x14ac:dyDescent="0.3">
      <c r="A27">
        <v>26</v>
      </c>
      <c r="B27" t="s">
        <v>155</v>
      </c>
      <c r="C27" s="3">
        <v>42826</v>
      </c>
      <c r="D27" s="7" t="str">
        <f t="shared" si="0"/>
        <v>April</v>
      </c>
      <c r="E27" s="3">
        <f t="shared" si="1"/>
        <v>42855</v>
      </c>
      <c r="F27" s="3">
        <v>42948</v>
      </c>
      <c r="G27" t="s">
        <v>23</v>
      </c>
      <c r="H27" t="s">
        <v>156</v>
      </c>
      <c r="I27" t="s">
        <v>157</v>
      </c>
      <c r="J27" t="s">
        <v>26</v>
      </c>
      <c r="K27" t="s">
        <v>27</v>
      </c>
      <c r="L27" t="s">
        <v>42</v>
      </c>
      <c r="M27" t="s">
        <v>43</v>
      </c>
      <c r="N27">
        <v>90049</v>
      </c>
      <c r="O27" t="s">
        <v>44</v>
      </c>
      <c r="P27" t="s">
        <v>158</v>
      </c>
      <c r="Q27" t="s">
        <v>46</v>
      </c>
      <c r="R27" t="s">
        <v>75</v>
      </c>
      <c r="S27" t="s">
        <v>159</v>
      </c>
      <c r="T27" s="4">
        <v>11.648</v>
      </c>
      <c r="U27">
        <v>2</v>
      </c>
      <c r="V27">
        <v>0.2</v>
      </c>
      <c r="W27" s="4">
        <v>4.2224000000000004</v>
      </c>
    </row>
    <row r="28" spans="1:23" x14ac:dyDescent="0.3">
      <c r="A28">
        <v>27</v>
      </c>
      <c r="B28" t="s">
        <v>155</v>
      </c>
      <c r="C28" s="3">
        <v>42826</v>
      </c>
      <c r="D28" s="7" t="str">
        <f t="shared" si="0"/>
        <v>April</v>
      </c>
      <c r="E28" s="3">
        <f t="shared" si="1"/>
        <v>42855</v>
      </c>
      <c r="F28" s="3">
        <v>42948</v>
      </c>
      <c r="G28" t="s">
        <v>23</v>
      </c>
      <c r="H28" t="s">
        <v>156</v>
      </c>
      <c r="I28" t="s">
        <v>157</v>
      </c>
      <c r="J28" t="s">
        <v>26</v>
      </c>
      <c r="K28" t="s">
        <v>27</v>
      </c>
      <c r="L28" t="s">
        <v>42</v>
      </c>
      <c r="M28" t="s">
        <v>43</v>
      </c>
      <c r="N28">
        <v>90049</v>
      </c>
      <c r="O28" t="s">
        <v>44</v>
      </c>
      <c r="P28" t="s">
        <v>160</v>
      </c>
      <c r="Q28" t="s">
        <v>71</v>
      </c>
      <c r="R28" t="s">
        <v>161</v>
      </c>
      <c r="S28" t="s">
        <v>162</v>
      </c>
      <c r="T28" s="4">
        <v>90.57</v>
      </c>
      <c r="U28">
        <v>3</v>
      </c>
      <c r="V28">
        <v>0</v>
      </c>
      <c r="W28" s="4">
        <v>11.774100000000001</v>
      </c>
    </row>
    <row r="29" spans="1:23" x14ac:dyDescent="0.3">
      <c r="A29">
        <v>28</v>
      </c>
      <c r="B29" t="s">
        <v>163</v>
      </c>
      <c r="C29" s="3">
        <v>42499</v>
      </c>
      <c r="D29" s="7" t="str">
        <f t="shared" si="0"/>
        <v>May</v>
      </c>
      <c r="E29" s="3">
        <f t="shared" si="1"/>
        <v>42521</v>
      </c>
      <c r="F29" s="3">
        <v>42622</v>
      </c>
      <c r="G29" t="s">
        <v>50</v>
      </c>
      <c r="H29" t="s">
        <v>164</v>
      </c>
      <c r="I29" t="s">
        <v>165</v>
      </c>
      <c r="J29" t="s">
        <v>26</v>
      </c>
      <c r="K29" t="s">
        <v>27</v>
      </c>
      <c r="L29" t="s">
        <v>146</v>
      </c>
      <c r="M29" t="s">
        <v>147</v>
      </c>
      <c r="N29">
        <v>19140</v>
      </c>
      <c r="O29" t="s">
        <v>148</v>
      </c>
      <c r="P29" t="s">
        <v>166</v>
      </c>
      <c r="Q29" t="s">
        <v>32</v>
      </c>
      <c r="R29" t="s">
        <v>33</v>
      </c>
      <c r="S29" t="s">
        <v>167</v>
      </c>
      <c r="T29" s="4">
        <v>3083.43</v>
      </c>
      <c r="U29">
        <v>7</v>
      </c>
      <c r="V29">
        <v>0.5</v>
      </c>
      <c r="W29" s="4">
        <v>-1665.0522000000001</v>
      </c>
    </row>
    <row r="30" spans="1:23" x14ac:dyDescent="0.3">
      <c r="A30">
        <v>29</v>
      </c>
      <c r="B30" t="s">
        <v>163</v>
      </c>
      <c r="C30" s="3">
        <v>42499</v>
      </c>
      <c r="D30" s="7" t="str">
        <f t="shared" si="0"/>
        <v>May</v>
      </c>
      <c r="E30" s="3">
        <f t="shared" si="1"/>
        <v>42521</v>
      </c>
      <c r="F30" s="3">
        <v>42622</v>
      </c>
      <c r="G30" t="s">
        <v>50</v>
      </c>
      <c r="H30" t="s">
        <v>164</v>
      </c>
      <c r="I30" t="s">
        <v>165</v>
      </c>
      <c r="J30" t="s">
        <v>26</v>
      </c>
      <c r="K30" t="s">
        <v>27</v>
      </c>
      <c r="L30" t="s">
        <v>146</v>
      </c>
      <c r="M30" t="s">
        <v>147</v>
      </c>
      <c r="N30">
        <v>19140</v>
      </c>
      <c r="O30" t="s">
        <v>148</v>
      </c>
      <c r="P30" t="s">
        <v>168</v>
      </c>
      <c r="Q30" t="s">
        <v>46</v>
      </c>
      <c r="R30" t="s">
        <v>75</v>
      </c>
      <c r="S30" t="s">
        <v>169</v>
      </c>
      <c r="T30" s="4">
        <v>9.6180000000000003</v>
      </c>
      <c r="U30">
        <v>2</v>
      </c>
      <c r="V30">
        <v>0.7</v>
      </c>
      <c r="W30" s="4">
        <v>-7.0532000000000004</v>
      </c>
    </row>
    <row r="31" spans="1:23" x14ac:dyDescent="0.3">
      <c r="A31">
        <v>30</v>
      </c>
      <c r="B31" t="s">
        <v>163</v>
      </c>
      <c r="C31" s="3">
        <v>42499</v>
      </c>
      <c r="D31" s="7" t="str">
        <f t="shared" si="0"/>
        <v>May</v>
      </c>
      <c r="E31" s="3">
        <f t="shared" si="1"/>
        <v>42521</v>
      </c>
      <c r="F31" s="3">
        <v>42622</v>
      </c>
      <c r="G31" t="s">
        <v>50</v>
      </c>
      <c r="H31" t="s">
        <v>164</v>
      </c>
      <c r="I31" t="s">
        <v>165</v>
      </c>
      <c r="J31" t="s">
        <v>26</v>
      </c>
      <c r="K31" t="s">
        <v>27</v>
      </c>
      <c r="L31" t="s">
        <v>146</v>
      </c>
      <c r="M31" t="s">
        <v>147</v>
      </c>
      <c r="N31">
        <v>19140</v>
      </c>
      <c r="O31" t="s">
        <v>148</v>
      </c>
      <c r="P31" t="s">
        <v>170</v>
      </c>
      <c r="Q31" t="s">
        <v>32</v>
      </c>
      <c r="R31" t="s">
        <v>65</v>
      </c>
      <c r="S31" t="s">
        <v>171</v>
      </c>
      <c r="T31" s="4">
        <v>124.2</v>
      </c>
      <c r="U31">
        <v>3</v>
      </c>
      <c r="V31">
        <v>0.2</v>
      </c>
      <c r="W31" s="4">
        <v>15.525</v>
      </c>
    </row>
    <row r="32" spans="1:23" x14ac:dyDescent="0.3">
      <c r="A32">
        <v>31</v>
      </c>
      <c r="B32" t="s">
        <v>163</v>
      </c>
      <c r="C32" s="3">
        <v>42499</v>
      </c>
      <c r="D32" s="7" t="str">
        <f t="shared" si="0"/>
        <v>May</v>
      </c>
      <c r="E32" s="3">
        <f t="shared" si="1"/>
        <v>42521</v>
      </c>
      <c r="F32" s="3">
        <v>42622</v>
      </c>
      <c r="G32" t="s">
        <v>50</v>
      </c>
      <c r="H32" t="s">
        <v>164</v>
      </c>
      <c r="I32" t="s">
        <v>165</v>
      </c>
      <c r="J32" t="s">
        <v>26</v>
      </c>
      <c r="K32" t="s">
        <v>27</v>
      </c>
      <c r="L32" t="s">
        <v>146</v>
      </c>
      <c r="M32" t="s">
        <v>147</v>
      </c>
      <c r="N32">
        <v>19140</v>
      </c>
      <c r="O32" t="s">
        <v>148</v>
      </c>
      <c r="P32" t="s">
        <v>172</v>
      </c>
      <c r="Q32" t="s">
        <v>46</v>
      </c>
      <c r="R32" t="s">
        <v>173</v>
      </c>
      <c r="S32" t="s">
        <v>174</v>
      </c>
      <c r="T32" s="4">
        <v>3.2639999999999998</v>
      </c>
      <c r="U32">
        <v>2</v>
      </c>
      <c r="V32">
        <v>0.2</v>
      </c>
      <c r="W32" s="4">
        <v>1.1015999999999999</v>
      </c>
    </row>
    <row r="33" spans="1:23" x14ac:dyDescent="0.3">
      <c r="A33">
        <v>32</v>
      </c>
      <c r="B33" t="s">
        <v>163</v>
      </c>
      <c r="C33" s="3">
        <v>42499</v>
      </c>
      <c r="D33" s="7" t="str">
        <f t="shared" si="0"/>
        <v>May</v>
      </c>
      <c r="E33" s="3">
        <f t="shared" si="1"/>
        <v>42521</v>
      </c>
      <c r="F33" s="3">
        <v>42622</v>
      </c>
      <c r="G33" t="s">
        <v>50</v>
      </c>
      <c r="H33" t="s">
        <v>164</v>
      </c>
      <c r="I33" t="s">
        <v>165</v>
      </c>
      <c r="J33" t="s">
        <v>26</v>
      </c>
      <c r="K33" t="s">
        <v>27</v>
      </c>
      <c r="L33" t="s">
        <v>146</v>
      </c>
      <c r="M33" t="s">
        <v>147</v>
      </c>
      <c r="N33">
        <v>19140</v>
      </c>
      <c r="O33" t="s">
        <v>148</v>
      </c>
      <c r="P33" t="s">
        <v>175</v>
      </c>
      <c r="Q33" t="s">
        <v>46</v>
      </c>
      <c r="R33" t="s">
        <v>68</v>
      </c>
      <c r="S33" t="s">
        <v>176</v>
      </c>
      <c r="T33" s="4">
        <v>86.304000000000002</v>
      </c>
      <c r="U33">
        <v>6</v>
      </c>
      <c r="V33">
        <v>0.2</v>
      </c>
      <c r="W33" s="4">
        <v>9.7091999999999992</v>
      </c>
    </row>
    <row r="34" spans="1:23" x14ac:dyDescent="0.3">
      <c r="A34">
        <v>33</v>
      </c>
      <c r="B34" t="s">
        <v>163</v>
      </c>
      <c r="C34" s="3">
        <v>42499</v>
      </c>
      <c r="D34" s="7" t="str">
        <f t="shared" si="0"/>
        <v>May</v>
      </c>
      <c r="E34" s="3">
        <f t="shared" si="1"/>
        <v>42521</v>
      </c>
      <c r="F34" s="3">
        <v>42622</v>
      </c>
      <c r="G34" t="s">
        <v>50</v>
      </c>
      <c r="H34" t="s">
        <v>164</v>
      </c>
      <c r="I34" t="s">
        <v>165</v>
      </c>
      <c r="J34" t="s">
        <v>26</v>
      </c>
      <c r="K34" t="s">
        <v>27</v>
      </c>
      <c r="L34" t="s">
        <v>146</v>
      </c>
      <c r="M34" t="s">
        <v>147</v>
      </c>
      <c r="N34">
        <v>19140</v>
      </c>
      <c r="O34" t="s">
        <v>148</v>
      </c>
      <c r="P34" t="s">
        <v>177</v>
      </c>
      <c r="Q34" t="s">
        <v>46</v>
      </c>
      <c r="R34" t="s">
        <v>75</v>
      </c>
      <c r="S34" t="s">
        <v>178</v>
      </c>
      <c r="T34" s="4">
        <v>6.8579999999999997</v>
      </c>
      <c r="U34">
        <v>6</v>
      </c>
      <c r="V34">
        <v>0.7</v>
      </c>
      <c r="W34" s="4">
        <v>-5.7149999999999999</v>
      </c>
    </row>
    <row r="35" spans="1:23" x14ac:dyDescent="0.3">
      <c r="A35">
        <v>34</v>
      </c>
      <c r="B35" t="s">
        <v>163</v>
      </c>
      <c r="C35" s="3">
        <v>42499</v>
      </c>
      <c r="D35" s="7" t="str">
        <f t="shared" si="0"/>
        <v>May</v>
      </c>
      <c r="E35" s="3">
        <f t="shared" si="1"/>
        <v>42521</v>
      </c>
      <c r="F35" s="3">
        <v>42622</v>
      </c>
      <c r="G35" t="s">
        <v>50</v>
      </c>
      <c r="H35" t="s">
        <v>164</v>
      </c>
      <c r="I35" t="s">
        <v>165</v>
      </c>
      <c r="J35" t="s">
        <v>26</v>
      </c>
      <c r="K35" t="s">
        <v>27</v>
      </c>
      <c r="L35" t="s">
        <v>146</v>
      </c>
      <c r="M35" t="s">
        <v>147</v>
      </c>
      <c r="N35">
        <v>19140</v>
      </c>
      <c r="O35" t="s">
        <v>148</v>
      </c>
      <c r="P35" t="s">
        <v>179</v>
      </c>
      <c r="Q35" t="s">
        <v>46</v>
      </c>
      <c r="R35" t="s">
        <v>68</v>
      </c>
      <c r="S35" t="s">
        <v>180</v>
      </c>
      <c r="T35" s="4">
        <v>15.76</v>
      </c>
      <c r="U35">
        <v>2</v>
      </c>
      <c r="V35">
        <v>0.2</v>
      </c>
      <c r="W35" s="4">
        <v>3.5459999999999998</v>
      </c>
    </row>
    <row r="36" spans="1:23" x14ac:dyDescent="0.3">
      <c r="A36">
        <v>35</v>
      </c>
      <c r="B36" t="s">
        <v>181</v>
      </c>
      <c r="C36" s="3">
        <v>43291</v>
      </c>
      <c r="D36" s="7" t="str">
        <f t="shared" si="0"/>
        <v>July</v>
      </c>
      <c r="E36" s="3">
        <f t="shared" si="1"/>
        <v>43312</v>
      </c>
      <c r="F36" s="3">
        <v>43414</v>
      </c>
      <c r="G36" t="s">
        <v>23</v>
      </c>
      <c r="H36" t="s">
        <v>182</v>
      </c>
      <c r="I36" t="s">
        <v>183</v>
      </c>
      <c r="J36" t="s">
        <v>102</v>
      </c>
      <c r="K36" t="s">
        <v>27</v>
      </c>
      <c r="L36" t="s">
        <v>184</v>
      </c>
      <c r="M36" t="s">
        <v>104</v>
      </c>
      <c r="N36">
        <v>77095</v>
      </c>
      <c r="O36" t="s">
        <v>105</v>
      </c>
      <c r="P36" t="s">
        <v>185</v>
      </c>
      <c r="Q36" t="s">
        <v>46</v>
      </c>
      <c r="R36" t="s">
        <v>90</v>
      </c>
      <c r="S36" t="s">
        <v>186</v>
      </c>
      <c r="T36" s="4">
        <v>29.472000000000001</v>
      </c>
      <c r="U36">
        <v>3</v>
      </c>
      <c r="V36">
        <v>0.2</v>
      </c>
      <c r="W36" s="4">
        <v>9.9467999999999996</v>
      </c>
    </row>
    <row r="37" spans="1:23" x14ac:dyDescent="0.3">
      <c r="A37">
        <v>36</v>
      </c>
      <c r="B37" t="s">
        <v>187</v>
      </c>
      <c r="C37" s="3">
        <v>42594</v>
      </c>
      <c r="D37" s="7" t="str">
        <f t="shared" si="0"/>
        <v>August</v>
      </c>
      <c r="E37" s="3">
        <f t="shared" si="1"/>
        <v>42613</v>
      </c>
      <c r="F37" s="3">
        <v>42655</v>
      </c>
      <c r="G37" t="s">
        <v>188</v>
      </c>
      <c r="H37" t="s">
        <v>189</v>
      </c>
      <c r="I37" t="s">
        <v>190</v>
      </c>
      <c r="J37" t="s">
        <v>41</v>
      </c>
      <c r="K37" t="s">
        <v>27</v>
      </c>
      <c r="L37" t="s">
        <v>191</v>
      </c>
      <c r="M37" t="s">
        <v>104</v>
      </c>
      <c r="N37">
        <v>75080</v>
      </c>
      <c r="O37" t="s">
        <v>105</v>
      </c>
      <c r="P37" t="s">
        <v>192</v>
      </c>
      <c r="Q37" t="s">
        <v>71</v>
      </c>
      <c r="R37" t="s">
        <v>72</v>
      </c>
      <c r="S37" t="s">
        <v>193</v>
      </c>
      <c r="T37" s="4">
        <v>1097.5440000000001</v>
      </c>
      <c r="U37">
        <v>7</v>
      </c>
      <c r="V37">
        <v>0.2</v>
      </c>
      <c r="W37" s="4">
        <v>123.47369999999999</v>
      </c>
    </row>
    <row r="38" spans="1:23" x14ac:dyDescent="0.3">
      <c r="A38">
        <v>37</v>
      </c>
      <c r="B38" t="s">
        <v>187</v>
      </c>
      <c r="C38" s="3">
        <v>42594</v>
      </c>
      <c r="D38" s="7" t="str">
        <f t="shared" si="0"/>
        <v>August</v>
      </c>
      <c r="E38" s="3">
        <f t="shared" si="1"/>
        <v>42613</v>
      </c>
      <c r="F38" s="3">
        <v>42655</v>
      </c>
      <c r="G38" t="s">
        <v>188</v>
      </c>
      <c r="H38" t="s">
        <v>189</v>
      </c>
      <c r="I38" t="s">
        <v>190</v>
      </c>
      <c r="J38" t="s">
        <v>41</v>
      </c>
      <c r="K38" t="s">
        <v>27</v>
      </c>
      <c r="L38" t="s">
        <v>191</v>
      </c>
      <c r="M38" t="s">
        <v>104</v>
      </c>
      <c r="N38">
        <v>75080</v>
      </c>
      <c r="O38" t="s">
        <v>105</v>
      </c>
      <c r="P38" t="s">
        <v>194</v>
      </c>
      <c r="Q38" t="s">
        <v>32</v>
      </c>
      <c r="R38" t="s">
        <v>65</v>
      </c>
      <c r="S38" t="s">
        <v>195</v>
      </c>
      <c r="T38" s="4">
        <v>190.92</v>
      </c>
      <c r="U38">
        <v>5</v>
      </c>
      <c r="V38">
        <v>0.6</v>
      </c>
      <c r="W38" s="4">
        <v>-147.96299999999999</v>
      </c>
    </row>
    <row r="39" spans="1:23" x14ac:dyDescent="0.3">
      <c r="A39">
        <v>38</v>
      </c>
      <c r="B39" t="s">
        <v>196</v>
      </c>
      <c r="C39" s="3">
        <v>42806</v>
      </c>
      <c r="D39" s="7" t="str">
        <f t="shared" si="0"/>
        <v>March</v>
      </c>
      <c r="E39" s="3">
        <f t="shared" si="1"/>
        <v>42825</v>
      </c>
      <c r="F39" s="3">
        <v>42928</v>
      </c>
      <c r="G39" t="s">
        <v>50</v>
      </c>
      <c r="H39" t="s">
        <v>197</v>
      </c>
      <c r="I39" t="s">
        <v>198</v>
      </c>
      <c r="J39" t="s">
        <v>102</v>
      </c>
      <c r="K39" t="s">
        <v>27</v>
      </c>
      <c r="L39" t="s">
        <v>184</v>
      </c>
      <c r="M39" t="s">
        <v>104</v>
      </c>
      <c r="N39">
        <v>77041</v>
      </c>
      <c r="O39" t="s">
        <v>105</v>
      </c>
      <c r="P39" t="s">
        <v>199</v>
      </c>
      <c r="Q39" t="s">
        <v>46</v>
      </c>
      <c r="R39" t="s">
        <v>173</v>
      </c>
      <c r="S39" t="s">
        <v>200</v>
      </c>
      <c r="T39" s="4">
        <v>113.328</v>
      </c>
      <c r="U39">
        <v>9</v>
      </c>
      <c r="V39">
        <v>0.2</v>
      </c>
      <c r="W39" s="4">
        <v>35.414999999999999</v>
      </c>
    </row>
    <row r="40" spans="1:23" x14ac:dyDescent="0.3">
      <c r="A40">
        <v>39</v>
      </c>
      <c r="B40" t="s">
        <v>196</v>
      </c>
      <c r="C40" s="3">
        <v>42806</v>
      </c>
      <c r="D40" s="7" t="str">
        <f t="shared" si="0"/>
        <v>March</v>
      </c>
      <c r="E40" s="3">
        <f t="shared" si="1"/>
        <v>42825</v>
      </c>
      <c r="F40" s="3">
        <v>42928</v>
      </c>
      <c r="G40" t="s">
        <v>50</v>
      </c>
      <c r="H40" t="s">
        <v>197</v>
      </c>
      <c r="I40" t="s">
        <v>198</v>
      </c>
      <c r="J40" t="s">
        <v>102</v>
      </c>
      <c r="K40" t="s">
        <v>27</v>
      </c>
      <c r="L40" t="s">
        <v>184</v>
      </c>
      <c r="M40" t="s">
        <v>104</v>
      </c>
      <c r="N40">
        <v>77041</v>
      </c>
      <c r="O40" t="s">
        <v>105</v>
      </c>
      <c r="P40" t="s">
        <v>201</v>
      </c>
      <c r="Q40" t="s">
        <v>32</v>
      </c>
      <c r="R40" t="s">
        <v>33</v>
      </c>
      <c r="S40" t="s">
        <v>202</v>
      </c>
      <c r="T40" s="4">
        <v>532.39919999999995</v>
      </c>
      <c r="U40">
        <v>3</v>
      </c>
      <c r="V40">
        <v>0.32</v>
      </c>
      <c r="W40" s="4">
        <v>-46.976399999999998</v>
      </c>
    </row>
    <row r="41" spans="1:23" x14ac:dyDescent="0.3">
      <c r="A41">
        <v>40</v>
      </c>
      <c r="B41" t="s">
        <v>196</v>
      </c>
      <c r="C41" s="3">
        <v>42806</v>
      </c>
      <c r="D41" s="7" t="str">
        <f t="shared" si="0"/>
        <v>March</v>
      </c>
      <c r="E41" s="3">
        <f t="shared" si="1"/>
        <v>42825</v>
      </c>
      <c r="F41" s="3">
        <v>42928</v>
      </c>
      <c r="G41" t="s">
        <v>50</v>
      </c>
      <c r="H41" t="s">
        <v>197</v>
      </c>
      <c r="I41" t="s">
        <v>198</v>
      </c>
      <c r="J41" t="s">
        <v>102</v>
      </c>
      <c r="K41" t="s">
        <v>27</v>
      </c>
      <c r="L41" t="s">
        <v>184</v>
      </c>
      <c r="M41" t="s">
        <v>104</v>
      </c>
      <c r="N41">
        <v>77041</v>
      </c>
      <c r="O41" t="s">
        <v>105</v>
      </c>
      <c r="P41" t="s">
        <v>203</v>
      </c>
      <c r="Q41" t="s">
        <v>32</v>
      </c>
      <c r="R41" t="s">
        <v>36</v>
      </c>
      <c r="S41" t="s">
        <v>204</v>
      </c>
      <c r="T41" s="4">
        <v>212.05799999999999</v>
      </c>
      <c r="U41">
        <v>3</v>
      </c>
      <c r="V41">
        <v>0.3</v>
      </c>
      <c r="W41" s="4">
        <v>-15.147</v>
      </c>
    </row>
    <row r="42" spans="1:23" x14ac:dyDescent="0.3">
      <c r="A42">
        <v>41</v>
      </c>
      <c r="B42" t="s">
        <v>196</v>
      </c>
      <c r="C42" s="3">
        <v>42806</v>
      </c>
      <c r="D42" s="7" t="str">
        <f t="shared" si="0"/>
        <v>March</v>
      </c>
      <c r="E42" s="3">
        <f t="shared" si="1"/>
        <v>42825</v>
      </c>
      <c r="F42" s="3">
        <v>42928</v>
      </c>
      <c r="G42" t="s">
        <v>50</v>
      </c>
      <c r="H42" t="s">
        <v>197</v>
      </c>
      <c r="I42" t="s">
        <v>198</v>
      </c>
      <c r="J42" t="s">
        <v>102</v>
      </c>
      <c r="K42" t="s">
        <v>27</v>
      </c>
      <c r="L42" t="s">
        <v>184</v>
      </c>
      <c r="M42" t="s">
        <v>104</v>
      </c>
      <c r="N42">
        <v>77041</v>
      </c>
      <c r="O42" t="s">
        <v>105</v>
      </c>
      <c r="P42" t="s">
        <v>205</v>
      </c>
      <c r="Q42" t="s">
        <v>71</v>
      </c>
      <c r="R42" t="s">
        <v>72</v>
      </c>
      <c r="S42" t="s">
        <v>206</v>
      </c>
      <c r="T42" s="4">
        <v>371.16800000000001</v>
      </c>
      <c r="U42">
        <v>4</v>
      </c>
      <c r="V42">
        <v>0.2</v>
      </c>
      <c r="W42" s="4">
        <v>41.756399999999999</v>
      </c>
    </row>
    <row r="43" spans="1:23" x14ac:dyDescent="0.3">
      <c r="A43">
        <v>42</v>
      </c>
      <c r="B43" t="s">
        <v>207</v>
      </c>
      <c r="C43" s="3">
        <v>43017</v>
      </c>
      <c r="D43" s="7" t="str">
        <f t="shared" si="0"/>
        <v>October</v>
      </c>
      <c r="E43" s="3">
        <f t="shared" si="1"/>
        <v>43039</v>
      </c>
      <c r="F43" s="3">
        <v>43168</v>
      </c>
      <c r="G43" t="s">
        <v>50</v>
      </c>
      <c r="H43" t="s">
        <v>208</v>
      </c>
      <c r="I43" t="s">
        <v>209</v>
      </c>
      <c r="J43" t="s">
        <v>41</v>
      </c>
      <c r="K43" t="s">
        <v>27</v>
      </c>
      <c r="L43" t="s">
        <v>210</v>
      </c>
      <c r="M43" t="s">
        <v>211</v>
      </c>
      <c r="N43">
        <v>60540</v>
      </c>
      <c r="O43" t="s">
        <v>105</v>
      </c>
      <c r="P43" t="s">
        <v>212</v>
      </c>
      <c r="Q43" t="s">
        <v>71</v>
      </c>
      <c r="R43" t="s">
        <v>72</v>
      </c>
      <c r="S43" t="s">
        <v>213</v>
      </c>
      <c r="T43" s="4">
        <v>147.16800000000001</v>
      </c>
      <c r="U43">
        <v>4</v>
      </c>
      <c r="V43">
        <v>0.2</v>
      </c>
      <c r="W43" s="4">
        <v>16.5564</v>
      </c>
    </row>
    <row r="44" spans="1:23" x14ac:dyDescent="0.3">
      <c r="A44">
        <v>43</v>
      </c>
      <c r="B44" t="s">
        <v>214</v>
      </c>
      <c r="C44" s="3">
        <v>42862</v>
      </c>
      <c r="D44" s="7" t="str">
        <f t="shared" si="0"/>
        <v>May</v>
      </c>
      <c r="E44" s="3">
        <f t="shared" si="1"/>
        <v>42886</v>
      </c>
      <c r="F44" s="3">
        <v>43015</v>
      </c>
      <c r="G44" t="s">
        <v>50</v>
      </c>
      <c r="H44" t="s">
        <v>215</v>
      </c>
      <c r="I44" t="s">
        <v>216</v>
      </c>
      <c r="J44" t="s">
        <v>41</v>
      </c>
      <c r="K44" t="s">
        <v>27</v>
      </c>
      <c r="L44" t="s">
        <v>42</v>
      </c>
      <c r="M44" t="s">
        <v>43</v>
      </c>
      <c r="N44">
        <v>90049</v>
      </c>
      <c r="O44" t="s">
        <v>44</v>
      </c>
      <c r="P44" t="s">
        <v>217</v>
      </c>
      <c r="Q44" t="s">
        <v>46</v>
      </c>
      <c r="R44" t="s">
        <v>59</v>
      </c>
      <c r="S44" t="s">
        <v>218</v>
      </c>
      <c r="T44" s="4">
        <v>77.88</v>
      </c>
      <c r="U44">
        <v>2</v>
      </c>
      <c r="V44">
        <v>0</v>
      </c>
      <c r="W44" s="4">
        <v>3.8940000000000001</v>
      </c>
    </row>
    <row r="45" spans="1:23" x14ac:dyDescent="0.3">
      <c r="A45">
        <v>44</v>
      </c>
      <c r="B45" t="s">
        <v>219</v>
      </c>
      <c r="C45" s="3">
        <v>43290</v>
      </c>
      <c r="D45" s="7" t="str">
        <f t="shared" si="0"/>
        <v>July</v>
      </c>
      <c r="E45" s="3">
        <f t="shared" si="1"/>
        <v>43312</v>
      </c>
      <c r="F45" s="3">
        <v>43413</v>
      </c>
      <c r="G45" t="s">
        <v>50</v>
      </c>
      <c r="H45" t="s">
        <v>220</v>
      </c>
      <c r="I45" t="s">
        <v>221</v>
      </c>
      <c r="J45" t="s">
        <v>41</v>
      </c>
      <c r="K45" t="s">
        <v>27</v>
      </c>
      <c r="L45" t="s">
        <v>222</v>
      </c>
      <c r="M45" t="s">
        <v>54</v>
      </c>
      <c r="N45">
        <v>32935</v>
      </c>
      <c r="O45" t="s">
        <v>30</v>
      </c>
      <c r="P45" t="s">
        <v>223</v>
      </c>
      <c r="Q45" t="s">
        <v>46</v>
      </c>
      <c r="R45" t="s">
        <v>59</v>
      </c>
      <c r="S45" t="s">
        <v>224</v>
      </c>
      <c r="T45" s="4">
        <v>95.616</v>
      </c>
      <c r="U45">
        <v>2</v>
      </c>
      <c r="V45">
        <v>0.2</v>
      </c>
      <c r="W45" s="4">
        <v>9.5616000000000003</v>
      </c>
    </row>
    <row r="46" spans="1:23" x14ac:dyDescent="0.3">
      <c r="A46">
        <v>45</v>
      </c>
      <c r="B46" t="s">
        <v>225</v>
      </c>
      <c r="C46" s="3">
        <v>42677</v>
      </c>
      <c r="D46" s="7" t="str">
        <f t="shared" si="0"/>
        <v>November</v>
      </c>
      <c r="E46" s="3">
        <f t="shared" si="1"/>
        <v>42704</v>
      </c>
      <c r="F46" s="3">
        <v>42738</v>
      </c>
      <c r="G46" t="s">
        <v>188</v>
      </c>
      <c r="H46" t="s">
        <v>226</v>
      </c>
      <c r="I46" t="s">
        <v>227</v>
      </c>
      <c r="J46" t="s">
        <v>41</v>
      </c>
      <c r="K46" t="s">
        <v>27</v>
      </c>
      <c r="L46" t="s">
        <v>228</v>
      </c>
      <c r="M46" t="s">
        <v>229</v>
      </c>
      <c r="N46">
        <v>55122</v>
      </c>
      <c r="O46" t="s">
        <v>105</v>
      </c>
      <c r="P46" t="s">
        <v>230</v>
      </c>
      <c r="Q46" t="s">
        <v>71</v>
      </c>
      <c r="R46" t="s">
        <v>161</v>
      </c>
      <c r="S46" t="s">
        <v>231</v>
      </c>
      <c r="T46" s="4">
        <v>45.98</v>
      </c>
      <c r="U46">
        <v>2</v>
      </c>
      <c r="V46">
        <v>0</v>
      </c>
      <c r="W46" s="4">
        <v>19.7714</v>
      </c>
    </row>
    <row r="47" spans="1:23" x14ac:dyDescent="0.3">
      <c r="A47">
        <v>46</v>
      </c>
      <c r="B47" t="s">
        <v>225</v>
      </c>
      <c r="C47" s="3">
        <v>42677</v>
      </c>
      <c r="D47" s="7" t="str">
        <f t="shared" si="0"/>
        <v>November</v>
      </c>
      <c r="E47" s="3">
        <f t="shared" si="1"/>
        <v>42704</v>
      </c>
      <c r="F47" s="3">
        <v>42738</v>
      </c>
      <c r="G47" t="s">
        <v>188</v>
      </c>
      <c r="H47" t="s">
        <v>226</v>
      </c>
      <c r="I47" t="s">
        <v>227</v>
      </c>
      <c r="J47" t="s">
        <v>41</v>
      </c>
      <c r="K47" t="s">
        <v>27</v>
      </c>
      <c r="L47" t="s">
        <v>228</v>
      </c>
      <c r="M47" t="s">
        <v>229</v>
      </c>
      <c r="N47">
        <v>55122</v>
      </c>
      <c r="O47" t="s">
        <v>105</v>
      </c>
      <c r="P47" t="s">
        <v>232</v>
      </c>
      <c r="Q47" t="s">
        <v>46</v>
      </c>
      <c r="R47" t="s">
        <v>75</v>
      </c>
      <c r="S47" t="s">
        <v>233</v>
      </c>
      <c r="T47" s="4">
        <v>17.46</v>
      </c>
      <c r="U47">
        <v>2</v>
      </c>
      <c r="V47">
        <v>0</v>
      </c>
      <c r="W47" s="4">
        <v>8.2062000000000008</v>
      </c>
    </row>
    <row r="48" spans="1:23" x14ac:dyDescent="0.3">
      <c r="A48">
        <v>47</v>
      </c>
      <c r="B48" t="s">
        <v>234</v>
      </c>
      <c r="C48" s="3">
        <v>42226</v>
      </c>
      <c r="D48" s="7" t="str">
        <f t="shared" si="0"/>
        <v>August</v>
      </c>
      <c r="E48" s="3">
        <f t="shared" si="1"/>
        <v>42247</v>
      </c>
      <c r="F48" s="3">
        <v>42379</v>
      </c>
      <c r="G48" t="s">
        <v>23</v>
      </c>
      <c r="H48" t="s">
        <v>235</v>
      </c>
      <c r="I48" t="s">
        <v>236</v>
      </c>
      <c r="J48" t="s">
        <v>26</v>
      </c>
      <c r="K48" t="s">
        <v>27</v>
      </c>
      <c r="L48" t="s">
        <v>237</v>
      </c>
      <c r="M48" t="s">
        <v>238</v>
      </c>
      <c r="N48">
        <v>48185</v>
      </c>
      <c r="O48" t="s">
        <v>105</v>
      </c>
      <c r="P48" t="s">
        <v>239</v>
      </c>
      <c r="Q48" t="s">
        <v>46</v>
      </c>
      <c r="R48" t="s">
        <v>59</v>
      </c>
      <c r="S48" t="s">
        <v>240</v>
      </c>
      <c r="T48" s="4">
        <v>211.96</v>
      </c>
      <c r="U48">
        <v>4</v>
      </c>
      <c r="V48">
        <v>0</v>
      </c>
      <c r="W48" s="4">
        <v>8.4784000000000006</v>
      </c>
    </row>
    <row r="49" spans="1:23" x14ac:dyDescent="0.3">
      <c r="A49">
        <v>48</v>
      </c>
      <c r="B49" t="s">
        <v>241</v>
      </c>
      <c r="C49" s="3">
        <v>42953</v>
      </c>
      <c r="D49" s="7" t="str">
        <f t="shared" si="0"/>
        <v>August</v>
      </c>
      <c r="E49" s="3">
        <f t="shared" si="1"/>
        <v>42978</v>
      </c>
      <c r="F49" s="3">
        <v>43106</v>
      </c>
      <c r="G49" t="s">
        <v>50</v>
      </c>
      <c r="H49" t="s">
        <v>242</v>
      </c>
      <c r="I49" t="s">
        <v>243</v>
      </c>
      <c r="J49" t="s">
        <v>26</v>
      </c>
      <c r="K49" t="s">
        <v>27</v>
      </c>
      <c r="L49" t="s">
        <v>244</v>
      </c>
      <c r="M49" t="s">
        <v>245</v>
      </c>
      <c r="N49">
        <v>19901</v>
      </c>
      <c r="O49" t="s">
        <v>148</v>
      </c>
      <c r="P49" t="s">
        <v>246</v>
      </c>
      <c r="Q49" t="s">
        <v>71</v>
      </c>
      <c r="R49" t="s">
        <v>161</v>
      </c>
      <c r="S49" t="s">
        <v>247</v>
      </c>
      <c r="T49" s="4">
        <v>45</v>
      </c>
      <c r="U49">
        <v>3</v>
      </c>
      <c r="V49">
        <v>0</v>
      </c>
      <c r="W49" s="4">
        <v>4.95</v>
      </c>
    </row>
    <row r="50" spans="1:23" x14ac:dyDescent="0.3">
      <c r="A50">
        <v>49</v>
      </c>
      <c r="B50" t="s">
        <v>241</v>
      </c>
      <c r="C50" s="3">
        <v>42953</v>
      </c>
      <c r="D50" s="7" t="str">
        <f t="shared" si="0"/>
        <v>August</v>
      </c>
      <c r="E50" s="3">
        <f t="shared" si="1"/>
        <v>42978</v>
      </c>
      <c r="F50" s="3">
        <v>43106</v>
      </c>
      <c r="G50" t="s">
        <v>50</v>
      </c>
      <c r="H50" t="s">
        <v>242</v>
      </c>
      <c r="I50" t="s">
        <v>243</v>
      </c>
      <c r="J50" t="s">
        <v>26</v>
      </c>
      <c r="K50" t="s">
        <v>27</v>
      </c>
      <c r="L50" t="s">
        <v>244</v>
      </c>
      <c r="M50" t="s">
        <v>245</v>
      </c>
      <c r="N50">
        <v>19901</v>
      </c>
      <c r="O50" t="s">
        <v>148</v>
      </c>
      <c r="P50" t="s">
        <v>248</v>
      </c>
      <c r="Q50" t="s">
        <v>71</v>
      </c>
      <c r="R50" t="s">
        <v>72</v>
      </c>
      <c r="S50" t="s">
        <v>249</v>
      </c>
      <c r="T50" s="4">
        <v>21.8</v>
      </c>
      <c r="U50">
        <v>2</v>
      </c>
      <c r="V50">
        <v>0</v>
      </c>
      <c r="W50" s="4">
        <v>6.1040000000000001</v>
      </c>
    </row>
    <row r="51" spans="1:23" x14ac:dyDescent="0.3">
      <c r="A51">
        <v>50</v>
      </c>
      <c r="B51" t="s">
        <v>250</v>
      </c>
      <c r="C51" s="3">
        <v>42525</v>
      </c>
      <c r="D51" s="7" t="str">
        <f t="shared" si="0"/>
        <v>June</v>
      </c>
      <c r="E51" s="3">
        <f t="shared" si="1"/>
        <v>42551</v>
      </c>
      <c r="F51" s="3">
        <v>42647</v>
      </c>
      <c r="G51" t="s">
        <v>50</v>
      </c>
      <c r="H51" t="s">
        <v>251</v>
      </c>
      <c r="I51" t="s">
        <v>252</v>
      </c>
      <c r="J51" t="s">
        <v>26</v>
      </c>
      <c r="K51" t="s">
        <v>27</v>
      </c>
      <c r="L51" t="s">
        <v>253</v>
      </c>
      <c r="M51" t="s">
        <v>254</v>
      </c>
      <c r="N51">
        <v>47150</v>
      </c>
      <c r="O51" t="s">
        <v>105</v>
      </c>
      <c r="P51" t="s">
        <v>255</v>
      </c>
      <c r="Q51" t="s">
        <v>46</v>
      </c>
      <c r="R51" t="s">
        <v>75</v>
      </c>
      <c r="S51" t="s">
        <v>256</v>
      </c>
      <c r="T51" s="4">
        <v>38.22</v>
      </c>
      <c r="U51">
        <v>6</v>
      </c>
      <c r="V51">
        <v>0</v>
      </c>
      <c r="W51" s="4">
        <v>17.9634</v>
      </c>
    </row>
    <row r="52" spans="1:23" x14ac:dyDescent="0.3">
      <c r="A52">
        <v>51</v>
      </c>
      <c r="B52" t="s">
        <v>250</v>
      </c>
      <c r="C52" s="3">
        <v>42525</v>
      </c>
      <c r="D52" s="7" t="str">
        <f t="shared" si="0"/>
        <v>June</v>
      </c>
      <c r="E52" s="3">
        <f t="shared" si="1"/>
        <v>42551</v>
      </c>
      <c r="F52" s="3">
        <v>42647</v>
      </c>
      <c r="G52" t="s">
        <v>50</v>
      </c>
      <c r="H52" t="s">
        <v>251</v>
      </c>
      <c r="I52" t="s">
        <v>252</v>
      </c>
      <c r="J52" t="s">
        <v>26</v>
      </c>
      <c r="K52" t="s">
        <v>27</v>
      </c>
      <c r="L52" t="s">
        <v>253</v>
      </c>
      <c r="M52" t="s">
        <v>254</v>
      </c>
      <c r="N52">
        <v>47150</v>
      </c>
      <c r="O52" t="s">
        <v>105</v>
      </c>
      <c r="P52" t="s">
        <v>257</v>
      </c>
      <c r="Q52" t="s">
        <v>46</v>
      </c>
      <c r="R52" t="s">
        <v>47</v>
      </c>
      <c r="S52" t="s">
        <v>258</v>
      </c>
      <c r="T52" s="4">
        <v>75.180000000000007</v>
      </c>
      <c r="U52">
        <v>6</v>
      </c>
      <c r="V52">
        <v>0</v>
      </c>
      <c r="W52" s="4">
        <v>35.334600000000002</v>
      </c>
    </row>
    <row r="53" spans="1:23" x14ac:dyDescent="0.3">
      <c r="A53">
        <v>52</v>
      </c>
      <c r="B53" t="s">
        <v>250</v>
      </c>
      <c r="C53" s="3">
        <v>42525</v>
      </c>
      <c r="D53" s="7" t="str">
        <f t="shared" si="0"/>
        <v>June</v>
      </c>
      <c r="E53" s="3">
        <f t="shared" si="1"/>
        <v>42551</v>
      </c>
      <c r="F53" s="3">
        <v>42647</v>
      </c>
      <c r="G53" t="s">
        <v>50</v>
      </c>
      <c r="H53" t="s">
        <v>251</v>
      </c>
      <c r="I53" t="s">
        <v>252</v>
      </c>
      <c r="J53" t="s">
        <v>26</v>
      </c>
      <c r="K53" t="s">
        <v>27</v>
      </c>
      <c r="L53" t="s">
        <v>253</v>
      </c>
      <c r="M53" t="s">
        <v>254</v>
      </c>
      <c r="N53">
        <v>47150</v>
      </c>
      <c r="O53" t="s">
        <v>105</v>
      </c>
      <c r="P53" t="s">
        <v>259</v>
      </c>
      <c r="Q53" t="s">
        <v>32</v>
      </c>
      <c r="R53" t="s">
        <v>65</v>
      </c>
      <c r="S53" t="s">
        <v>260</v>
      </c>
      <c r="T53" s="4">
        <v>6.16</v>
      </c>
      <c r="U53">
        <v>2</v>
      </c>
      <c r="V53">
        <v>0</v>
      </c>
      <c r="W53" s="4">
        <v>2.9567999999999999</v>
      </c>
    </row>
    <row r="54" spans="1:23" x14ac:dyDescent="0.3">
      <c r="A54">
        <v>53</v>
      </c>
      <c r="B54" t="s">
        <v>250</v>
      </c>
      <c r="C54" s="3">
        <v>42525</v>
      </c>
      <c r="D54" s="7" t="str">
        <f t="shared" si="0"/>
        <v>June</v>
      </c>
      <c r="E54" s="3">
        <f t="shared" si="1"/>
        <v>42551</v>
      </c>
      <c r="F54" s="3">
        <v>42647</v>
      </c>
      <c r="G54" t="s">
        <v>50</v>
      </c>
      <c r="H54" t="s">
        <v>251</v>
      </c>
      <c r="I54" t="s">
        <v>252</v>
      </c>
      <c r="J54" t="s">
        <v>26</v>
      </c>
      <c r="K54" t="s">
        <v>27</v>
      </c>
      <c r="L54" t="s">
        <v>253</v>
      </c>
      <c r="M54" t="s">
        <v>254</v>
      </c>
      <c r="N54">
        <v>47150</v>
      </c>
      <c r="O54" t="s">
        <v>105</v>
      </c>
      <c r="P54" t="s">
        <v>261</v>
      </c>
      <c r="Q54" t="s">
        <v>32</v>
      </c>
      <c r="R54" t="s">
        <v>36</v>
      </c>
      <c r="S54" t="s">
        <v>262</v>
      </c>
      <c r="T54" s="4">
        <v>89.99</v>
      </c>
      <c r="U54">
        <v>1</v>
      </c>
      <c r="V54">
        <v>0</v>
      </c>
      <c r="W54" s="4">
        <v>17.098099999999999</v>
      </c>
    </row>
    <row r="55" spans="1:23" x14ac:dyDescent="0.3">
      <c r="A55">
        <v>54</v>
      </c>
      <c r="B55" t="s">
        <v>263</v>
      </c>
      <c r="C55" s="3">
        <v>42686</v>
      </c>
      <c r="D55" s="7" t="str">
        <f t="shared" si="0"/>
        <v>November</v>
      </c>
      <c r="E55" s="3">
        <f t="shared" si="1"/>
        <v>42704</v>
      </c>
      <c r="F55" s="3">
        <v>42867</v>
      </c>
      <c r="G55" t="s">
        <v>50</v>
      </c>
      <c r="H55" t="s">
        <v>264</v>
      </c>
      <c r="I55" t="s">
        <v>265</v>
      </c>
      <c r="J55" t="s">
        <v>41</v>
      </c>
      <c r="K55" t="s">
        <v>27</v>
      </c>
      <c r="L55" t="s">
        <v>266</v>
      </c>
      <c r="M55" t="s">
        <v>267</v>
      </c>
      <c r="N55">
        <v>10024</v>
      </c>
      <c r="O55" t="s">
        <v>148</v>
      </c>
      <c r="P55" t="s">
        <v>268</v>
      </c>
      <c r="Q55" t="s">
        <v>46</v>
      </c>
      <c r="R55" t="s">
        <v>269</v>
      </c>
      <c r="S55" t="s">
        <v>270</v>
      </c>
      <c r="T55" s="4">
        <v>15.26</v>
      </c>
      <c r="U55">
        <v>7</v>
      </c>
      <c r="V55">
        <v>0</v>
      </c>
      <c r="W55" s="4">
        <v>6.2565999999999997</v>
      </c>
    </row>
    <row r="56" spans="1:23" x14ac:dyDescent="0.3">
      <c r="A56">
        <v>55</v>
      </c>
      <c r="B56" t="s">
        <v>263</v>
      </c>
      <c r="C56" s="3">
        <v>42686</v>
      </c>
      <c r="D56" s="7" t="str">
        <f t="shared" si="0"/>
        <v>November</v>
      </c>
      <c r="E56" s="3">
        <f t="shared" si="1"/>
        <v>42704</v>
      </c>
      <c r="F56" s="3">
        <v>42867</v>
      </c>
      <c r="G56" t="s">
        <v>50</v>
      </c>
      <c r="H56" t="s">
        <v>264</v>
      </c>
      <c r="I56" t="s">
        <v>265</v>
      </c>
      <c r="J56" t="s">
        <v>41</v>
      </c>
      <c r="K56" t="s">
        <v>27</v>
      </c>
      <c r="L56" t="s">
        <v>266</v>
      </c>
      <c r="M56" t="s">
        <v>267</v>
      </c>
      <c r="N56">
        <v>10024</v>
      </c>
      <c r="O56" t="s">
        <v>148</v>
      </c>
      <c r="P56" t="s">
        <v>271</v>
      </c>
      <c r="Q56" t="s">
        <v>71</v>
      </c>
      <c r="R56" t="s">
        <v>72</v>
      </c>
      <c r="S56" t="s">
        <v>272</v>
      </c>
      <c r="T56" s="4">
        <v>1029.95</v>
      </c>
      <c r="U56">
        <v>5</v>
      </c>
      <c r="V56">
        <v>0</v>
      </c>
      <c r="W56" s="4">
        <v>298.68549999999999</v>
      </c>
    </row>
    <row r="57" spans="1:23" x14ac:dyDescent="0.3">
      <c r="A57">
        <v>56</v>
      </c>
      <c r="B57" t="s">
        <v>273</v>
      </c>
      <c r="C57" s="3">
        <v>42861</v>
      </c>
      <c r="D57" s="7" t="str">
        <f t="shared" si="0"/>
        <v>May</v>
      </c>
      <c r="E57" s="3">
        <f t="shared" si="1"/>
        <v>42886</v>
      </c>
      <c r="F57" s="3">
        <v>42892</v>
      </c>
      <c r="G57" t="s">
        <v>188</v>
      </c>
      <c r="H57" t="s">
        <v>274</v>
      </c>
      <c r="I57" t="s">
        <v>275</v>
      </c>
      <c r="J57" t="s">
        <v>26</v>
      </c>
      <c r="K57" t="s">
        <v>27</v>
      </c>
      <c r="L57" t="s">
        <v>276</v>
      </c>
      <c r="M57" t="s">
        <v>267</v>
      </c>
      <c r="N57">
        <v>12180</v>
      </c>
      <c r="O57" t="s">
        <v>148</v>
      </c>
      <c r="P57" t="s">
        <v>277</v>
      </c>
      <c r="Q57" t="s">
        <v>46</v>
      </c>
      <c r="R57" t="s">
        <v>59</v>
      </c>
      <c r="S57" t="s">
        <v>278</v>
      </c>
      <c r="T57" s="4">
        <v>208.56</v>
      </c>
      <c r="U57">
        <v>6</v>
      </c>
      <c r="V57">
        <v>0</v>
      </c>
      <c r="W57" s="4">
        <v>52.14</v>
      </c>
    </row>
    <row r="58" spans="1:23" x14ac:dyDescent="0.3">
      <c r="A58">
        <v>57</v>
      </c>
      <c r="B58" t="s">
        <v>273</v>
      </c>
      <c r="C58" s="3">
        <v>42861</v>
      </c>
      <c r="D58" s="7" t="str">
        <f t="shared" si="0"/>
        <v>May</v>
      </c>
      <c r="E58" s="3">
        <f t="shared" si="1"/>
        <v>42886</v>
      </c>
      <c r="F58" s="3">
        <v>42892</v>
      </c>
      <c r="G58" t="s">
        <v>188</v>
      </c>
      <c r="H58" t="s">
        <v>274</v>
      </c>
      <c r="I58" t="s">
        <v>275</v>
      </c>
      <c r="J58" t="s">
        <v>26</v>
      </c>
      <c r="K58" t="s">
        <v>27</v>
      </c>
      <c r="L58" t="s">
        <v>276</v>
      </c>
      <c r="M58" t="s">
        <v>267</v>
      </c>
      <c r="N58">
        <v>12180</v>
      </c>
      <c r="O58" t="s">
        <v>148</v>
      </c>
      <c r="P58" t="s">
        <v>279</v>
      </c>
      <c r="Q58" t="s">
        <v>46</v>
      </c>
      <c r="R58" t="s">
        <v>90</v>
      </c>
      <c r="S58" t="s">
        <v>280</v>
      </c>
      <c r="T58" s="4">
        <v>32.4</v>
      </c>
      <c r="U58">
        <v>5</v>
      </c>
      <c r="V58">
        <v>0</v>
      </c>
      <c r="W58" s="4">
        <v>15.552</v>
      </c>
    </row>
    <row r="59" spans="1:23" x14ac:dyDescent="0.3">
      <c r="A59">
        <v>58</v>
      </c>
      <c r="B59" t="s">
        <v>273</v>
      </c>
      <c r="C59" s="3">
        <v>42861</v>
      </c>
      <c r="D59" s="7" t="str">
        <f t="shared" si="0"/>
        <v>May</v>
      </c>
      <c r="E59" s="3">
        <f t="shared" si="1"/>
        <v>42886</v>
      </c>
      <c r="F59" s="3">
        <v>42892</v>
      </c>
      <c r="G59" t="s">
        <v>188</v>
      </c>
      <c r="H59" t="s">
        <v>274</v>
      </c>
      <c r="I59" t="s">
        <v>275</v>
      </c>
      <c r="J59" t="s">
        <v>26</v>
      </c>
      <c r="K59" t="s">
        <v>27</v>
      </c>
      <c r="L59" t="s">
        <v>276</v>
      </c>
      <c r="M59" t="s">
        <v>267</v>
      </c>
      <c r="N59">
        <v>12180</v>
      </c>
      <c r="O59" t="s">
        <v>148</v>
      </c>
      <c r="P59" t="s">
        <v>281</v>
      </c>
      <c r="Q59" t="s">
        <v>32</v>
      </c>
      <c r="R59" t="s">
        <v>36</v>
      </c>
      <c r="S59" t="s">
        <v>282</v>
      </c>
      <c r="T59" s="4">
        <v>319.41000000000003</v>
      </c>
      <c r="U59">
        <v>5</v>
      </c>
      <c r="V59">
        <v>0.1</v>
      </c>
      <c r="W59" s="4">
        <v>7.0979999999999999</v>
      </c>
    </row>
    <row r="60" spans="1:23" x14ac:dyDescent="0.3">
      <c r="A60">
        <v>59</v>
      </c>
      <c r="B60" t="s">
        <v>273</v>
      </c>
      <c r="C60" s="3">
        <v>42861</v>
      </c>
      <c r="D60" s="7" t="str">
        <f t="shared" si="0"/>
        <v>May</v>
      </c>
      <c r="E60" s="3">
        <f t="shared" si="1"/>
        <v>42886</v>
      </c>
      <c r="F60" s="3">
        <v>42892</v>
      </c>
      <c r="G60" t="s">
        <v>188</v>
      </c>
      <c r="H60" t="s">
        <v>274</v>
      </c>
      <c r="I60" t="s">
        <v>275</v>
      </c>
      <c r="J60" t="s">
        <v>26</v>
      </c>
      <c r="K60" t="s">
        <v>27</v>
      </c>
      <c r="L60" t="s">
        <v>276</v>
      </c>
      <c r="M60" t="s">
        <v>267</v>
      </c>
      <c r="N60">
        <v>12180</v>
      </c>
      <c r="O60" t="s">
        <v>148</v>
      </c>
      <c r="P60" t="s">
        <v>283</v>
      </c>
      <c r="Q60" t="s">
        <v>46</v>
      </c>
      <c r="R60" t="s">
        <v>90</v>
      </c>
      <c r="S60" t="s">
        <v>284</v>
      </c>
      <c r="T60" s="4">
        <v>14.56</v>
      </c>
      <c r="U60">
        <v>2</v>
      </c>
      <c r="V60">
        <v>0</v>
      </c>
      <c r="W60" s="4">
        <v>6.9888000000000003</v>
      </c>
    </row>
    <row r="61" spans="1:23" x14ac:dyDescent="0.3">
      <c r="A61">
        <v>60</v>
      </c>
      <c r="B61" t="s">
        <v>273</v>
      </c>
      <c r="C61" s="3">
        <v>42861</v>
      </c>
      <c r="D61" s="7" t="str">
        <f t="shared" si="0"/>
        <v>May</v>
      </c>
      <c r="E61" s="3">
        <f t="shared" si="1"/>
        <v>42886</v>
      </c>
      <c r="F61" s="3">
        <v>42892</v>
      </c>
      <c r="G61" t="s">
        <v>188</v>
      </c>
      <c r="H61" t="s">
        <v>274</v>
      </c>
      <c r="I61" t="s">
        <v>275</v>
      </c>
      <c r="J61" t="s">
        <v>26</v>
      </c>
      <c r="K61" t="s">
        <v>27</v>
      </c>
      <c r="L61" t="s">
        <v>276</v>
      </c>
      <c r="M61" t="s">
        <v>267</v>
      </c>
      <c r="N61">
        <v>12180</v>
      </c>
      <c r="O61" t="s">
        <v>148</v>
      </c>
      <c r="P61" t="s">
        <v>246</v>
      </c>
      <c r="Q61" t="s">
        <v>71</v>
      </c>
      <c r="R61" t="s">
        <v>161</v>
      </c>
      <c r="S61" t="s">
        <v>247</v>
      </c>
      <c r="T61" s="4">
        <v>30</v>
      </c>
      <c r="U61">
        <v>2</v>
      </c>
      <c r="V61">
        <v>0</v>
      </c>
      <c r="W61" s="4">
        <v>3.3</v>
      </c>
    </row>
    <row r="62" spans="1:23" x14ac:dyDescent="0.3">
      <c r="A62">
        <v>61</v>
      </c>
      <c r="B62" t="s">
        <v>273</v>
      </c>
      <c r="C62" s="3">
        <v>42861</v>
      </c>
      <c r="D62" s="7" t="str">
        <f t="shared" si="0"/>
        <v>May</v>
      </c>
      <c r="E62" s="3">
        <f t="shared" si="1"/>
        <v>42886</v>
      </c>
      <c r="F62" s="3">
        <v>42892</v>
      </c>
      <c r="G62" t="s">
        <v>188</v>
      </c>
      <c r="H62" t="s">
        <v>274</v>
      </c>
      <c r="I62" t="s">
        <v>275</v>
      </c>
      <c r="J62" t="s">
        <v>26</v>
      </c>
      <c r="K62" t="s">
        <v>27</v>
      </c>
      <c r="L62" t="s">
        <v>276</v>
      </c>
      <c r="M62" t="s">
        <v>267</v>
      </c>
      <c r="N62">
        <v>12180</v>
      </c>
      <c r="O62" t="s">
        <v>148</v>
      </c>
      <c r="P62" t="s">
        <v>285</v>
      </c>
      <c r="Q62" t="s">
        <v>46</v>
      </c>
      <c r="R62" t="s">
        <v>75</v>
      </c>
      <c r="S62" t="s">
        <v>286</v>
      </c>
      <c r="T62" s="4">
        <v>48.48</v>
      </c>
      <c r="U62">
        <v>4</v>
      </c>
      <c r="V62">
        <v>0.2</v>
      </c>
      <c r="W62" s="4">
        <v>16.361999999999998</v>
      </c>
    </row>
    <row r="63" spans="1:23" x14ac:dyDescent="0.3">
      <c r="A63">
        <v>62</v>
      </c>
      <c r="B63" t="s">
        <v>273</v>
      </c>
      <c r="C63" s="3">
        <v>42861</v>
      </c>
      <c r="D63" s="7" t="str">
        <f t="shared" si="0"/>
        <v>May</v>
      </c>
      <c r="E63" s="3">
        <f t="shared" si="1"/>
        <v>42886</v>
      </c>
      <c r="F63" s="3">
        <v>42892</v>
      </c>
      <c r="G63" t="s">
        <v>188</v>
      </c>
      <c r="H63" t="s">
        <v>274</v>
      </c>
      <c r="I63" t="s">
        <v>275</v>
      </c>
      <c r="J63" t="s">
        <v>26</v>
      </c>
      <c r="K63" t="s">
        <v>27</v>
      </c>
      <c r="L63" t="s">
        <v>276</v>
      </c>
      <c r="M63" t="s">
        <v>267</v>
      </c>
      <c r="N63">
        <v>12180</v>
      </c>
      <c r="O63" t="s">
        <v>148</v>
      </c>
      <c r="P63" t="s">
        <v>287</v>
      </c>
      <c r="Q63" t="s">
        <v>46</v>
      </c>
      <c r="R63" t="s">
        <v>68</v>
      </c>
      <c r="S63" t="s">
        <v>288</v>
      </c>
      <c r="T63" s="4">
        <v>1.68</v>
      </c>
      <c r="U63">
        <v>1</v>
      </c>
      <c r="V63">
        <v>0</v>
      </c>
      <c r="W63" s="4">
        <v>0.84</v>
      </c>
    </row>
    <row r="64" spans="1:23" x14ac:dyDescent="0.3">
      <c r="A64">
        <v>63</v>
      </c>
      <c r="B64" t="s">
        <v>289</v>
      </c>
      <c r="C64" s="3">
        <v>42715</v>
      </c>
      <c r="D64" s="7" t="str">
        <f t="shared" si="0"/>
        <v>December</v>
      </c>
      <c r="E64" s="3">
        <f t="shared" si="1"/>
        <v>42735</v>
      </c>
      <c r="F64" s="3">
        <v>42897</v>
      </c>
      <c r="G64" t="s">
        <v>50</v>
      </c>
      <c r="H64" t="s">
        <v>290</v>
      </c>
      <c r="I64" t="s">
        <v>291</v>
      </c>
      <c r="J64" t="s">
        <v>26</v>
      </c>
      <c r="K64" t="s">
        <v>27</v>
      </c>
      <c r="L64" t="s">
        <v>42</v>
      </c>
      <c r="M64" t="s">
        <v>43</v>
      </c>
      <c r="N64">
        <v>90004</v>
      </c>
      <c r="O64" t="s">
        <v>44</v>
      </c>
      <c r="P64" t="s">
        <v>292</v>
      </c>
      <c r="Q64" t="s">
        <v>71</v>
      </c>
      <c r="R64" t="s">
        <v>161</v>
      </c>
      <c r="S64" t="s">
        <v>293</v>
      </c>
      <c r="T64" s="4">
        <v>13.98</v>
      </c>
      <c r="U64">
        <v>2</v>
      </c>
      <c r="V64">
        <v>0</v>
      </c>
      <c r="W64" s="4">
        <v>6.1512000000000002</v>
      </c>
    </row>
    <row r="65" spans="1:23" x14ac:dyDescent="0.3">
      <c r="A65">
        <v>64</v>
      </c>
      <c r="B65" t="s">
        <v>289</v>
      </c>
      <c r="C65" s="3">
        <v>42715</v>
      </c>
      <c r="D65" s="7" t="str">
        <f t="shared" si="0"/>
        <v>December</v>
      </c>
      <c r="E65" s="3">
        <f t="shared" si="1"/>
        <v>42735</v>
      </c>
      <c r="F65" s="3">
        <v>42897</v>
      </c>
      <c r="G65" t="s">
        <v>50</v>
      </c>
      <c r="H65" t="s">
        <v>290</v>
      </c>
      <c r="I65" t="s">
        <v>291</v>
      </c>
      <c r="J65" t="s">
        <v>26</v>
      </c>
      <c r="K65" t="s">
        <v>27</v>
      </c>
      <c r="L65" t="s">
        <v>42</v>
      </c>
      <c r="M65" t="s">
        <v>43</v>
      </c>
      <c r="N65">
        <v>90004</v>
      </c>
      <c r="O65" t="s">
        <v>44</v>
      </c>
      <c r="P65" t="s">
        <v>294</v>
      </c>
      <c r="Q65" t="s">
        <v>46</v>
      </c>
      <c r="R65" t="s">
        <v>75</v>
      </c>
      <c r="S65" t="s">
        <v>295</v>
      </c>
      <c r="T65" s="4">
        <v>25.824000000000002</v>
      </c>
      <c r="U65">
        <v>6</v>
      </c>
      <c r="V65">
        <v>0.2</v>
      </c>
      <c r="W65" s="4">
        <v>9.3612000000000002</v>
      </c>
    </row>
    <row r="66" spans="1:23" x14ac:dyDescent="0.3">
      <c r="A66">
        <v>65</v>
      </c>
      <c r="B66" t="s">
        <v>289</v>
      </c>
      <c r="C66" s="3">
        <v>42715</v>
      </c>
      <c r="D66" s="7" t="str">
        <f t="shared" si="0"/>
        <v>December</v>
      </c>
      <c r="E66" s="3">
        <f t="shared" si="1"/>
        <v>42735</v>
      </c>
      <c r="F66" s="3">
        <v>42897</v>
      </c>
      <c r="G66" t="s">
        <v>50</v>
      </c>
      <c r="H66" t="s">
        <v>290</v>
      </c>
      <c r="I66" t="s">
        <v>291</v>
      </c>
      <c r="J66" t="s">
        <v>26</v>
      </c>
      <c r="K66" t="s">
        <v>27</v>
      </c>
      <c r="L66" t="s">
        <v>42</v>
      </c>
      <c r="M66" t="s">
        <v>43</v>
      </c>
      <c r="N66">
        <v>90004</v>
      </c>
      <c r="O66" t="s">
        <v>44</v>
      </c>
      <c r="P66" t="s">
        <v>296</v>
      </c>
      <c r="Q66" t="s">
        <v>46</v>
      </c>
      <c r="R66" t="s">
        <v>90</v>
      </c>
      <c r="S66" t="s">
        <v>297</v>
      </c>
      <c r="T66" s="4">
        <v>146.72999999999999</v>
      </c>
      <c r="U66">
        <v>3</v>
      </c>
      <c r="V66">
        <v>0</v>
      </c>
      <c r="W66" s="4">
        <v>68.963099999999997</v>
      </c>
    </row>
    <row r="67" spans="1:23" x14ac:dyDescent="0.3">
      <c r="A67">
        <v>66</v>
      </c>
      <c r="B67" t="s">
        <v>289</v>
      </c>
      <c r="C67" s="3">
        <v>42715</v>
      </c>
      <c r="D67" s="7" t="str">
        <f t="shared" ref="D67:D130" si="2">TEXT(C67,"mmmm")</f>
        <v>December</v>
      </c>
      <c r="E67" s="3">
        <f t="shared" ref="E67:E130" si="3">EOMONTH(C67,0)</f>
        <v>42735</v>
      </c>
      <c r="F67" s="3">
        <v>42897</v>
      </c>
      <c r="G67" t="s">
        <v>50</v>
      </c>
      <c r="H67" t="s">
        <v>290</v>
      </c>
      <c r="I67" t="s">
        <v>291</v>
      </c>
      <c r="J67" t="s">
        <v>26</v>
      </c>
      <c r="K67" t="s">
        <v>27</v>
      </c>
      <c r="L67" t="s">
        <v>42</v>
      </c>
      <c r="M67" t="s">
        <v>43</v>
      </c>
      <c r="N67">
        <v>90004</v>
      </c>
      <c r="O67" t="s">
        <v>44</v>
      </c>
      <c r="P67" t="s">
        <v>298</v>
      </c>
      <c r="Q67" t="s">
        <v>32</v>
      </c>
      <c r="R67" t="s">
        <v>65</v>
      </c>
      <c r="S67" t="s">
        <v>299</v>
      </c>
      <c r="T67" s="4">
        <v>79.760000000000005</v>
      </c>
      <c r="U67">
        <v>4</v>
      </c>
      <c r="V67">
        <v>0</v>
      </c>
      <c r="W67" s="4">
        <v>22.332799999999999</v>
      </c>
    </row>
    <row r="68" spans="1:23" x14ac:dyDescent="0.3">
      <c r="A68">
        <v>67</v>
      </c>
      <c r="B68" t="s">
        <v>300</v>
      </c>
      <c r="C68" s="3">
        <v>42890</v>
      </c>
      <c r="D68" s="7" t="str">
        <f t="shared" si="2"/>
        <v>June</v>
      </c>
      <c r="E68" s="3">
        <f t="shared" si="3"/>
        <v>42916</v>
      </c>
      <c r="F68" s="3">
        <v>42129</v>
      </c>
      <c r="G68" t="s">
        <v>50</v>
      </c>
      <c r="H68" t="s">
        <v>301</v>
      </c>
      <c r="I68" t="s">
        <v>302</v>
      </c>
      <c r="J68" t="s">
        <v>102</v>
      </c>
      <c r="K68" t="s">
        <v>27</v>
      </c>
      <c r="L68" t="s">
        <v>303</v>
      </c>
      <c r="M68" t="s">
        <v>211</v>
      </c>
      <c r="N68">
        <v>60610</v>
      </c>
      <c r="O68" t="s">
        <v>105</v>
      </c>
      <c r="P68" t="s">
        <v>304</v>
      </c>
      <c r="Q68" t="s">
        <v>32</v>
      </c>
      <c r="R68" t="s">
        <v>36</v>
      </c>
      <c r="S68" t="s">
        <v>305</v>
      </c>
      <c r="T68" s="4">
        <v>213.11500000000001</v>
      </c>
      <c r="U68">
        <v>5</v>
      </c>
      <c r="V68">
        <v>0.3</v>
      </c>
      <c r="W68" s="4">
        <v>-15.2225</v>
      </c>
    </row>
    <row r="69" spans="1:23" x14ac:dyDescent="0.3">
      <c r="A69">
        <v>68</v>
      </c>
      <c r="B69" t="s">
        <v>306</v>
      </c>
      <c r="C69" s="3">
        <v>41771</v>
      </c>
      <c r="D69" s="7" t="str">
        <f t="shared" si="2"/>
        <v>May</v>
      </c>
      <c r="E69" s="3">
        <f t="shared" si="3"/>
        <v>41790</v>
      </c>
      <c r="F69" s="3">
        <v>41924</v>
      </c>
      <c r="G69" t="s">
        <v>50</v>
      </c>
      <c r="H69" t="s">
        <v>307</v>
      </c>
      <c r="I69" t="s">
        <v>308</v>
      </c>
      <c r="J69" t="s">
        <v>41</v>
      </c>
      <c r="K69" t="s">
        <v>27</v>
      </c>
      <c r="L69" t="s">
        <v>309</v>
      </c>
      <c r="M69" t="s">
        <v>310</v>
      </c>
      <c r="N69">
        <v>85234</v>
      </c>
      <c r="O69" t="s">
        <v>44</v>
      </c>
      <c r="P69" t="s">
        <v>311</v>
      </c>
      <c r="Q69" t="s">
        <v>46</v>
      </c>
      <c r="R69" t="s">
        <v>68</v>
      </c>
      <c r="S69" t="s">
        <v>312</v>
      </c>
      <c r="T69" s="4">
        <v>1113.0239999999999</v>
      </c>
      <c r="U69">
        <v>8</v>
      </c>
      <c r="V69">
        <v>0.2</v>
      </c>
      <c r="W69" s="4">
        <v>111.30240000000001</v>
      </c>
    </row>
    <row r="70" spans="1:23" x14ac:dyDescent="0.3">
      <c r="A70">
        <v>69</v>
      </c>
      <c r="B70" t="s">
        <v>306</v>
      </c>
      <c r="C70" s="3">
        <v>41771</v>
      </c>
      <c r="D70" s="7" t="str">
        <f t="shared" si="2"/>
        <v>May</v>
      </c>
      <c r="E70" s="3">
        <f t="shared" si="3"/>
        <v>41790</v>
      </c>
      <c r="F70" s="3">
        <v>41924</v>
      </c>
      <c r="G70" t="s">
        <v>50</v>
      </c>
      <c r="H70" t="s">
        <v>307</v>
      </c>
      <c r="I70" t="s">
        <v>308</v>
      </c>
      <c r="J70" t="s">
        <v>41</v>
      </c>
      <c r="K70" t="s">
        <v>27</v>
      </c>
      <c r="L70" t="s">
        <v>309</v>
      </c>
      <c r="M70" t="s">
        <v>310</v>
      </c>
      <c r="N70">
        <v>85234</v>
      </c>
      <c r="O70" t="s">
        <v>44</v>
      </c>
      <c r="P70" t="s">
        <v>313</v>
      </c>
      <c r="Q70" t="s">
        <v>71</v>
      </c>
      <c r="R70" t="s">
        <v>72</v>
      </c>
      <c r="S70" t="s">
        <v>314</v>
      </c>
      <c r="T70" s="4">
        <v>167.96799999999999</v>
      </c>
      <c r="U70">
        <v>4</v>
      </c>
      <c r="V70">
        <v>0.2</v>
      </c>
      <c r="W70" s="4">
        <v>62.988</v>
      </c>
    </row>
    <row r="71" spans="1:23" x14ac:dyDescent="0.3">
      <c r="A71">
        <v>70</v>
      </c>
      <c r="B71" t="s">
        <v>315</v>
      </c>
      <c r="C71" s="3">
        <v>42466</v>
      </c>
      <c r="D71" s="7" t="str">
        <f t="shared" si="2"/>
        <v>April</v>
      </c>
      <c r="E71" s="3">
        <f t="shared" si="3"/>
        <v>42490</v>
      </c>
      <c r="F71" s="3">
        <v>42527</v>
      </c>
      <c r="G71" t="s">
        <v>188</v>
      </c>
      <c r="H71" t="s">
        <v>316</v>
      </c>
      <c r="I71" t="s">
        <v>317</v>
      </c>
      <c r="J71" t="s">
        <v>26</v>
      </c>
      <c r="K71" t="s">
        <v>27</v>
      </c>
      <c r="L71" t="s">
        <v>318</v>
      </c>
      <c r="M71" t="s">
        <v>319</v>
      </c>
      <c r="N71">
        <v>22153</v>
      </c>
      <c r="O71" t="s">
        <v>30</v>
      </c>
      <c r="P71" t="s">
        <v>320</v>
      </c>
      <c r="Q71" t="s">
        <v>46</v>
      </c>
      <c r="R71" t="s">
        <v>90</v>
      </c>
      <c r="S71" t="s">
        <v>321</v>
      </c>
      <c r="T71" s="4">
        <v>75.88</v>
      </c>
      <c r="U71">
        <v>2</v>
      </c>
      <c r="V71">
        <v>0</v>
      </c>
      <c r="W71" s="4">
        <v>35.663600000000002</v>
      </c>
    </row>
    <row r="72" spans="1:23" x14ac:dyDescent="0.3">
      <c r="A72">
        <v>71</v>
      </c>
      <c r="B72" t="s">
        <v>322</v>
      </c>
      <c r="C72" s="3">
        <v>42895</v>
      </c>
      <c r="D72" s="7" t="str">
        <f t="shared" si="2"/>
        <v>June</v>
      </c>
      <c r="E72" s="3">
        <f t="shared" si="3"/>
        <v>42916</v>
      </c>
      <c r="F72" s="3">
        <v>43048</v>
      </c>
      <c r="G72" t="s">
        <v>50</v>
      </c>
      <c r="H72" t="s">
        <v>323</v>
      </c>
      <c r="I72" t="s">
        <v>324</v>
      </c>
      <c r="J72" t="s">
        <v>26</v>
      </c>
      <c r="K72" t="s">
        <v>27</v>
      </c>
      <c r="L72" t="s">
        <v>266</v>
      </c>
      <c r="M72" t="s">
        <v>267</v>
      </c>
      <c r="N72">
        <v>10009</v>
      </c>
      <c r="O72" t="s">
        <v>148</v>
      </c>
      <c r="P72" t="s">
        <v>325</v>
      </c>
      <c r="Q72" t="s">
        <v>46</v>
      </c>
      <c r="R72" t="s">
        <v>75</v>
      </c>
      <c r="S72" t="s">
        <v>326</v>
      </c>
      <c r="T72" s="4">
        <v>4.6159999999999997</v>
      </c>
      <c r="U72">
        <v>1</v>
      </c>
      <c r="V72">
        <v>0.2</v>
      </c>
      <c r="W72" s="4">
        <v>1.7310000000000001</v>
      </c>
    </row>
    <row r="73" spans="1:23" x14ac:dyDescent="0.3">
      <c r="A73">
        <v>72</v>
      </c>
      <c r="B73" t="s">
        <v>327</v>
      </c>
      <c r="C73" s="3">
        <v>43140</v>
      </c>
      <c r="D73" s="7" t="str">
        <f t="shared" si="2"/>
        <v>February</v>
      </c>
      <c r="E73" s="3">
        <f t="shared" si="3"/>
        <v>43159</v>
      </c>
      <c r="F73" s="3">
        <v>43229</v>
      </c>
      <c r="G73" t="s">
        <v>23</v>
      </c>
      <c r="H73" t="s">
        <v>164</v>
      </c>
      <c r="I73" t="s">
        <v>165</v>
      </c>
      <c r="J73" t="s">
        <v>26</v>
      </c>
      <c r="K73" t="s">
        <v>27</v>
      </c>
      <c r="L73" t="s">
        <v>328</v>
      </c>
      <c r="M73" t="s">
        <v>238</v>
      </c>
      <c r="N73">
        <v>49201</v>
      </c>
      <c r="O73" t="s">
        <v>105</v>
      </c>
      <c r="P73" t="s">
        <v>329</v>
      </c>
      <c r="Q73" t="s">
        <v>46</v>
      </c>
      <c r="R73" t="s">
        <v>90</v>
      </c>
      <c r="S73" t="s">
        <v>330</v>
      </c>
      <c r="T73" s="4">
        <v>19.05</v>
      </c>
      <c r="U73">
        <v>3</v>
      </c>
      <c r="V73">
        <v>0</v>
      </c>
      <c r="W73" s="4">
        <v>8.7629999999999999</v>
      </c>
    </row>
    <row r="74" spans="1:23" x14ac:dyDescent="0.3">
      <c r="A74">
        <v>73</v>
      </c>
      <c r="B74" t="s">
        <v>331</v>
      </c>
      <c r="C74" s="3">
        <v>42770</v>
      </c>
      <c r="D74" s="7" t="str">
        <f t="shared" si="2"/>
        <v>February</v>
      </c>
      <c r="E74" s="3">
        <f t="shared" si="3"/>
        <v>42794</v>
      </c>
      <c r="F74" s="3">
        <v>42040</v>
      </c>
      <c r="G74" t="s">
        <v>50</v>
      </c>
      <c r="H74" t="s">
        <v>332</v>
      </c>
      <c r="I74" t="s">
        <v>333</v>
      </c>
      <c r="J74" t="s">
        <v>26</v>
      </c>
      <c r="K74" t="s">
        <v>27</v>
      </c>
      <c r="L74" t="s">
        <v>334</v>
      </c>
      <c r="M74" t="s">
        <v>335</v>
      </c>
      <c r="N74">
        <v>38109</v>
      </c>
      <c r="O74" t="s">
        <v>30</v>
      </c>
      <c r="P74" t="s">
        <v>336</v>
      </c>
      <c r="Q74" t="s">
        <v>32</v>
      </c>
      <c r="R74" t="s">
        <v>36</v>
      </c>
      <c r="S74" t="s">
        <v>337</v>
      </c>
      <c r="T74" s="4">
        <v>831.93600000000004</v>
      </c>
      <c r="U74">
        <v>8</v>
      </c>
      <c r="V74">
        <v>0.2</v>
      </c>
      <c r="W74" s="4">
        <v>-114.3912</v>
      </c>
    </row>
    <row r="75" spans="1:23" x14ac:dyDescent="0.3">
      <c r="A75">
        <v>74</v>
      </c>
      <c r="B75" t="s">
        <v>331</v>
      </c>
      <c r="C75" s="3">
        <v>42770</v>
      </c>
      <c r="D75" s="7" t="str">
        <f t="shared" si="2"/>
        <v>February</v>
      </c>
      <c r="E75" s="3">
        <f t="shared" si="3"/>
        <v>42794</v>
      </c>
      <c r="F75" s="3">
        <v>42040</v>
      </c>
      <c r="G75" t="s">
        <v>50</v>
      </c>
      <c r="H75" t="s">
        <v>332</v>
      </c>
      <c r="I75" t="s">
        <v>333</v>
      </c>
      <c r="J75" t="s">
        <v>26</v>
      </c>
      <c r="K75" t="s">
        <v>27</v>
      </c>
      <c r="L75" t="s">
        <v>334</v>
      </c>
      <c r="M75" t="s">
        <v>335</v>
      </c>
      <c r="N75">
        <v>38109</v>
      </c>
      <c r="O75" t="s">
        <v>30</v>
      </c>
      <c r="P75" t="s">
        <v>338</v>
      </c>
      <c r="Q75" t="s">
        <v>32</v>
      </c>
      <c r="R75" t="s">
        <v>65</v>
      </c>
      <c r="S75" t="s">
        <v>339</v>
      </c>
      <c r="T75" s="4">
        <v>97.04</v>
      </c>
      <c r="U75">
        <v>2</v>
      </c>
      <c r="V75">
        <v>0.2</v>
      </c>
      <c r="W75" s="4">
        <v>1.2130000000000001</v>
      </c>
    </row>
    <row r="76" spans="1:23" x14ac:dyDescent="0.3">
      <c r="A76">
        <v>75</v>
      </c>
      <c r="B76" t="s">
        <v>331</v>
      </c>
      <c r="C76" s="3">
        <v>42770</v>
      </c>
      <c r="D76" s="7" t="str">
        <f t="shared" si="2"/>
        <v>February</v>
      </c>
      <c r="E76" s="3">
        <f t="shared" si="3"/>
        <v>42794</v>
      </c>
      <c r="F76" s="3">
        <v>42040</v>
      </c>
      <c r="G76" t="s">
        <v>50</v>
      </c>
      <c r="H76" t="s">
        <v>332</v>
      </c>
      <c r="I76" t="s">
        <v>333</v>
      </c>
      <c r="J76" t="s">
        <v>26</v>
      </c>
      <c r="K76" t="s">
        <v>27</v>
      </c>
      <c r="L76" t="s">
        <v>334</v>
      </c>
      <c r="M76" t="s">
        <v>335</v>
      </c>
      <c r="N76">
        <v>38109</v>
      </c>
      <c r="O76" t="s">
        <v>30</v>
      </c>
      <c r="P76" t="s">
        <v>340</v>
      </c>
      <c r="Q76" t="s">
        <v>46</v>
      </c>
      <c r="R76" t="s">
        <v>59</v>
      </c>
      <c r="S76" t="s">
        <v>341</v>
      </c>
      <c r="T76" s="4">
        <v>72.784000000000006</v>
      </c>
      <c r="U76">
        <v>1</v>
      </c>
      <c r="V76">
        <v>0.2</v>
      </c>
      <c r="W76" s="4">
        <v>-18.196000000000002</v>
      </c>
    </row>
    <row r="77" spans="1:23" x14ac:dyDescent="0.3">
      <c r="A77">
        <v>76</v>
      </c>
      <c r="B77" t="s">
        <v>342</v>
      </c>
      <c r="C77" s="3">
        <v>42990</v>
      </c>
      <c r="D77" s="7" t="str">
        <f t="shared" si="2"/>
        <v>September</v>
      </c>
      <c r="E77" s="3">
        <f t="shared" si="3"/>
        <v>43008</v>
      </c>
      <c r="F77" s="3">
        <v>43051</v>
      </c>
      <c r="G77" t="s">
        <v>188</v>
      </c>
      <c r="H77" t="s">
        <v>343</v>
      </c>
      <c r="I77" t="s">
        <v>344</v>
      </c>
      <c r="J77" t="s">
        <v>41</v>
      </c>
      <c r="K77" t="s">
        <v>27</v>
      </c>
      <c r="L77" t="s">
        <v>184</v>
      </c>
      <c r="M77" t="s">
        <v>104</v>
      </c>
      <c r="N77">
        <v>77041</v>
      </c>
      <c r="O77" t="s">
        <v>105</v>
      </c>
      <c r="P77" t="s">
        <v>345</v>
      </c>
      <c r="Q77" t="s">
        <v>46</v>
      </c>
      <c r="R77" t="s">
        <v>75</v>
      </c>
      <c r="S77" t="s">
        <v>346</v>
      </c>
      <c r="T77" s="4">
        <v>1.248</v>
      </c>
      <c r="U77">
        <v>3</v>
      </c>
      <c r="V77">
        <v>0.8</v>
      </c>
      <c r="W77" s="4">
        <v>-1.9343999999999999</v>
      </c>
    </row>
    <row r="78" spans="1:23" x14ac:dyDescent="0.3">
      <c r="A78">
        <v>77</v>
      </c>
      <c r="B78" t="s">
        <v>342</v>
      </c>
      <c r="C78" s="3">
        <v>42990</v>
      </c>
      <c r="D78" s="7" t="str">
        <f t="shared" si="2"/>
        <v>September</v>
      </c>
      <c r="E78" s="3">
        <f t="shared" si="3"/>
        <v>43008</v>
      </c>
      <c r="F78" s="3">
        <v>43051</v>
      </c>
      <c r="G78" t="s">
        <v>188</v>
      </c>
      <c r="H78" t="s">
        <v>343</v>
      </c>
      <c r="I78" t="s">
        <v>344</v>
      </c>
      <c r="J78" t="s">
        <v>41</v>
      </c>
      <c r="K78" t="s">
        <v>27</v>
      </c>
      <c r="L78" t="s">
        <v>184</v>
      </c>
      <c r="M78" t="s">
        <v>104</v>
      </c>
      <c r="N78">
        <v>77041</v>
      </c>
      <c r="O78" t="s">
        <v>105</v>
      </c>
      <c r="P78" t="s">
        <v>347</v>
      </c>
      <c r="Q78" t="s">
        <v>32</v>
      </c>
      <c r="R78" t="s">
        <v>65</v>
      </c>
      <c r="S78" t="s">
        <v>348</v>
      </c>
      <c r="T78" s="4">
        <v>9.7080000000000002</v>
      </c>
      <c r="U78">
        <v>3</v>
      </c>
      <c r="V78">
        <v>0.6</v>
      </c>
      <c r="W78" s="4">
        <v>-5.8247999999999998</v>
      </c>
    </row>
    <row r="79" spans="1:23" x14ac:dyDescent="0.3">
      <c r="A79">
        <v>78</v>
      </c>
      <c r="B79" t="s">
        <v>342</v>
      </c>
      <c r="C79" s="3">
        <v>42990</v>
      </c>
      <c r="D79" s="7" t="str">
        <f t="shared" si="2"/>
        <v>September</v>
      </c>
      <c r="E79" s="3">
        <f t="shared" si="3"/>
        <v>43008</v>
      </c>
      <c r="F79" s="3">
        <v>43051</v>
      </c>
      <c r="G79" t="s">
        <v>188</v>
      </c>
      <c r="H79" t="s">
        <v>343</v>
      </c>
      <c r="I79" t="s">
        <v>344</v>
      </c>
      <c r="J79" t="s">
        <v>41</v>
      </c>
      <c r="K79" t="s">
        <v>27</v>
      </c>
      <c r="L79" t="s">
        <v>184</v>
      </c>
      <c r="M79" t="s">
        <v>104</v>
      </c>
      <c r="N79">
        <v>77041</v>
      </c>
      <c r="O79" t="s">
        <v>105</v>
      </c>
      <c r="P79" t="s">
        <v>349</v>
      </c>
      <c r="Q79" t="s">
        <v>46</v>
      </c>
      <c r="R79" t="s">
        <v>59</v>
      </c>
      <c r="S79" t="s">
        <v>350</v>
      </c>
      <c r="T79" s="4">
        <v>27.24</v>
      </c>
      <c r="U79">
        <v>3</v>
      </c>
      <c r="V79">
        <v>0.2</v>
      </c>
      <c r="W79" s="4">
        <v>2.7240000000000002</v>
      </c>
    </row>
    <row r="80" spans="1:23" x14ac:dyDescent="0.3">
      <c r="A80">
        <v>79</v>
      </c>
      <c r="B80" t="s">
        <v>351</v>
      </c>
      <c r="C80" s="3">
        <v>42411</v>
      </c>
      <c r="D80" s="7" t="str">
        <f t="shared" si="2"/>
        <v>February</v>
      </c>
      <c r="E80" s="3">
        <f t="shared" si="3"/>
        <v>42429</v>
      </c>
      <c r="F80" s="3">
        <v>41651</v>
      </c>
      <c r="G80" t="s">
        <v>23</v>
      </c>
      <c r="H80" t="s">
        <v>332</v>
      </c>
      <c r="I80" t="s">
        <v>333</v>
      </c>
      <c r="J80" t="s">
        <v>26</v>
      </c>
      <c r="K80" t="s">
        <v>27</v>
      </c>
      <c r="L80" t="s">
        <v>184</v>
      </c>
      <c r="M80" t="s">
        <v>104</v>
      </c>
      <c r="N80">
        <v>77070</v>
      </c>
      <c r="O80" t="s">
        <v>105</v>
      </c>
      <c r="P80" t="s">
        <v>352</v>
      </c>
      <c r="Q80" t="s">
        <v>32</v>
      </c>
      <c r="R80" t="s">
        <v>65</v>
      </c>
      <c r="S80" t="s">
        <v>353</v>
      </c>
      <c r="T80" s="4">
        <v>19.3</v>
      </c>
      <c r="U80">
        <v>5</v>
      </c>
      <c r="V80">
        <v>0.6</v>
      </c>
      <c r="W80" s="4">
        <v>-14.475</v>
      </c>
    </row>
    <row r="81" spans="1:23" x14ac:dyDescent="0.3">
      <c r="A81">
        <v>80</v>
      </c>
      <c r="B81" t="s">
        <v>354</v>
      </c>
      <c r="C81" s="3">
        <v>42710</v>
      </c>
      <c r="D81" s="7" t="str">
        <f t="shared" si="2"/>
        <v>December</v>
      </c>
      <c r="E81" s="3">
        <f t="shared" si="3"/>
        <v>42735</v>
      </c>
      <c r="F81" s="3">
        <v>42800</v>
      </c>
      <c r="G81" t="s">
        <v>188</v>
      </c>
      <c r="H81" t="s">
        <v>355</v>
      </c>
      <c r="I81" t="s">
        <v>356</v>
      </c>
      <c r="J81" t="s">
        <v>41</v>
      </c>
      <c r="K81" t="s">
        <v>27</v>
      </c>
      <c r="L81" t="s">
        <v>357</v>
      </c>
      <c r="M81" t="s">
        <v>358</v>
      </c>
      <c r="N81">
        <v>35601</v>
      </c>
      <c r="O81" t="s">
        <v>30</v>
      </c>
      <c r="P81" t="s">
        <v>359</v>
      </c>
      <c r="Q81" t="s">
        <v>46</v>
      </c>
      <c r="R81" t="s">
        <v>78</v>
      </c>
      <c r="S81" t="s">
        <v>360</v>
      </c>
      <c r="T81" s="4">
        <v>208.16</v>
      </c>
      <c r="U81">
        <v>1</v>
      </c>
      <c r="V81">
        <v>0</v>
      </c>
      <c r="W81" s="4">
        <v>56.203200000000002</v>
      </c>
    </row>
    <row r="82" spans="1:23" x14ac:dyDescent="0.3">
      <c r="A82">
        <v>81</v>
      </c>
      <c r="B82" t="s">
        <v>354</v>
      </c>
      <c r="C82" s="3">
        <v>42710</v>
      </c>
      <c r="D82" s="7" t="str">
        <f t="shared" si="2"/>
        <v>December</v>
      </c>
      <c r="E82" s="3">
        <f t="shared" si="3"/>
        <v>42735</v>
      </c>
      <c r="F82" s="3">
        <v>42800</v>
      </c>
      <c r="G82" t="s">
        <v>188</v>
      </c>
      <c r="H82" t="s">
        <v>355</v>
      </c>
      <c r="I82" t="s">
        <v>356</v>
      </c>
      <c r="J82" t="s">
        <v>41</v>
      </c>
      <c r="K82" t="s">
        <v>27</v>
      </c>
      <c r="L82" t="s">
        <v>357</v>
      </c>
      <c r="M82" t="s">
        <v>358</v>
      </c>
      <c r="N82">
        <v>35601</v>
      </c>
      <c r="O82" t="s">
        <v>30</v>
      </c>
      <c r="P82" t="s">
        <v>361</v>
      </c>
      <c r="Q82" t="s">
        <v>46</v>
      </c>
      <c r="R82" t="s">
        <v>75</v>
      </c>
      <c r="S82" t="s">
        <v>362</v>
      </c>
      <c r="T82" s="4">
        <v>16.739999999999998</v>
      </c>
      <c r="U82">
        <v>3</v>
      </c>
      <c r="V82">
        <v>0</v>
      </c>
      <c r="W82" s="4">
        <v>8.0351999999999997</v>
      </c>
    </row>
    <row r="83" spans="1:23" x14ac:dyDescent="0.3">
      <c r="A83">
        <v>82</v>
      </c>
      <c r="B83" t="s">
        <v>363</v>
      </c>
      <c r="C83" s="3">
        <v>41983</v>
      </c>
      <c r="D83" s="7" t="str">
        <f t="shared" si="2"/>
        <v>December</v>
      </c>
      <c r="E83" s="3">
        <f t="shared" si="3"/>
        <v>42004</v>
      </c>
      <c r="F83" s="3">
        <v>42104</v>
      </c>
      <c r="G83" t="s">
        <v>50</v>
      </c>
      <c r="H83" t="s">
        <v>364</v>
      </c>
      <c r="I83" t="s">
        <v>365</v>
      </c>
      <c r="J83" t="s">
        <v>26</v>
      </c>
      <c r="K83" t="s">
        <v>27</v>
      </c>
      <c r="L83" t="s">
        <v>127</v>
      </c>
      <c r="M83" t="s">
        <v>43</v>
      </c>
      <c r="N83">
        <v>94122</v>
      </c>
      <c r="O83" t="s">
        <v>44</v>
      </c>
      <c r="P83" t="s">
        <v>366</v>
      </c>
      <c r="Q83" t="s">
        <v>46</v>
      </c>
      <c r="R83" t="s">
        <v>68</v>
      </c>
      <c r="S83" t="s">
        <v>367</v>
      </c>
      <c r="T83" s="4">
        <v>14.9</v>
      </c>
      <c r="U83">
        <v>5</v>
      </c>
      <c r="V83">
        <v>0</v>
      </c>
      <c r="W83" s="4">
        <v>4.1719999999999997</v>
      </c>
    </row>
    <row r="84" spans="1:23" x14ac:dyDescent="0.3">
      <c r="A84">
        <v>83</v>
      </c>
      <c r="B84" t="s">
        <v>363</v>
      </c>
      <c r="C84" s="3">
        <v>41983</v>
      </c>
      <c r="D84" s="7" t="str">
        <f t="shared" si="2"/>
        <v>December</v>
      </c>
      <c r="E84" s="3">
        <f t="shared" si="3"/>
        <v>42004</v>
      </c>
      <c r="F84" s="3">
        <v>42104</v>
      </c>
      <c r="G84" t="s">
        <v>50</v>
      </c>
      <c r="H84" t="s">
        <v>364</v>
      </c>
      <c r="I84" t="s">
        <v>365</v>
      </c>
      <c r="J84" t="s">
        <v>26</v>
      </c>
      <c r="K84" t="s">
        <v>27</v>
      </c>
      <c r="L84" t="s">
        <v>127</v>
      </c>
      <c r="M84" t="s">
        <v>43</v>
      </c>
      <c r="N84">
        <v>94122</v>
      </c>
      <c r="O84" t="s">
        <v>44</v>
      </c>
      <c r="P84" t="s">
        <v>368</v>
      </c>
      <c r="Q84" t="s">
        <v>46</v>
      </c>
      <c r="R84" t="s">
        <v>59</v>
      </c>
      <c r="S84" t="s">
        <v>369</v>
      </c>
      <c r="T84" s="4">
        <v>21.39</v>
      </c>
      <c r="U84">
        <v>1</v>
      </c>
      <c r="V84">
        <v>0</v>
      </c>
      <c r="W84" s="4">
        <v>6.2031000000000001</v>
      </c>
    </row>
    <row r="85" spans="1:23" x14ac:dyDescent="0.3">
      <c r="A85">
        <v>84</v>
      </c>
      <c r="B85" t="s">
        <v>370</v>
      </c>
      <c r="C85" s="3">
        <v>42072</v>
      </c>
      <c r="D85" s="7" t="str">
        <f t="shared" si="2"/>
        <v>March</v>
      </c>
      <c r="E85" s="3">
        <f t="shared" si="3"/>
        <v>42094</v>
      </c>
      <c r="F85" s="3">
        <v>42225</v>
      </c>
      <c r="G85" t="s">
        <v>50</v>
      </c>
      <c r="H85" t="s">
        <v>371</v>
      </c>
      <c r="I85" t="s">
        <v>372</v>
      </c>
      <c r="J85" t="s">
        <v>41</v>
      </c>
      <c r="K85" t="s">
        <v>27</v>
      </c>
      <c r="L85" t="s">
        <v>373</v>
      </c>
      <c r="M85" t="s">
        <v>88</v>
      </c>
      <c r="N85">
        <v>27707</v>
      </c>
      <c r="O85" t="s">
        <v>30</v>
      </c>
      <c r="P85" t="s">
        <v>374</v>
      </c>
      <c r="Q85" t="s">
        <v>46</v>
      </c>
      <c r="R85" t="s">
        <v>173</v>
      </c>
      <c r="S85" t="s">
        <v>375</v>
      </c>
      <c r="T85" s="4">
        <v>200.98400000000001</v>
      </c>
      <c r="U85">
        <v>7</v>
      </c>
      <c r="V85">
        <v>0.2</v>
      </c>
      <c r="W85" s="4">
        <v>62.807499999999997</v>
      </c>
    </row>
    <row r="86" spans="1:23" x14ac:dyDescent="0.3">
      <c r="A86">
        <v>85</v>
      </c>
      <c r="B86" t="s">
        <v>376</v>
      </c>
      <c r="C86" s="3">
        <v>43111</v>
      </c>
      <c r="D86" s="7" t="str">
        <f t="shared" si="2"/>
        <v>January</v>
      </c>
      <c r="E86" s="3">
        <f t="shared" si="3"/>
        <v>43131</v>
      </c>
      <c r="F86" s="3">
        <v>43201</v>
      </c>
      <c r="G86" t="s">
        <v>188</v>
      </c>
      <c r="H86" t="s">
        <v>377</v>
      </c>
      <c r="I86" t="s">
        <v>378</v>
      </c>
      <c r="J86" t="s">
        <v>102</v>
      </c>
      <c r="K86" t="s">
        <v>27</v>
      </c>
      <c r="L86" t="s">
        <v>303</v>
      </c>
      <c r="M86" t="s">
        <v>211</v>
      </c>
      <c r="N86">
        <v>60623</v>
      </c>
      <c r="O86" t="s">
        <v>105</v>
      </c>
      <c r="P86" t="s">
        <v>379</v>
      </c>
      <c r="Q86" t="s">
        <v>46</v>
      </c>
      <c r="R86" t="s">
        <v>59</v>
      </c>
      <c r="S86" t="s">
        <v>380</v>
      </c>
      <c r="T86" s="4">
        <v>230.376</v>
      </c>
      <c r="U86">
        <v>3</v>
      </c>
      <c r="V86">
        <v>0.2</v>
      </c>
      <c r="W86" s="4">
        <v>-48.954900000000002</v>
      </c>
    </row>
    <row r="87" spans="1:23" x14ac:dyDescent="0.3">
      <c r="A87">
        <v>86</v>
      </c>
      <c r="B87" t="s">
        <v>381</v>
      </c>
      <c r="C87" s="3">
        <v>43560</v>
      </c>
      <c r="D87" s="7" t="str">
        <f t="shared" si="2"/>
        <v>April</v>
      </c>
      <c r="E87" s="3">
        <f t="shared" si="3"/>
        <v>43585</v>
      </c>
      <c r="F87" s="3">
        <v>43621</v>
      </c>
      <c r="G87" t="s">
        <v>23</v>
      </c>
      <c r="H87" t="s">
        <v>235</v>
      </c>
      <c r="I87" t="s">
        <v>236</v>
      </c>
      <c r="J87" t="s">
        <v>26</v>
      </c>
      <c r="K87" t="s">
        <v>27</v>
      </c>
      <c r="L87" t="s">
        <v>382</v>
      </c>
      <c r="M87" t="s">
        <v>383</v>
      </c>
      <c r="N87">
        <v>29203</v>
      </c>
      <c r="O87" t="s">
        <v>30</v>
      </c>
      <c r="P87" t="s">
        <v>384</v>
      </c>
      <c r="Q87" t="s">
        <v>32</v>
      </c>
      <c r="R87" t="s">
        <v>36</v>
      </c>
      <c r="S87" t="s">
        <v>385</v>
      </c>
      <c r="T87" s="4">
        <v>301.95999999999998</v>
      </c>
      <c r="U87">
        <v>2</v>
      </c>
      <c r="V87">
        <v>0</v>
      </c>
      <c r="W87" s="4">
        <v>33.215600000000002</v>
      </c>
    </row>
    <row r="88" spans="1:23" x14ac:dyDescent="0.3">
      <c r="A88">
        <v>87</v>
      </c>
      <c r="B88" t="s">
        <v>386</v>
      </c>
      <c r="C88" s="3">
        <v>43506</v>
      </c>
      <c r="D88" s="7" t="str">
        <f t="shared" si="2"/>
        <v>February</v>
      </c>
      <c r="E88" s="3">
        <f t="shared" si="3"/>
        <v>43524</v>
      </c>
      <c r="F88" s="3">
        <v>42777</v>
      </c>
      <c r="G88" t="s">
        <v>50</v>
      </c>
      <c r="H88" t="s">
        <v>387</v>
      </c>
      <c r="I88" t="s">
        <v>388</v>
      </c>
      <c r="J88" t="s">
        <v>26</v>
      </c>
      <c r="K88" t="s">
        <v>27</v>
      </c>
      <c r="L88" t="s">
        <v>389</v>
      </c>
      <c r="M88" t="s">
        <v>229</v>
      </c>
      <c r="N88">
        <v>55901</v>
      </c>
      <c r="O88" t="s">
        <v>105</v>
      </c>
      <c r="P88" t="s">
        <v>390</v>
      </c>
      <c r="Q88" t="s">
        <v>71</v>
      </c>
      <c r="R88" t="s">
        <v>161</v>
      </c>
      <c r="S88" t="s">
        <v>391</v>
      </c>
      <c r="T88" s="4">
        <v>19.989999999999998</v>
      </c>
      <c r="U88">
        <v>1</v>
      </c>
      <c r="V88">
        <v>0</v>
      </c>
      <c r="W88" s="4">
        <v>6.7965999999999998</v>
      </c>
    </row>
    <row r="89" spans="1:23" x14ac:dyDescent="0.3">
      <c r="A89">
        <v>88</v>
      </c>
      <c r="B89" t="s">
        <v>386</v>
      </c>
      <c r="C89" s="3">
        <v>43506</v>
      </c>
      <c r="D89" s="7" t="str">
        <f t="shared" si="2"/>
        <v>February</v>
      </c>
      <c r="E89" s="3">
        <f t="shared" si="3"/>
        <v>43524</v>
      </c>
      <c r="F89" s="3">
        <v>42777</v>
      </c>
      <c r="G89" t="s">
        <v>50</v>
      </c>
      <c r="H89" t="s">
        <v>387</v>
      </c>
      <c r="I89" t="s">
        <v>388</v>
      </c>
      <c r="J89" t="s">
        <v>26</v>
      </c>
      <c r="K89" t="s">
        <v>27</v>
      </c>
      <c r="L89" t="s">
        <v>389</v>
      </c>
      <c r="M89" t="s">
        <v>229</v>
      </c>
      <c r="N89">
        <v>55901</v>
      </c>
      <c r="O89" t="s">
        <v>105</v>
      </c>
      <c r="P89" t="s">
        <v>392</v>
      </c>
      <c r="Q89" t="s">
        <v>46</v>
      </c>
      <c r="R89" t="s">
        <v>47</v>
      </c>
      <c r="S89" t="s">
        <v>393</v>
      </c>
      <c r="T89" s="4">
        <v>6.16</v>
      </c>
      <c r="U89">
        <v>2</v>
      </c>
      <c r="V89">
        <v>0</v>
      </c>
      <c r="W89" s="4">
        <v>2.9567999999999999</v>
      </c>
    </row>
    <row r="90" spans="1:23" x14ac:dyDescent="0.3">
      <c r="A90">
        <v>89</v>
      </c>
      <c r="B90" t="s">
        <v>394</v>
      </c>
      <c r="C90" s="3">
        <v>42494</v>
      </c>
      <c r="D90" s="7" t="str">
        <f t="shared" si="2"/>
        <v>May</v>
      </c>
      <c r="E90" s="3">
        <f t="shared" si="3"/>
        <v>42521</v>
      </c>
      <c r="F90" s="3">
        <v>42647</v>
      </c>
      <c r="G90" t="s">
        <v>23</v>
      </c>
      <c r="H90" t="s">
        <v>395</v>
      </c>
      <c r="I90" t="s">
        <v>396</v>
      </c>
      <c r="J90" t="s">
        <v>102</v>
      </c>
      <c r="K90" t="s">
        <v>27</v>
      </c>
      <c r="L90" t="s">
        <v>184</v>
      </c>
      <c r="M90" t="s">
        <v>104</v>
      </c>
      <c r="N90">
        <v>77095</v>
      </c>
      <c r="O90" t="s">
        <v>105</v>
      </c>
      <c r="P90" t="s">
        <v>397</v>
      </c>
      <c r="Q90" t="s">
        <v>46</v>
      </c>
      <c r="R90" t="s">
        <v>59</v>
      </c>
      <c r="S90" t="s">
        <v>398</v>
      </c>
      <c r="T90" s="4">
        <v>158.36799999999999</v>
      </c>
      <c r="U90">
        <v>7</v>
      </c>
      <c r="V90">
        <v>0.2</v>
      </c>
      <c r="W90" s="4">
        <v>13.857200000000001</v>
      </c>
    </row>
    <row r="91" spans="1:23" x14ac:dyDescent="0.3">
      <c r="A91">
        <v>90</v>
      </c>
      <c r="B91" t="s">
        <v>399</v>
      </c>
      <c r="C91" s="3">
        <v>42864</v>
      </c>
      <c r="D91" s="7" t="str">
        <f t="shared" si="2"/>
        <v>May</v>
      </c>
      <c r="E91" s="3">
        <f t="shared" si="3"/>
        <v>42886</v>
      </c>
      <c r="F91" s="3">
        <v>43017</v>
      </c>
      <c r="G91" t="s">
        <v>50</v>
      </c>
      <c r="H91" t="s">
        <v>400</v>
      </c>
      <c r="I91" t="s">
        <v>401</v>
      </c>
      <c r="J91" t="s">
        <v>41</v>
      </c>
      <c r="K91" t="s">
        <v>27</v>
      </c>
      <c r="L91" t="s">
        <v>42</v>
      </c>
      <c r="M91" t="s">
        <v>43</v>
      </c>
      <c r="N91">
        <v>90036</v>
      </c>
      <c r="O91" t="s">
        <v>44</v>
      </c>
      <c r="P91" t="s">
        <v>402</v>
      </c>
      <c r="Q91" t="s">
        <v>46</v>
      </c>
      <c r="R91" t="s">
        <v>68</v>
      </c>
      <c r="S91" t="s">
        <v>403</v>
      </c>
      <c r="T91" s="4">
        <v>20.100000000000001</v>
      </c>
      <c r="U91">
        <v>3</v>
      </c>
      <c r="V91">
        <v>0</v>
      </c>
      <c r="W91" s="4">
        <v>6.633</v>
      </c>
    </row>
    <row r="92" spans="1:23" x14ac:dyDescent="0.3">
      <c r="A92">
        <v>91</v>
      </c>
      <c r="B92" t="s">
        <v>399</v>
      </c>
      <c r="C92" s="3">
        <v>42864</v>
      </c>
      <c r="D92" s="7" t="str">
        <f t="shared" si="2"/>
        <v>May</v>
      </c>
      <c r="E92" s="3">
        <f t="shared" si="3"/>
        <v>42886</v>
      </c>
      <c r="F92" s="3">
        <v>43017</v>
      </c>
      <c r="G92" t="s">
        <v>50</v>
      </c>
      <c r="H92" t="s">
        <v>400</v>
      </c>
      <c r="I92" t="s">
        <v>401</v>
      </c>
      <c r="J92" t="s">
        <v>41</v>
      </c>
      <c r="K92" t="s">
        <v>27</v>
      </c>
      <c r="L92" t="s">
        <v>42</v>
      </c>
      <c r="M92" t="s">
        <v>43</v>
      </c>
      <c r="N92">
        <v>90036</v>
      </c>
      <c r="O92" t="s">
        <v>44</v>
      </c>
      <c r="P92" t="s">
        <v>212</v>
      </c>
      <c r="Q92" t="s">
        <v>71</v>
      </c>
      <c r="R92" t="s">
        <v>72</v>
      </c>
      <c r="S92" t="s">
        <v>213</v>
      </c>
      <c r="T92" s="4">
        <v>73.584000000000003</v>
      </c>
      <c r="U92">
        <v>2</v>
      </c>
      <c r="V92">
        <v>0.2</v>
      </c>
      <c r="W92" s="4">
        <v>8.2782</v>
      </c>
    </row>
    <row r="93" spans="1:23" x14ac:dyDescent="0.3">
      <c r="A93">
        <v>92</v>
      </c>
      <c r="B93" t="s">
        <v>399</v>
      </c>
      <c r="C93" s="3">
        <v>42864</v>
      </c>
      <c r="D93" s="7" t="str">
        <f t="shared" si="2"/>
        <v>May</v>
      </c>
      <c r="E93" s="3">
        <f t="shared" si="3"/>
        <v>42886</v>
      </c>
      <c r="F93" s="3">
        <v>43017</v>
      </c>
      <c r="G93" t="s">
        <v>50</v>
      </c>
      <c r="H93" t="s">
        <v>400</v>
      </c>
      <c r="I93" t="s">
        <v>401</v>
      </c>
      <c r="J93" t="s">
        <v>41</v>
      </c>
      <c r="K93" t="s">
        <v>27</v>
      </c>
      <c r="L93" t="s">
        <v>42</v>
      </c>
      <c r="M93" t="s">
        <v>43</v>
      </c>
      <c r="N93">
        <v>90036</v>
      </c>
      <c r="O93" t="s">
        <v>44</v>
      </c>
      <c r="P93" t="s">
        <v>404</v>
      </c>
      <c r="Q93" t="s">
        <v>46</v>
      </c>
      <c r="R93" t="s">
        <v>90</v>
      </c>
      <c r="S93" t="s">
        <v>405</v>
      </c>
      <c r="T93" s="4">
        <v>6.48</v>
      </c>
      <c r="U93">
        <v>1</v>
      </c>
      <c r="V93">
        <v>0</v>
      </c>
      <c r="W93" s="4">
        <v>3.1103999999999998</v>
      </c>
    </row>
    <row r="94" spans="1:23" x14ac:dyDescent="0.3">
      <c r="A94">
        <v>93</v>
      </c>
      <c r="B94" t="s">
        <v>406</v>
      </c>
      <c r="C94" s="3">
        <v>42917</v>
      </c>
      <c r="D94" s="7" t="str">
        <f t="shared" si="2"/>
        <v>July</v>
      </c>
      <c r="E94" s="3">
        <f t="shared" si="3"/>
        <v>42947</v>
      </c>
      <c r="F94" s="3">
        <v>42126</v>
      </c>
      <c r="G94" t="s">
        <v>23</v>
      </c>
      <c r="H94" t="s">
        <v>407</v>
      </c>
      <c r="I94" t="s">
        <v>408</v>
      </c>
      <c r="J94" t="s">
        <v>26</v>
      </c>
      <c r="K94" t="s">
        <v>27</v>
      </c>
      <c r="L94" t="s">
        <v>409</v>
      </c>
      <c r="M94" t="s">
        <v>229</v>
      </c>
      <c r="N94">
        <v>55407</v>
      </c>
      <c r="O94" t="s">
        <v>105</v>
      </c>
      <c r="P94" t="s">
        <v>410</v>
      </c>
      <c r="Q94" t="s">
        <v>46</v>
      </c>
      <c r="R94" t="s">
        <v>90</v>
      </c>
      <c r="S94" t="s">
        <v>411</v>
      </c>
      <c r="T94" s="4">
        <v>12.96</v>
      </c>
      <c r="U94">
        <v>2</v>
      </c>
      <c r="V94">
        <v>0</v>
      </c>
      <c r="W94" s="4">
        <v>6.2207999999999997</v>
      </c>
    </row>
    <row r="95" spans="1:23" x14ac:dyDescent="0.3">
      <c r="A95">
        <v>94</v>
      </c>
      <c r="B95" t="s">
        <v>406</v>
      </c>
      <c r="C95" s="3">
        <v>42917</v>
      </c>
      <c r="D95" s="7" t="str">
        <f t="shared" si="2"/>
        <v>July</v>
      </c>
      <c r="E95" s="3">
        <f t="shared" si="3"/>
        <v>42947</v>
      </c>
      <c r="F95" s="3">
        <v>42126</v>
      </c>
      <c r="G95" t="s">
        <v>23</v>
      </c>
      <c r="H95" t="s">
        <v>407</v>
      </c>
      <c r="I95" t="s">
        <v>408</v>
      </c>
      <c r="J95" t="s">
        <v>26</v>
      </c>
      <c r="K95" t="s">
        <v>27</v>
      </c>
      <c r="L95" t="s">
        <v>409</v>
      </c>
      <c r="M95" t="s">
        <v>229</v>
      </c>
      <c r="N95">
        <v>55407</v>
      </c>
      <c r="O95" t="s">
        <v>105</v>
      </c>
      <c r="P95" t="s">
        <v>412</v>
      </c>
      <c r="Q95" t="s">
        <v>32</v>
      </c>
      <c r="R95" t="s">
        <v>65</v>
      </c>
      <c r="S95" t="s">
        <v>413</v>
      </c>
      <c r="T95" s="4">
        <v>53.34</v>
      </c>
      <c r="U95">
        <v>3</v>
      </c>
      <c r="V95">
        <v>0</v>
      </c>
      <c r="W95" s="4">
        <v>16.535399999999999</v>
      </c>
    </row>
    <row r="96" spans="1:23" x14ac:dyDescent="0.3">
      <c r="A96">
        <v>95</v>
      </c>
      <c r="B96" t="s">
        <v>406</v>
      </c>
      <c r="C96" s="3">
        <v>42917</v>
      </c>
      <c r="D96" s="7" t="str">
        <f t="shared" si="2"/>
        <v>July</v>
      </c>
      <c r="E96" s="3">
        <f t="shared" si="3"/>
        <v>42947</v>
      </c>
      <c r="F96" s="3">
        <v>42126</v>
      </c>
      <c r="G96" t="s">
        <v>23</v>
      </c>
      <c r="H96" t="s">
        <v>407</v>
      </c>
      <c r="I96" t="s">
        <v>408</v>
      </c>
      <c r="J96" t="s">
        <v>26</v>
      </c>
      <c r="K96" t="s">
        <v>27</v>
      </c>
      <c r="L96" t="s">
        <v>409</v>
      </c>
      <c r="M96" t="s">
        <v>229</v>
      </c>
      <c r="N96">
        <v>55407</v>
      </c>
      <c r="O96" t="s">
        <v>105</v>
      </c>
      <c r="P96" t="s">
        <v>414</v>
      </c>
      <c r="Q96" t="s">
        <v>46</v>
      </c>
      <c r="R96" t="s">
        <v>75</v>
      </c>
      <c r="S96" t="s">
        <v>415</v>
      </c>
      <c r="T96" s="4">
        <v>32.96</v>
      </c>
      <c r="U96">
        <v>2</v>
      </c>
      <c r="V96">
        <v>0</v>
      </c>
      <c r="W96" s="4">
        <v>16.150400000000001</v>
      </c>
    </row>
    <row r="97" spans="1:23" x14ac:dyDescent="0.3">
      <c r="A97">
        <v>96</v>
      </c>
      <c r="B97" t="s">
        <v>416</v>
      </c>
      <c r="C97" s="3">
        <v>42897</v>
      </c>
      <c r="D97" s="7" t="str">
        <f t="shared" si="2"/>
        <v>June</v>
      </c>
      <c r="E97" s="3">
        <f t="shared" si="3"/>
        <v>42916</v>
      </c>
      <c r="F97" s="3">
        <v>43080</v>
      </c>
      <c r="G97" t="s">
        <v>50</v>
      </c>
      <c r="H97" t="s">
        <v>417</v>
      </c>
      <c r="I97" t="s">
        <v>418</v>
      </c>
      <c r="J97" t="s">
        <v>102</v>
      </c>
      <c r="K97" t="s">
        <v>27</v>
      </c>
      <c r="L97" t="s">
        <v>419</v>
      </c>
      <c r="M97" t="s">
        <v>420</v>
      </c>
      <c r="N97">
        <v>97206</v>
      </c>
      <c r="O97" t="s">
        <v>44</v>
      </c>
      <c r="P97" t="s">
        <v>421</v>
      </c>
      <c r="Q97" t="s">
        <v>46</v>
      </c>
      <c r="R97" t="s">
        <v>75</v>
      </c>
      <c r="S97" t="s">
        <v>422</v>
      </c>
      <c r="T97" s="4">
        <v>5.6820000000000004</v>
      </c>
      <c r="U97">
        <v>1</v>
      </c>
      <c r="V97">
        <v>0.7</v>
      </c>
      <c r="W97" s="4">
        <v>-3.7879999999999998</v>
      </c>
    </row>
    <row r="98" spans="1:23" x14ac:dyDescent="0.3">
      <c r="A98">
        <v>97</v>
      </c>
      <c r="B98" t="s">
        <v>423</v>
      </c>
      <c r="C98" s="3">
        <v>42989</v>
      </c>
      <c r="D98" s="7" t="str">
        <f t="shared" si="2"/>
        <v>September</v>
      </c>
      <c r="E98" s="3">
        <f t="shared" si="3"/>
        <v>43008</v>
      </c>
      <c r="F98" s="3">
        <v>43050</v>
      </c>
      <c r="G98" t="s">
        <v>23</v>
      </c>
      <c r="H98" t="s">
        <v>424</v>
      </c>
      <c r="I98" t="s">
        <v>425</v>
      </c>
      <c r="J98" t="s">
        <v>102</v>
      </c>
      <c r="K98" t="s">
        <v>27</v>
      </c>
      <c r="L98" t="s">
        <v>266</v>
      </c>
      <c r="M98" t="s">
        <v>267</v>
      </c>
      <c r="N98">
        <v>10009</v>
      </c>
      <c r="O98" t="s">
        <v>148</v>
      </c>
      <c r="P98" t="s">
        <v>426</v>
      </c>
      <c r="Q98" t="s">
        <v>32</v>
      </c>
      <c r="R98" t="s">
        <v>65</v>
      </c>
      <c r="S98" t="s">
        <v>427</v>
      </c>
      <c r="T98" s="4">
        <v>96.53</v>
      </c>
      <c r="U98">
        <v>7</v>
      </c>
      <c r="V98">
        <v>0</v>
      </c>
      <c r="W98" s="4">
        <v>40.5426</v>
      </c>
    </row>
    <row r="99" spans="1:23" x14ac:dyDescent="0.3">
      <c r="A99">
        <v>98</v>
      </c>
      <c r="B99" t="s">
        <v>428</v>
      </c>
      <c r="C99" s="3">
        <v>43226</v>
      </c>
      <c r="D99" s="7" t="str">
        <f t="shared" si="2"/>
        <v>May</v>
      </c>
      <c r="E99" s="3">
        <f t="shared" si="3"/>
        <v>43251</v>
      </c>
      <c r="F99" s="3">
        <v>43318</v>
      </c>
      <c r="G99" t="s">
        <v>188</v>
      </c>
      <c r="H99" t="s">
        <v>429</v>
      </c>
      <c r="I99" t="s">
        <v>430</v>
      </c>
      <c r="J99" t="s">
        <v>26</v>
      </c>
      <c r="K99" t="s">
        <v>27</v>
      </c>
      <c r="L99" t="s">
        <v>127</v>
      </c>
      <c r="M99" t="s">
        <v>43</v>
      </c>
      <c r="N99">
        <v>94122</v>
      </c>
      <c r="O99" t="s">
        <v>44</v>
      </c>
      <c r="P99" t="s">
        <v>431</v>
      </c>
      <c r="Q99" t="s">
        <v>46</v>
      </c>
      <c r="R99" t="s">
        <v>75</v>
      </c>
      <c r="S99" t="s">
        <v>432</v>
      </c>
      <c r="T99" s="4">
        <v>51.311999999999998</v>
      </c>
      <c r="U99">
        <v>3</v>
      </c>
      <c r="V99">
        <v>0.2</v>
      </c>
      <c r="W99" s="4">
        <v>17.959199999999999</v>
      </c>
    </row>
    <row r="100" spans="1:23" x14ac:dyDescent="0.3">
      <c r="A100">
        <v>99</v>
      </c>
      <c r="B100" t="s">
        <v>433</v>
      </c>
      <c r="C100" s="3">
        <v>42530</v>
      </c>
      <c r="D100" s="7" t="str">
        <f t="shared" si="2"/>
        <v>June</v>
      </c>
      <c r="E100" s="3">
        <f t="shared" si="3"/>
        <v>42551</v>
      </c>
      <c r="F100" s="3">
        <v>42683</v>
      </c>
      <c r="G100" t="s">
        <v>50</v>
      </c>
      <c r="H100" t="s">
        <v>434</v>
      </c>
      <c r="I100" t="s">
        <v>435</v>
      </c>
      <c r="J100" t="s">
        <v>41</v>
      </c>
      <c r="K100" t="s">
        <v>27</v>
      </c>
      <c r="L100" t="s">
        <v>436</v>
      </c>
      <c r="M100" t="s">
        <v>229</v>
      </c>
      <c r="N100">
        <v>55106</v>
      </c>
      <c r="O100" t="s">
        <v>105</v>
      </c>
      <c r="P100" t="s">
        <v>437</v>
      </c>
      <c r="Q100" t="s">
        <v>46</v>
      </c>
      <c r="R100" t="s">
        <v>78</v>
      </c>
      <c r="S100" t="s">
        <v>438</v>
      </c>
      <c r="T100" s="4">
        <v>77.88</v>
      </c>
      <c r="U100">
        <v>6</v>
      </c>
      <c r="V100">
        <v>0</v>
      </c>
      <c r="W100" s="4">
        <v>22.5852</v>
      </c>
    </row>
    <row r="101" spans="1:23" x14ac:dyDescent="0.3">
      <c r="A101">
        <v>100</v>
      </c>
      <c r="B101" t="s">
        <v>439</v>
      </c>
      <c r="C101" s="3">
        <v>43228</v>
      </c>
      <c r="D101" s="7" t="str">
        <f t="shared" si="2"/>
        <v>May</v>
      </c>
      <c r="E101" s="3">
        <f t="shared" si="3"/>
        <v>43251</v>
      </c>
      <c r="F101" s="3">
        <v>42409</v>
      </c>
      <c r="G101" t="s">
        <v>50</v>
      </c>
      <c r="H101" t="s">
        <v>440</v>
      </c>
      <c r="I101" t="s">
        <v>441</v>
      </c>
      <c r="J101" t="s">
        <v>102</v>
      </c>
      <c r="K101" t="s">
        <v>27</v>
      </c>
      <c r="L101" t="s">
        <v>303</v>
      </c>
      <c r="M101" t="s">
        <v>211</v>
      </c>
      <c r="N101">
        <v>60610</v>
      </c>
      <c r="O101" t="s">
        <v>105</v>
      </c>
      <c r="P101" t="s">
        <v>442</v>
      </c>
      <c r="Q101" t="s">
        <v>46</v>
      </c>
      <c r="R101" t="s">
        <v>90</v>
      </c>
      <c r="S101" t="s">
        <v>443</v>
      </c>
      <c r="T101" s="4">
        <v>64.623999999999995</v>
      </c>
      <c r="U101">
        <v>7</v>
      </c>
      <c r="V101">
        <v>0.2</v>
      </c>
      <c r="W101" s="4">
        <v>22.618400000000001</v>
      </c>
    </row>
    <row r="102" spans="1:23" x14ac:dyDescent="0.3">
      <c r="A102">
        <v>101</v>
      </c>
      <c r="B102" t="s">
        <v>439</v>
      </c>
      <c r="C102" s="3">
        <v>43228</v>
      </c>
      <c r="D102" s="7" t="str">
        <f t="shared" si="2"/>
        <v>May</v>
      </c>
      <c r="E102" s="3">
        <f t="shared" si="3"/>
        <v>43251</v>
      </c>
      <c r="F102" s="3">
        <v>42409</v>
      </c>
      <c r="G102" t="s">
        <v>50</v>
      </c>
      <c r="H102" t="s">
        <v>440</v>
      </c>
      <c r="I102" t="s">
        <v>441</v>
      </c>
      <c r="J102" t="s">
        <v>102</v>
      </c>
      <c r="K102" t="s">
        <v>27</v>
      </c>
      <c r="L102" t="s">
        <v>303</v>
      </c>
      <c r="M102" t="s">
        <v>211</v>
      </c>
      <c r="N102">
        <v>60610</v>
      </c>
      <c r="O102" t="s">
        <v>105</v>
      </c>
      <c r="P102" t="s">
        <v>444</v>
      </c>
      <c r="Q102" t="s">
        <v>71</v>
      </c>
      <c r="R102" t="s">
        <v>161</v>
      </c>
      <c r="S102" t="s">
        <v>445</v>
      </c>
      <c r="T102" s="4">
        <v>95.975999999999999</v>
      </c>
      <c r="U102">
        <v>3</v>
      </c>
      <c r="V102">
        <v>0.2</v>
      </c>
      <c r="W102" s="4">
        <v>-10.7973</v>
      </c>
    </row>
    <row r="103" spans="1:23" x14ac:dyDescent="0.3">
      <c r="A103">
        <v>102</v>
      </c>
      <c r="B103" t="s">
        <v>439</v>
      </c>
      <c r="C103" s="3">
        <v>43228</v>
      </c>
      <c r="D103" s="7" t="str">
        <f t="shared" si="2"/>
        <v>May</v>
      </c>
      <c r="E103" s="3">
        <f t="shared" si="3"/>
        <v>43251</v>
      </c>
      <c r="F103" s="3">
        <v>42409</v>
      </c>
      <c r="G103" t="s">
        <v>50</v>
      </c>
      <c r="H103" t="s">
        <v>440</v>
      </c>
      <c r="I103" t="s">
        <v>441</v>
      </c>
      <c r="J103" t="s">
        <v>102</v>
      </c>
      <c r="K103" t="s">
        <v>27</v>
      </c>
      <c r="L103" t="s">
        <v>303</v>
      </c>
      <c r="M103" t="s">
        <v>211</v>
      </c>
      <c r="N103">
        <v>60610</v>
      </c>
      <c r="O103" t="s">
        <v>105</v>
      </c>
      <c r="P103" t="s">
        <v>446</v>
      </c>
      <c r="Q103" t="s">
        <v>46</v>
      </c>
      <c r="R103" t="s">
        <v>75</v>
      </c>
      <c r="S103" t="s">
        <v>447</v>
      </c>
      <c r="T103" s="4">
        <v>1.788</v>
      </c>
      <c r="U103">
        <v>3</v>
      </c>
      <c r="V103">
        <v>0.8</v>
      </c>
      <c r="W103" s="4">
        <v>-3.0396000000000001</v>
      </c>
    </row>
    <row r="104" spans="1:23" x14ac:dyDescent="0.3">
      <c r="A104">
        <v>103</v>
      </c>
      <c r="B104" t="s">
        <v>448</v>
      </c>
      <c r="C104" s="3">
        <v>42381</v>
      </c>
      <c r="D104" s="7" t="str">
        <f t="shared" si="2"/>
        <v>January</v>
      </c>
      <c r="E104" s="3">
        <f t="shared" si="3"/>
        <v>42400</v>
      </c>
      <c r="F104" s="3">
        <v>42472</v>
      </c>
      <c r="G104" t="s">
        <v>23</v>
      </c>
      <c r="H104" t="s">
        <v>449</v>
      </c>
      <c r="I104" t="s">
        <v>450</v>
      </c>
      <c r="J104" t="s">
        <v>26</v>
      </c>
      <c r="K104" t="s">
        <v>27</v>
      </c>
      <c r="L104" t="s">
        <v>389</v>
      </c>
      <c r="M104" t="s">
        <v>229</v>
      </c>
      <c r="N104">
        <v>55901</v>
      </c>
      <c r="O104" t="s">
        <v>105</v>
      </c>
      <c r="P104" t="s">
        <v>451</v>
      </c>
      <c r="Q104" t="s">
        <v>46</v>
      </c>
      <c r="R104" t="s">
        <v>90</v>
      </c>
      <c r="S104" t="s">
        <v>452</v>
      </c>
      <c r="T104" s="4">
        <v>23.92</v>
      </c>
      <c r="U104">
        <v>4</v>
      </c>
      <c r="V104">
        <v>0</v>
      </c>
      <c r="W104" s="4">
        <v>11.720800000000001</v>
      </c>
    </row>
    <row r="105" spans="1:23" x14ac:dyDescent="0.3">
      <c r="A105">
        <v>104</v>
      </c>
      <c r="B105" t="s">
        <v>453</v>
      </c>
      <c r="C105" s="3">
        <v>42380</v>
      </c>
      <c r="D105" s="7" t="str">
        <f t="shared" si="2"/>
        <v>January</v>
      </c>
      <c r="E105" s="3">
        <f t="shared" si="3"/>
        <v>42400</v>
      </c>
      <c r="F105" s="3">
        <v>42501</v>
      </c>
      <c r="G105" t="s">
        <v>50</v>
      </c>
      <c r="H105" t="s">
        <v>454</v>
      </c>
      <c r="I105" t="s">
        <v>455</v>
      </c>
      <c r="J105" t="s">
        <v>26</v>
      </c>
      <c r="K105" t="s">
        <v>27</v>
      </c>
      <c r="L105" t="s">
        <v>456</v>
      </c>
      <c r="M105" t="s">
        <v>457</v>
      </c>
      <c r="N105">
        <v>80013</v>
      </c>
      <c r="O105" t="s">
        <v>44</v>
      </c>
      <c r="P105" t="s">
        <v>458</v>
      </c>
      <c r="Q105" t="s">
        <v>71</v>
      </c>
      <c r="R105" t="s">
        <v>161</v>
      </c>
      <c r="S105" t="s">
        <v>459</v>
      </c>
      <c r="T105" s="4">
        <v>238.89599999999999</v>
      </c>
      <c r="U105">
        <v>6</v>
      </c>
      <c r="V105">
        <v>0.2</v>
      </c>
      <c r="W105" s="4">
        <v>-26.875800000000002</v>
      </c>
    </row>
    <row r="106" spans="1:23" x14ac:dyDescent="0.3">
      <c r="A106">
        <v>105</v>
      </c>
      <c r="B106" t="s">
        <v>453</v>
      </c>
      <c r="C106" s="3">
        <v>42380</v>
      </c>
      <c r="D106" s="7" t="str">
        <f t="shared" si="2"/>
        <v>January</v>
      </c>
      <c r="E106" s="3">
        <f t="shared" si="3"/>
        <v>42400</v>
      </c>
      <c r="F106" s="3">
        <v>42501</v>
      </c>
      <c r="G106" t="s">
        <v>50</v>
      </c>
      <c r="H106" t="s">
        <v>454</v>
      </c>
      <c r="I106" t="s">
        <v>455</v>
      </c>
      <c r="J106" t="s">
        <v>26</v>
      </c>
      <c r="K106" t="s">
        <v>27</v>
      </c>
      <c r="L106" t="s">
        <v>456</v>
      </c>
      <c r="M106" t="s">
        <v>457</v>
      </c>
      <c r="N106">
        <v>80013</v>
      </c>
      <c r="O106" t="s">
        <v>44</v>
      </c>
      <c r="P106" t="s">
        <v>460</v>
      </c>
      <c r="Q106" t="s">
        <v>32</v>
      </c>
      <c r="R106" t="s">
        <v>65</v>
      </c>
      <c r="S106" t="s">
        <v>461</v>
      </c>
      <c r="T106" s="4">
        <v>102.36</v>
      </c>
      <c r="U106">
        <v>3</v>
      </c>
      <c r="V106">
        <v>0.2</v>
      </c>
      <c r="W106" s="4">
        <v>-3.8384999999999998</v>
      </c>
    </row>
    <row r="107" spans="1:23" x14ac:dyDescent="0.3">
      <c r="A107">
        <v>106</v>
      </c>
      <c r="B107" t="s">
        <v>453</v>
      </c>
      <c r="C107" s="3">
        <v>42380</v>
      </c>
      <c r="D107" s="7" t="str">
        <f t="shared" si="2"/>
        <v>January</v>
      </c>
      <c r="E107" s="3">
        <f t="shared" si="3"/>
        <v>42400</v>
      </c>
      <c r="F107" s="3">
        <v>42501</v>
      </c>
      <c r="G107" t="s">
        <v>50</v>
      </c>
      <c r="H107" t="s">
        <v>454</v>
      </c>
      <c r="I107" t="s">
        <v>455</v>
      </c>
      <c r="J107" t="s">
        <v>26</v>
      </c>
      <c r="K107" t="s">
        <v>27</v>
      </c>
      <c r="L107" t="s">
        <v>456</v>
      </c>
      <c r="M107" t="s">
        <v>457</v>
      </c>
      <c r="N107">
        <v>80013</v>
      </c>
      <c r="O107" t="s">
        <v>44</v>
      </c>
      <c r="P107" t="s">
        <v>462</v>
      </c>
      <c r="Q107" t="s">
        <v>46</v>
      </c>
      <c r="R107" t="s">
        <v>75</v>
      </c>
      <c r="S107" t="s">
        <v>463</v>
      </c>
      <c r="T107" s="4">
        <v>36.881999999999998</v>
      </c>
      <c r="U107">
        <v>3</v>
      </c>
      <c r="V107">
        <v>0.7</v>
      </c>
      <c r="W107" s="4">
        <v>-25.817399999999999</v>
      </c>
    </row>
    <row r="108" spans="1:23" x14ac:dyDescent="0.3">
      <c r="A108">
        <v>107</v>
      </c>
      <c r="B108" t="s">
        <v>464</v>
      </c>
      <c r="C108" s="3">
        <v>43415</v>
      </c>
      <c r="D108" s="7" t="str">
        <f t="shared" si="2"/>
        <v>November</v>
      </c>
      <c r="E108" s="3">
        <f t="shared" si="3"/>
        <v>43434</v>
      </c>
      <c r="F108" s="3">
        <v>43566</v>
      </c>
      <c r="G108" t="s">
        <v>50</v>
      </c>
      <c r="H108" t="s">
        <v>465</v>
      </c>
      <c r="I108" t="s">
        <v>466</v>
      </c>
      <c r="J108" t="s">
        <v>26</v>
      </c>
      <c r="K108" t="s">
        <v>27</v>
      </c>
      <c r="L108" t="s">
        <v>467</v>
      </c>
      <c r="M108" t="s">
        <v>88</v>
      </c>
      <c r="N108">
        <v>28205</v>
      </c>
      <c r="O108" t="s">
        <v>30</v>
      </c>
      <c r="P108" t="s">
        <v>468</v>
      </c>
      <c r="Q108" t="s">
        <v>71</v>
      </c>
      <c r="R108" t="s">
        <v>161</v>
      </c>
      <c r="S108" t="s">
        <v>469</v>
      </c>
      <c r="T108" s="4">
        <v>74.111999999999995</v>
      </c>
      <c r="U108">
        <v>8</v>
      </c>
      <c r="V108">
        <v>0.2</v>
      </c>
      <c r="W108" s="4">
        <v>17.601600000000001</v>
      </c>
    </row>
    <row r="109" spans="1:23" x14ac:dyDescent="0.3">
      <c r="A109">
        <v>108</v>
      </c>
      <c r="B109" t="s">
        <v>464</v>
      </c>
      <c r="C109" s="3">
        <v>43415</v>
      </c>
      <c r="D109" s="7" t="str">
        <f t="shared" si="2"/>
        <v>November</v>
      </c>
      <c r="E109" s="3">
        <f t="shared" si="3"/>
        <v>43434</v>
      </c>
      <c r="F109" s="3">
        <v>43566</v>
      </c>
      <c r="G109" t="s">
        <v>50</v>
      </c>
      <c r="H109" t="s">
        <v>465</v>
      </c>
      <c r="I109" t="s">
        <v>466</v>
      </c>
      <c r="J109" t="s">
        <v>26</v>
      </c>
      <c r="K109" t="s">
        <v>27</v>
      </c>
      <c r="L109" t="s">
        <v>467</v>
      </c>
      <c r="M109" t="s">
        <v>88</v>
      </c>
      <c r="N109">
        <v>28205</v>
      </c>
      <c r="O109" t="s">
        <v>30</v>
      </c>
      <c r="P109" t="s">
        <v>470</v>
      </c>
      <c r="Q109" t="s">
        <v>71</v>
      </c>
      <c r="R109" t="s">
        <v>72</v>
      </c>
      <c r="S109" t="s">
        <v>471</v>
      </c>
      <c r="T109" s="4">
        <v>27.992000000000001</v>
      </c>
      <c r="U109">
        <v>1</v>
      </c>
      <c r="V109">
        <v>0.2</v>
      </c>
      <c r="W109" s="4">
        <v>2.0994000000000002</v>
      </c>
    </row>
    <row r="110" spans="1:23" x14ac:dyDescent="0.3">
      <c r="A110">
        <v>109</v>
      </c>
      <c r="B110" t="s">
        <v>464</v>
      </c>
      <c r="C110" s="3">
        <v>43415</v>
      </c>
      <c r="D110" s="7" t="str">
        <f t="shared" si="2"/>
        <v>November</v>
      </c>
      <c r="E110" s="3">
        <f t="shared" si="3"/>
        <v>43434</v>
      </c>
      <c r="F110" s="3">
        <v>43566</v>
      </c>
      <c r="G110" t="s">
        <v>50</v>
      </c>
      <c r="H110" t="s">
        <v>465</v>
      </c>
      <c r="I110" t="s">
        <v>466</v>
      </c>
      <c r="J110" t="s">
        <v>26</v>
      </c>
      <c r="K110" t="s">
        <v>27</v>
      </c>
      <c r="L110" t="s">
        <v>467</v>
      </c>
      <c r="M110" t="s">
        <v>88</v>
      </c>
      <c r="N110">
        <v>28205</v>
      </c>
      <c r="O110" t="s">
        <v>30</v>
      </c>
      <c r="P110" t="s">
        <v>472</v>
      </c>
      <c r="Q110" t="s">
        <v>46</v>
      </c>
      <c r="R110" t="s">
        <v>68</v>
      </c>
      <c r="S110" t="s">
        <v>473</v>
      </c>
      <c r="T110" s="4">
        <v>3.3039999999999998</v>
      </c>
      <c r="U110">
        <v>1</v>
      </c>
      <c r="V110">
        <v>0.2</v>
      </c>
      <c r="W110" s="4">
        <v>1.0738000000000001</v>
      </c>
    </row>
    <row r="111" spans="1:23" x14ac:dyDescent="0.3">
      <c r="A111">
        <v>110</v>
      </c>
      <c r="B111" t="s">
        <v>474</v>
      </c>
      <c r="C111" s="3">
        <v>42439</v>
      </c>
      <c r="D111" s="7" t="str">
        <f t="shared" si="2"/>
        <v>March</v>
      </c>
      <c r="E111" s="3">
        <f t="shared" si="3"/>
        <v>42460</v>
      </c>
      <c r="F111" s="3">
        <v>42592</v>
      </c>
      <c r="G111" t="s">
        <v>50</v>
      </c>
      <c r="H111" t="s">
        <v>475</v>
      </c>
      <c r="I111" t="s">
        <v>476</v>
      </c>
      <c r="J111" t="s">
        <v>102</v>
      </c>
      <c r="K111" t="s">
        <v>27</v>
      </c>
      <c r="L111" t="s">
        <v>477</v>
      </c>
      <c r="M111" t="s">
        <v>211</v>
      </c>
      <c r="N111">
        <v>60462</v>
      </c>
      <c r="O111" t="s">
        <v>105</v>
      </c>
      <c r="P111" t="s">
        <v>478</v>
      </c>
      <c r="Q111" t="s">
        <v>71</v>
      </c>
      <c r="R111" t="s">
        <v>161</v>
      </c>
      <c r="S111" t="s">
        <v>479</v>
      </c>
      <c r="T111" s="4">
        <v>339.96</v>
      </c>
      <c r="U111">
        <v>5</v>
      </c>
      <c r="V111">
        <v>0.2</v>
      </c>
      <c r="W111" s="4">
        <v>67.992000000000004</v>
      </c>
    </row>
    <row r="112" spans="1:23" x14ac:dyDescent="0.3">
      <c r="A112">
        <v>111</v>
      </c>
      <c r="B112" t="s">
        <v>480</v>
      </c>
      <c r="C112" s="3">
        <v>43477</v>
      </c>
      <c r="D112" s="7" t="str">
        <f t="shared" si="2"/>
        <v>January</v>
      </c>
      <c r="E112" s="3">
        <f t="shared" si="3"/>
        <v>43496</v>
      </c>
      <c r="F112" s="3">
        <v>43628</v>
      </c>
      <c r="G112" t="s">
        <v>50</v>
      </c>
      <c r="H112" t="s">
        <v>481</v>
      </c>
      <c r="I112" t="s">
        <v>482</v>
      </c>
      <c r="J112" t="s">
        <v>41</v>
      </c>
      <c r="K112" t="s">
        <v>27</v>
      </c>
      <c r="L112" t="s">
        <v>266</v>
      </c>
      <c r="M112" t="s">
        <v>267</v>
      </c>
      <c r="N112">
        <v>10035</v>
      </c>
      <c r="O112" t="s">
        <v>148</v>
      </c>
      <c r="P112" t="s">
        <v>483</v>
      </c>
      <c r="Q112" t="s">
        <v>32</v>
      </c>
      <c r="R112" t="s">
        <v>65</v>
      </c>
      <c r="S112" t="s">
        <v>484</v>
      </c>
      <c r="T112" s="4">
        <v>41.96</v>
      </c>
      <c r="U112">
        <v>2</v>
      </c>
      <c r="V112">
        <v>0</v>
      </c>
      <c r="W112" s="4">
        <v>10.909599999999999</v>
      </c>
    </row>
    <row r="113" spans="1:23" x14ac:dyDescent="0.3">
      <c r="A113">
        <v>112</v>
      </c>
      <c r="B113" t="s">
        <v>485</v>
      </c>
      <c r="C113" s="3">
        <v>42440</v>
      </c>
      <c r="D113" s="7" t="str">
        <f t="shared" si="2"/>
        <v>March</v>
      </c>
      <c r="E113" s="3">
        <f t="shared" si="3"/>
        <v>42460</v>
      </c>
      <c r="F113" s="3">
        <v>42654</v>
      </c>
      <c r="G113" t="s">
        <v>50</v>
      </c>
      <c r="H113" t="s">
        <v>486</v>
      </c>
      <c r="I113" t="s">
        <v>487</v>
      </c>
      <c r="J113" t="s">
        <v>26</v>
      </c>
      <c r="K113" t="s">
        <v>27</v>
      </c>
      <c r="L113" t="s">
        <v>488</v>
      </c>
      <c r="M113" t="s">
        <v>489</v>
      </c>
      <c r="N113">
        <v>50322</v>
      </c>
      <c r="O113" t="s">
        <v>105</v>
      </c>
      <c r="P113" t="s">
        <v>490</v>
      </c>
      <c r="Q113" t="s">
        <v>46</v>
      </c>
      <c r="R113" t="s">
        <v>68</v>
      </c>
      <c r="S113" t="s">
        <v>491</v>
      </c>
      <c r="T113" s="4">
        <v>75.959999999999994</v>
      </c>
      <c r="U113">
        <v>2</v>
      </c>
      <c r="V113">
        <v>0</v>
      </c>
      <c r="W113" s="4">
        <v>22.788</v>
      </c>
    </row>
    <row r="114" spans="1:23" x14ac:dyDescent="0.3">
      <c r="A114">
        <v>113</v>
      </c>
      <c r="B114" t="s">
        <v>485</v>
      </c>
      <c r="C114" s="3">
        <v>42440</v>
      </c>
      <c r="D114" s="7" t="str">
        <f t="shared" si="2"/>
        <v>March</v>
      </c>
      <c r="E114" s="3">
        <f t="shared" si="3"/>
        <v>42460</v>
      </c>
      <c r="F114" s="3">
        <v>42654</v>
      </c>
      <c r="G114" t="s">
        <v>50</v>
      </c>
      <c r="H114" t="s">
        <v>486</v>
      </c>
      <c r="I114" t="s">
        <v>487</v>
      </c>
      <c r="J114" t="s">
        <v>26</v>
      </c>
      <c r="K114" t="s">
        <v>27</v>
      </c>
      <c r="L114" t="s">
        <v>488</v>
      </c>
      <c r="M114" t="s">
        <v>489</v>
      </c>
      <c r="N114">
        <v>50322</v>
      </c>
      <c r="O114" t="s">
        <v>105</v>
      </c>
      <c r="P114" t="s">
        <v>492</v>
      </c>
      <c r="Q114" t="s">
        <v>46</v>
      </c>
      <c r="R114" t="s">
        <v>75</v>
      </c>
      <c r="S114" t="s">
        <v>493</v>
      </c>
      <c r="T114" s="4">
        <v>27.24</v>
      </c>
      <c r="U114">
        <v>6</v>
      </c>
      <c r="V114">
        <v>0</v>
      </c>
      <c r="W114" s="4">
        <v>13.3476</v>
      </c>
    </row>
    <row r="115" spans="1:23" x14ac:dyDescent="0.3">
      <c r="A115">
        <v>114</v>
      </c>
      <c r="B115" t="s">
        <v>494</v>
      </c>
      <c r="C115" s="3">
        <v>42377</v>
      </c>
      <c r="D115" s="7" t="str">
        <f t="shared" si="2"/>
        <v>January</v>
      </c>
      <c r="E115" s="3">
        <f t="shared" si="3"/>
        <v>42400</v>
      </c>
      <c r="F115" s="3">
        <v>42437</v>
      </c>
      <c r="G115" t="s">
        <v>23</v>
      </c>
      <c r="H115" t="s">
        <v>495</v>
      </c>
      <c r="I115" t="s">
        <v>496</v>
      </c>
      <c r="J115" t="s">
        <v>26</v>
      </c>
      <c r="K115" t="s">
        <v>27</v>
      </c>
      <c r="L115" t="s">
        <v>497</v>
      </c>
      <c r="M115" t="s">
        <v>498</v>
      </c>
      <c r="N115">
        <v>43229</v>
      </c>
      <c r="O115" t="s">
        <v>148</v>
      </c>
      <c r="P115" t="s">
        <v>499</v>
      </c>
      <c r="Q115" t="s">
        <v>46</v>
      </c>
      <c r="R115" t="s">
        <v>269</v>
      </c>
      <c r="S115" t="s">
        <v>500</v>
      </c>
      <c r="T115" s="4">
        <v>40.095999999999997</v>
      </c>
      <c r="U115">
        <v>14</v>
      </c>
      <c r="V115">
        <v>0.2</v>
      </c>
      <c r="W115" s="4">
        <v>14.534800000000001</v>
      </c>
    </row>
    <row r="116" spans="1:23" x14ac:dyDescent="0.3">
      <c r="A116">
        <v>115</v>
      </c>
      <c r="B116" t="s">
        <v>494</v>
      </c>
      <c r="C116" s="3">
        <v>42377</v>
      </c>
      <c r="D116" s="7" t="str">
        <f t="shared" si="2"/>
        <v>January</v>
      </c>
      <c r="E116" s="3">
        <f t="shared" si="3"/>
        <v>42400</v>
      </c>
      <c r="F116" s="3">
        <v>42437</v>
      </c>
      <c r="G116" t="s">
        <v>23</v>
      </c>
      <c r="H116" t="s">
        <v>495</v>
      </c>
      <c r="I116" t="s">
        <v>496</v>
      </c>
      <c r="J116" t="s">
        <v>26</v>
      </c>
      <c r="K116" t="s">
        <v>27</v>
      </c>
      <c r="L116" t="s">
        <v>497</v>
      </c>
      <c r="M116" t="s">
        <v>498</v>
      </c>
      <c r="N116">
        <v>43229</v>
      </c>
      <c r="O116" t="s">
        <v>148</v>
      </c>
      <c r="P116" t="s">
        <v>501</v>
      </c>
      <c r="Q116" t="s">
        <v>46</v>
      </c>
      <c r="R116" t="s">
        <v>173</v>
      </c>
      <c r="S116" t="s">
        <v>502</v>
      </c>
      <c r="T116" s="4">
        <v>4.72</v>
      </c>
      <c r="U116">
        <v>2</v>
      </c>
      <c r="V116">
        <v>0.2</v>
      </c>
      <c r="W116" s="4">
        <v>1.6519999999999999</v>
      </c>
    </row>
    <row r="117" spans="1:23" x14ac:dyDescent="0.3">
      <c r="A117">
        <v>116</v>
      </c>
      <c r="B117" t="s">
        <v>494</v>
      </c>
      <c r="C117" s="3">
        <v>42377</v>
      </c>
      <c r="D117" s="7" t="str">
        <f t="shared" si="2"/>
        <v>January</v>
      </c>
      <c r="E117" s="3">
        <f t="shared" si="3"/>
        <v>42400</v>
      </c>
      <c r="F117" s="3">
        <v>42437</v>
      </c>
      <c r="G117" t="s">
        <v>23</v>
      </c>
      <c r="H117" t="s">
        <v>495</v>
      </c>
      <c r="I117" t="s">
        <v>496</v>
      </c>
      <c r="J117" t="s">
        <v>26</v>
      </c>
      <c r="K117" t="s">
        <v>27</v>
      </c>
      <c r="L117" t="s">
        <v>497</v>
      </c>
      <c r="M117" t="s">
        <v>498</v>
      </c>
      <c r="N117">
        <v>43229</v>
      </c>
      <c r="O117" t="s">
        <v>148</v>
      </c>
      <c r="P117" t="s">
        <v>503</v>
      </c>
      <c r="Q117" t="s">
        <v>46</v>
      </c>
      <c r="R117" t="s">
        <v>90</v>
      </c>
      <c r="S117" t="s">
        <v>504</v>
      </c>
      <c r="T117" s="4">
        <v>23.975999999999999</v>
      </c>
      <c r="U117">
        <v>3</v>
      </c>
      <c r="V117">
        <v>0.2</v>
      </c>
      <c r="W117" s="4">
        <v>7.4924999999999997</v>
      </c>
    </row>
    <row r="118" spans="1:23" x14ac:dyDescent="0.3">
      <c r="A118">
        <v>117</v>
      </c>
      <c r="B118" t="s">
        <v>494</v>
      </c>
      <c r="C118" s="3">
        <v>42377</v>
      </c>
      <c r="D118" s="7" t="str">
        <f t="shared" si="2"/>
        <v>January</v>
      </c>
      <c r="E118" s="3">
        <f t="shared" si="3"/>
        <v>42400</v>
      </c>
      <c r="F118" s="3">
        <v>42437</v>
      </c>
      <c r="G118" t="s">
        <v>23</v>
      </c>
      <c r="H118" t="s">
        <v>495</v>
      </c>
      <c r="I118" t="s">
        <v>496</v>
      </c>
      <c r="J118" t="s">
        <v>26</v>
      </c>
      <c r="K118" t="s">
        <v>27</v>
      </c>
      <c r="L118" t="s">
        <v>497</v>
      </c>
      <c r="M118" t="s">
        <v>498</v>
      </c>
      <c r="N118">
        <v>43229</v>
      </c>
      <c r="O118" t="s">
        <v>148</v>
      </c>
      <c r="P118" t="s">
        <v>505</v>
      </c>
      <c r="Q118" t="s">
        <v>46</v>
      </c>
      <c r="R118" t="s">
        <v>173</v>
      </c>
      <c r="S118" t="s">
        <v>506</v>
      </c>
      <c r="T118" s="4">
        <v>130.464</v>
      </c>
      <c r="U118">
        <v>6</v>
      </c>
      <c r="V118">
        <v>0.2</v>
      </c>
      <c r="W118" s="4">
        <v>44.031599999999997</v>
      </c>
    </row>
    <row r="119" spans="1:23" x14ac:dyDescent="0.3">
      <c r="A119">
        <v>118</v>
      </c>
      <c r="B119" t="s">
        <v>507</v>
      </c>
      <c r="C119" s="3">
        <v>42038</v>
      </c>
      <c r="D119" s="7" t="str">
        <f t="shared" si="2"/>
        <v>February</v>
      </c>
      <c r="E119" s="3">
        <f t="shared" si="3"/>
        <v>42063</v>
      </c>
      <c r="F119" s="3">
        <v>42158</v>
      </c>
      <c r="G119" t="s">
        <v>50</v>
      </c>
      <c r="H119" t="s">
        <v>508</v>
      </c>
      <c r="I119" t="s">
        <v>509</v>
      </c>
      <c r="J119" t="s">
        <v>26</v>
      </c>
      <c r="K119" t="s">
        <v>27</v>
      </c>
      <c r="L119" t="s">
        <v>95</v>
      </c>
      <c r="M119" t="s">
        <v>96</v>
      </c>
      <c r="N119">
        <v>98103</v>
      </c>
      <c r="O119" t="s">
        <v>44</v>
      </c>
      <c r="P119" t="s">
        <v>510</v>
      </c>
      <c r="Q119" t="s">
        <v>32</v>
      </c>
      <c r="R119" t="s">
        <v>56</v>
      </c>
      <c r="S119" t="s">
        <v>511</v>
      </c>
      <c r="T119" s="4">
        <v>787.53</v>
      </c>
      <c r="U119">
        <v>3</v>
      </c>
      <c r="V119">
        <v>0</v>
      </c>
      <c r="W119" s="4">
        <v>165.38130000000001</v>
      </c>
    </row>
    <row r="120" spans="1:23" x14ac:dyDescent="0.3">
      <c r="A120">
        <v>119</v>
      </c>
      <c r="B120" t="s">
        <v>512</v>
      </c>
      <c r="C120" s="3">
        <v>42128</v>
      </c>
      <c r="D120" s="7" t="str">
        <f t="shared" si="2"/>
        <v>May</v>
      </c>
      <c r="E120" s="3">
        <f t="shared" si="3"/>
        <v>42155</v>
      </c>
      <c r="F120" s="3">
        <v>42281</v>
      </c>
      <c r="G120" t="s">
        <v>50</v>
      </c>
      <c r="H120" t="s">
        <v>513</v>
      </c>
      <c r="I120" t="s">
        <v>514</v>
      </c>
      <c r="J120" t="s">
        <v>41</v>
      </c>
      <c r="K120" t="s">
        <v>27</v>
      </c>
      <c r="L120" t="s">
        <v>515</v>
      </c>
      <c r="M120" t="s">
        <v>335</v>
      </c>
      <c r="N120">
        <v>37620</v>
      </c>
      <c r="O120" t="s">
        <v>30</v>
      </c>
      <c r="P120" t="s">
        <v>516</v>
      </c>
      <c r="Q120" t="s">
        <v>46</v>
      </c>
      <c r="R120" t="s">
        <v>75</v>
      </c>
      <c r="S120" t="s">
        <v>517</v>
      </c>
      <c r="T120" s="4">
        <v>157.79400000000001</v>
      </c>
      <c r="U120">
        <v>1</v>
      </c>
      <c r="V120">
        <v>0.7</v>
      </c>
      <c r="W120" s="4">
        <v>-115.71559999999999</v>
      </c>
    </row>
    <row r="121" spans="1:23" x14ac:dyDescent="0.3">
      <c r="A121">
        <v>120</v>
      </c>
      <c r="B121" t="s">
        <v>518</v>
      </c>
      <c r="C121" s="3">
        <v>42710</v>
      </c>
      <c r="D121" s="7" t="str">
        <f t="shared" si="2"/>
        <v>December</v>
      </c>
      <c r="E121" s="3">
        <f t="shared" si="3"/>
        <v>42735</v>
      </c>
      <c r="F121" s="3">
        <v>42800</v>
      </c>
      <c r="G121" t="s">
        <v>188</v>
      </c>
      <c r="H121" t="s">
        <v>519</v>
      </c>
      <c r="I121" t="s">
        <v>520</v>
      </c>
      <c r="J121" t="s">
        <v>26</v>
      </c>
      <c r="K121" t="s">
        <v>27</v>
      </c>
      <c r="L121" t="s">
        <v>521</v>
      </c>
      <c r="M121" t="s">
        <v>245</v>
      </c>
      <c r="N121">
        <v>19805</v>
      </c>
      <c r="O121" t="s">
        <v>148</v>
      </c>
      <c r="P121" t="s">
        <v>522</v>
      </c>
      <c r="Q121" t="s">
        <v>32</v>
      </c>
      <c r="R121" t="s">
        <v>65</v>
      </c>
      <c r="S121" t="s">
        <v>523</v>
      </c>
      <c r="T121" s="4">
        <v>47.04</v>
      </c>
      <c r="U121">
        <v>3</v>
      </c>
      <c r="V121">
        <v>0</v>
      </c>
      <c r="W121" s="4">
        <v>18.345600000000001</v>
      </c>
    </row>
    <row r="122" spans="1:23" x14ac:dyDescent="0.3">
      <c r="A122">
        <v>121</v>
      </c>
      <c r="B122" t="s">
        <v>518</v>
      </c>
      <c r="C122" s="3">
        <v>42710</v>
      </c>
      <c r="D122" s="7" t="str">
        <f t="shared" si="2"/>
        <v>December</v>
      </c>
      <c r="E122" s="3">
        <f t="shared" si="3"/>
        <v>42735</v>
      </c>
      <c r="F122" s="3">
        <v>42800</v>
      </c>
      <c r="G122" t="s">
        <v>188</v>
      </c>
      <c r="H122" t="s">
        <v>519</v>
      </c>
      <c r="I122" t="s">
        <v>520</v>
      </c>
      <c r="J122" t="s">
        <v>26</v>
      </c>
      <c r="K122" t="s">
        <v>27</v>
      </c>
      <c r="L122" t="s">
        <v>521</v>
      </c>
      <c r="M122" t="s">
        <v>245</v>
      </c>
      <c r="N122">
        <v>19805</v>
      </c>
      <c r="O122" t="s">
        <v>148</v>
      </c>
      <c r="P122" t="s">
        <v>74</v>
      </c>
      <c r="Q122" t="s">
        <v>46</v>
      </c>
      <c r="R122" t="s">
        <v>75</v>
      </c>
      <c r="S122" t="s">
        <v>76</v>
      </c>
      <c r="T122" s="4">
        <v>30.84</v>
      </c>
      <c r="U122">
        <v>4</v>
      </c>
      <c r="V122">
        <v>0</v>
      </c>
      <c r="W122" s="4">
        <v>13.878</v>
      </c>
    </row>
    <row r="123" spans="1:23" x14ac:dyDescent="0.3">
      <c r="A123">
        <v>122</v>
      </c>
      <c r="B123" t="s">
        <v>518</v>
      </c>
      <c r="C123" s="3">
        <v>42710</v>
      </c>
      <c r="D123" s="7" t="str">
        <f t="shared" si="2"/>
        <v>December</v>
      </c>
      <c r="E123" s="3">
        <f t="shared" si="3"/>
        <v>42735</v>
      </c>
      <c r="F123" s="3">
        <v>42800</v>
      </c>
      <c r="G123" t="s">
        <v>188</v>
      </c>
      <c r="H123" t="s">
        <v>519</v>
      </c>
      <c r="I123" t="s">
        <v>520</v>
      </c>
      <c r="J123" t="s">
        <v>26</v>
      </c>
      <c r="K123" t="s">
        <v>27</v>
      </c>
      <c r="L123" t="s">
        <v>521</v>
      </c>
      <c r="M123" t="s">
        <v>245</v>
      </c>
      <c r="N123">
        <v>19805</v>
      </c>
      <c r="O123" t="s">
        <v>148</v>
      </c>
      <c r="P123" t="s">
        <v>524</v>
      </c>
      <c r="Q123" t="s">
        <v>46</v>
      </c>
      <c r="R123" t="s">
        <v>59</v>
      </c>
      <c r="S123" t="s">
        <v>525</v>
      </c>
      <c r="T123" s="4">
        <v>226.56</v>
      </c>
      <c r="U123">
        <v>6</v>
      </c>
      <c r="V123">
        <v>0</v>
      </c>
      <c r="W123" s="4">
        <v>63.436799999999998</v>
      </c>
    </row>
    <row r="124" spans="1:23" x14ac:dyDescent="0.3">
      <c r="A124">
        <v>123</v>
      </c>
      <c r="B124" t="s">
        <v>518</v>
      </c>
      <c r="C124" s="3">
        <v>42710</v>
      </c>
      <c r="D124" s="7" t="str">
        <f t="shared" si="2"/>
        <v>December</v>
      </c>
      <c r="E124" s="3">
        <f t="shared" si="3"/>
        <v>42735</v>
      </c>
      <c r="F124" s="3">
        <v>42800</v>
      </c>
      <c r="G124" t="s">
        <v>188</v>
      </c>
      <c r="H124" t="s">
        <v>519</v>
      </c>
      <c r="I124" t="s">
        <v>520</v>
      </c>
      <c r="J124" t="s">
        <v>26</v>
      </c>
      <c r="K124" t="s">
        <v>27</v>
      </c>
      <c r="L124" t="s">
        <v>521</v>
      </c>
      <c r="M124" t="s">
        <v>245</v>
      </c>
      <c r="N124">
        <v>19805</v>
      </c>
      <c r="O124" t="s">
        <v>148</v>
      </c>
      <c r="P124" t="s">
        <v>526</v>
      </c>
      <c r="Q124" t="s">
        <v>46</v>
      </c>
      <c r="R124" t="s">
        <v>173</v>
      </c>
      <c r="S124" t="s">
        <v>527</v>
      </c>
      <c r="T124" s="4">
        <v>115.02</v>
      </c>
      <c r="U124">
        <v>9</v>
      </c>
      <c r="V124">
        <v>0</v>
      </c>
      <c r="W124" s="4">
        <v>51.759</v>
      </c>
    </row>
    <row r="125" spans="1:23" x14ac:dyDescent="0.3">
      <c r="A125">
        <v>124</v>
      </c>
      <c r="B125" t="s">
        <v>518</v>
      </c>
      <c r="C125" s="3">
        <v>42710</v>
      </c>
      <c r="D125" s="7" t="str">
        <f t="shared" si="2"/>
        <v>December</v>
      </c>
      <c r="E125" s="3">
        <f t="shared" si="3"/>
        <v>42735</v>
      </c>
      <c r="F125" s="3">
        <v>42800</v>
      </c>
      <c r="G125" t="s">
        <v>188</v>
      </c>
      <c r="H125" t="s">
        <v>519</v>
      </c>
      <c r="I125" t="s">
        <v>520</v>
      </c>
      <c r="J125" t="s">
        <v>26</v>
      </c>
      <c r="K125" t="s">
        <v>27</v>
      </c>
      <c r="L125" t="s">
        <v>521</v>
      </c>
      <c r="M125" t="s">
        <v>245</v>
      </c>
      <c r="N125">
        <v>19805</v>
      </c>
      <c r="O125" t="s">
        <v>148</v>
      </c>
      <c r="P125" t="s">
        <v>528</v>
      </c>
      <c r="Q125" t="s">
        <v>71</v>
      </c>
      <c r="R125" t="s">
        <v>72</v>
      </c>
      <c r="S125" t="s">
        <v>529</v>
      </c>
      <c r="T125" s="4">
        <v>68.040000000000006</v>
      </c>
      <c r="U125">
        <v>7</v>
      </c>
      <c r="V125">
        <v>0</v>
      </c>
      <c r="W125" s="4">
        <v>19.7316</v>
      </c>
    </row>
    <row r="126" spans="1:23" x14ac:dyDescent="0.3">
      <c r="A126">
        <v>125</v>
      </c>
      <c r="B126" t="s">
        <v>530</v>
      </c>
      <c r="C126" s="3">
        <v>42412</v>
      </c>
      <c r="D126" s="7" t="str">
        <f t="shared" si="2"/>
        <v>February</v>
      </c>
      <c r="E126" s="3">
        <f t="shared" si="3"/>
        <v>42429</v>
      </c>
      <c r="F126" s="3">
        <v>42472</v>
      </c>
      <c r="G126" t="s">
        <v>23</v>
      </c>
      <c r="H126" t="s">
        <v>531</v>
      </c>
      <c r="I126" t="s">
        <v>532</v>
      </c>
      <c r="J126" t="s">
        <v>102</v>
      </c>
      <c r="K126" t="s">
        <v>27</v>
      </c>
      <c r="L126" t="s">
        <v>184</v>
      </c>
      <c r="M126" t="s">
        <v>104</v>
      </c>
      <c r="N126">
        <v>77041</v>
      </c>
      <c r="O126" t="s">
        <v>105</v>
      </c>
      <c r="P126" t="s">
        <v>533</v>
      </c>
      <c r="Q126" t="s">
        <v>32</v>
      </c>
      <c r="R126" t="s">
        <v>36</v>
      </c>
      <c r="S126" t="s">
        <v>534</v>
      </c>
      <c r="T126" s="4">
        <v>600.55799999999999</v>
      </c>
      <c r="U126">
        <v>3</v>
      </c>
      <c r="V126">
        <v>0.3</v>
      </c>
      <c r="W126" s="4">
        <v>-8.5793999999999997</v>
      </c>
    </row>
    <row r="127" spans="1:23" x14ac:dyDescent="0.3">
      <c r="A127">
        <v>126</v>
      </c>
      <c r="B127" t="s">
        <v>535</v>
      </c>
      <c r="C127" s="3">
        <v>42225</v>
      </c>
      <c r="D127" s="7" t="str">
        <f t="shared" si="2"/>
        <v>August</v>
      </c>
      <c r="E127" s="3">
        <f t="shared" si="3"/>
        <v>42247</v>
      </c>
      <c r="F127" s="3">
        <v>42378</v>
      </c>
      <c r="G127" t="s">
        <v>50</v>
      </c>
      <c r="H127" t="s">
        <v>536</v>
      </c>
      <c r="I127" t="s">
        <v>537</v>
      </c>
      <c r="J127" t="s">
        <v>26</v>
      </c>
      <c r="K127" t="s">
        <v>27</v>
      </c>
      <c r="L127" t="s">
        <v>538</v>
      </c>
      <c r="M127" t="s">
        <v>211</v>
      </c>
      <c r="N127">
        <v>61701</v>
      </c>
      <c r="O127" t="s">
        <v>105</v>
      </c>
      <c r="P127" t="s">
        <v>539</v>
      </c>
      <c r="Q127" t="s">
        <v>32</v>
      </c>
      <c r="R127" t="s">
        <v>56</v>
      </c>
      <c r="S127" t="s">
        <v>540</v>
      </c>
      <c r="T127" s="4">
        <v>617.70000000000005</v>
      </c>
      <c r="U127">
        <v>6</v>
      </c>
      <c r="V127">
        <v>0.5</v>
      </c>
      <c r="W127" s="4">
        <v>-407.68200000000002</v>
      </c>
    </row>
    <row r="128" spans="1:23" x14ac:dyDescent="0.3">
      <c r="A128">
        <v>127</v>
      </c>
      <c r="B128" t="s">
        <v>541</v>
      </c>
      <c r="C128" s="3">
        <v>42866</v>
      </c>
      <c r="D128" s="7" t="str">
        <f t="shared" si="2"/>
        <v>May</v>
      </c>
      <c r="E128" s="3">
        <f t="shared" si="3"/>
        <v>42886</v>
      </c>
      <c r="F128" s="3">
        <v>43080</v>
      </c>
      <c r="G128" t="s">
        <v>50</v>
      </c>
      <c r="H128" t="s">
        <v>542</v>
      </c>
      <c r="I128" t="s">
        <v>543</v>
      </c>
      <c r="J128" t="s">
        <v>26</v>
      </c>
      <c r="K128" t="s">
        <v>27</v>
      </c>
      <c r="L128" t="s">
        <v>544</v>
      </c>
      <c r="M128" t="s">
        <v>310</v>
      </c>
      <c r="N128">
        <v>85023</v>
      </c>
      <c r="O128" t="s">
        <v>44</v>
      </c>
      <c r="P128" t="s">
        <v>545</v>
      </c>
      <c r="Q128" t="s">
        <v>46</v>
      </c>
      <c r="R128" t="s">
        <v>75</v>
      </c>
      <c r="S128" t="s">
        <v>546</v>
      </c>
      <c r="T128" s="4">
        <v>2.3879999999999999</v>
      </c>
      <c r="U128">
        <v>2</v>
      </c>
      <c r="V128">
        <v>0.7</v>
      </c>
      <c r="W128" s="4">
        <v>-1.8308</v>
      </c>
    </row>
    <row r="129" spans="1:23" x14ac:dyDescent="0.3">
      <c r="A129">
        <v>128</v>
      </c>
      <c r="B129" t="s">
        <v>541</v>
      </c>
      <c r="C129" s="3">
        <v>42866</v>
      </c>
      <c r="D129" s="7" t="str">
        <f t="shared" si="2"/>
        <v>May</v>
      </c>
      <c r="E129" s="3">
        <f t="shared" si="3"/>
        <v>42886</v>
      </c>
      <c r="F129" s="3">
        <v>43080</v>
      </c>
      <c r="G129" t="s">
        <v>50</v>
      </c>
      <c r="H129" t="s">
        <v>542</v>
      </c>
      <c r="I129" t="s">
        <v>543</v>
      </c>
      <c r="J129" t="s">
        <v>26</v>
      </c>
      <c r="K129" t="s">
        <v>27</v>
      </c>
      <c r="L129" t="s">
        <v>544</v>
      </c>
      <c r="M129" t="s">
        <v>310</v>
      </c>
      <c r="N129">
        <v>85023</v>
      </c>
      <c r="O129" t="s">
        <v>44</v>
      </c>
      <c r="P129" t="s">
        <v>547</v>
      </c>
      <c r="Q129" t="s">
        <v>46</v>
      </c>
      <c r="R129" t="s">
        <v>59</v>
      </c>
      <c r="S129" t="s">
        <v>548</v>
      </c>
      <c r="T129" s="4">
        <v>243.99199999999999</v>
      </c>
      <c r="U129">
        <v>7</v>
      </c>
      <c r="V129">
        <v>0.2</v>
      </c>
      <c r="W129" s="4">
        <v>30.498999999999999</v>
      </c>
    </row>
    <row r="130" spans="1:23" x14ac:dyDescent="0.3">
      <c r="A130">
        <v>129</v>
      </c>
      <c r="B130" t="s">
        <v>549</v>
      </c>
      <c r="C130" s="3">
        <v>42532</v>
      </c>
      <c r="D130" s="7" t="str">
        <f t="shared" si="2"/>
        <v>June</v>
      </c>
      <c r="E130" s="3">
        <f t="shared" si="3"/>
        <v>42551</v>
      </c>
      <c r="F130" s="3">
        <v>42654</v>
      </c>
      <c r="G130" t="s">
        <v>23</v>
      </c>
      <c r="H130" t="s">
        <v>550</v>
      </c>
      <c r="I130" t="s">
        <v>551</v>
      </c>
      <c r="J130" t="s">
        <v>102</v>
      </c>
      <c r="K130" t="s">
        <v>27</v>
      </c>
      <c r="L130" t="s">
        <v>42</v>
      </c>
      <c r="M130" t="s">
        <v>43</v>
      </c>
      <c r="N130">
        <v>90004</v>
      </c>
      <c r="O130" t="s">
        <v>44</v>
      </c>
      <c r="P130" t="s">
        <v>304</v>
      </c>
      <c r="Q130" t="s">
        <v>32</v>
      </c>
      <c r="R130" t="s">
        <v>36</v>
      </c>
      <c r="S130" t="s">
        <v>552</v>
      </c>
      <c r="T130" s="4">
        <v>81.424000000000007</v>
      </c>
      <c r="U130">
        <v>2</v>
      </c>
      <c r="V130">
        <v>0.2</v>
      </c>
      <c r="W130" s="4">
        <v>-9.1601999999999997</v>
      </c>
    </row>
    <row r="131" spans="1:23" x14ac:dyDescent="0.3">
      <c r="A131">
        <v>130</v>
      </c>
      <c r="B131" t="s">
        <v>549</v>
      </c>
      <c r="C131" s="3">
        <v>42532</v>
      </c>
      <c r="D131" s="7" t="str">
        <f t="shared" ref="D131:D194" si="4">TEXT(C131,"mmmm")</f>
        <v>June</v>
      </c>
      <c r="E131" s="3">
        <f t="shared" ref="E131:E194" si="5">EOMONTH(C131,0)</f>
        <v>42551</v>
      </c>
      <c r="F131" s="3">
        <v>42654</v>
      </c>
      <c r="G131" t="s">
        <v>23</v>
      </c>
      <c r="H131" t="s">
        <v>550</v>
      </c>
      <c r="I131" t="s">
        <v>551</v>
      </c>
      <c r="J131" t="s">
        <v>102</v>
      </c>
      <c r="K131" t="s">
        <v>27</v>
      </c>
      <c r="L131" t="s">
        <v>42</v>
      </c>
      <c r="M131" t="s">
        <v>43</v>
      </c>
      <c r="N131">
        <v>90004</v>
      </c>
      <c r="O131" t="s">
        <v>44</v>
      </c>
      <c r="P131" t="s">
        <v>553</v>
      </c>
      <c r="Q131" t="s">
        <v>32</v>
      </c>
      <c r="R131" t="s">
        <v>65</v>
      </c>
      <c r="S131" t="s">
        <v>554</v>
      </c>
      <c r="T131" s="4">
        <v>238.56</v>
      </c>
      <c r="U131">
        <v>3</v>
      </c>
      <c r="V131">
        <v>0</v>
      </c>
      <c r="W131" s="4">
        <v>26.241599999999998</v>
      </c>
    </row>
    <row r="132" spans="1:23" x14ac:dyDescent="0.3">
      <c r="A132">
        <v>131</v>
      </c>
      <c r="B132" t="s">
        <v>555</v>
      </c>
      <c r="C132" s="3">
        <v>42768</v>
      </c>
      <c r="D132" s="7" t="str">
        <f t="shared" si="4"/>
        <v>February</v>
      </c>
      <c r="E132" s="3">
        <f t="shared" si="5"/>
        <v>42794</v>
      </c>
      <c r="F132" s="3">
        <v>42857</v>
      </c>
      <c r="G132" t="s">
        <v>188</v>
      </c>
      <c r="H132" t="s">
        <v>556</v>
      </c>
      <c r="I132" t="s">
        <v>557</v>
      </c>
      <c r="J132" t="s">
        <v>41</v>
      </c>
      <c r="K132" t="s">
        <v>27</v>
      </c>
      <c r="L132" t="s">
        <v>497</v>
      </c>
      <c r="M132" t="s">
        <v>498</v>
      </c>
      <c r="N132">
        <v>43229</v>
      </c>
      <c r="O132" t="s">
        <v>148</v>
      </c>
      <c r="P132" t="s">
        <v>558</v>
      </c>
      <c r="Q132" t="s">
        <v>71</v>
      </c>
      <c r="R132" t="s">
        <v>72</v>
      </c>
      <c r="S132" t="s">
        <v>559</v>
      </c>
      <c r="T132" s="4">
        <v>59.97</v>
      </c>
      <c r="U132">
        <v>5</v>
      </c>
      <c r="V132">
        <v>0.4</v>
      </c>
      <c r="W132" s="4">
        <v>-11.994</v>
      </c>
    </row>
    <row r="133" spans="1:23" x14ac:dyDescent="0.3">
      <c r="A133">
        <v>132</v>
      </c>
      <c r="B133" t="s">
        <v>555</v>
      </c>
      <c r="C133" s="3">
        <v>42768</v>
      </c>
      <c r="D133" s="7" t="str">
        <f t="shared" si="4"/>
        <v>February</v>
      </c>
      <c r="E133" s="3">
        <f t="shared" si="5"/>
        <v>42794</v>
      </c>
      <c r="F133" s="3">
        <v>42857</v>
      </c>
      <c r="G133" t="s">
        <v>188</v>
      </c>
      <c r="H133" t="s">
        <v>556</v>
      </c>
      <c r="I133" t="s">
        <v>557</v>
      </c>
      <c r="J133" t="s">
        <v>41</v>
      </c>
      <c r="K133" t="s">
        <v>27</v>
      </c>
      <c r="L133" t="s">
        <v>497</v>
      </c>
      <c r="M133" t="s">
        <v>498</v>
      </c>
      <c r="N133">
        <v>43229</v>
      </c>
      <c r="O133" t="s">
        <v>148</v>
      </c>
      <c r="P133" t="s">
        <v>560</v>
      </c>
      <c r="Q133" t="s">
        <v>46</v>
      </c>
      <c r="R133" t="s">
        <v>90</v>
      </c>
      <c r="S133" t="s">
        <v>561</v>
      </c>
      <c r="T133" s="4">
        <v>78.304000000000002</v>
      </c>
      <c r="U133">
        <v>2</v>
      </c>
      <c r="V133">
        <v>0.2</v>
      </c>
      <c r="W133" s="4">
        <v>29.364000000000001</v>
      </c>
    </row>
    <row r="134" spans="1:23" x14ac:dyDescent="0.3">
      <c r="A134">
        <v>133</v>
      </c>
      <c r="B134" t="s">
        <v>555</v>
      </c>
      <c r="C134" s="3">
        <v>42768</v>
      </c>
      <c r="D134" s="7" t="str">
        <f t="shared" si="4"/>
        <v>February</v>
      </c>
      <c r="E134" s="3">
        <f t="shared" si="5"/>
        <v>42794</v>
      </c>
      <c r="F134" s="3">
        <v>42857</v>
      </c>
      <c r="G134" t="s">
        <v>188</v>
      </c>
      <c r="H134" t="s">
        <v>556</v>
      </c>
      <c r="I134" t="s">
        <v>557</v>
      </c>
      <c r="J134" t="s">
        <v>41</v>
      </c>
      <c r="K134" t="s">
        <v>27</v>
      </c>
      <c r="L134" t="s">
        <v>497</v>
      </c>
      <c r="M134" t="s">
        <v>498</v>
      </c>
      <c r="N134">
        <v>43229</v>
      </c>
      <c r="O134" t="s">
        <v>148</v>
      </c>
      <c r="P134" t="s">
        <v>562</v>
      </c>
      <c r="Q134" t="s">
        <v>46</v>
      </c>
      <c r="R134" t="s">
        <v>269</v>
      </c>
      <c r="S134" t="s">
        <v>563</v>
      </c>
      <c r="T134" s="4">
        <v>21.456</v>
      </c>
      <c r="U134">
        <v>9</v>
      </c>
      <c r="V134">
        <v>0.2</v>
      </c>
      <c r="W134" s="4">
        <v>6.9732000000000003</v>
      </c>
    </row>
    <row r="135" spans="1:23" x14ac:dyDescent="0.3">
      <c r="A135">
        <v>134</v>
      </c>
      <c r="B135" t="s">
        <v>564</v>
      </c>
      <c r="C135" s="3">
        <v>42745</v>
      </c>
      <c r="D135" s="7" t="str">
        <f t="shared" si="4"/>
        <v>January</v>
      </c>
      <c r="E135" s="3">
        <f t="shared" si="5"/>
        <v>42766</v>
      </c>
      <c r="F135" s="3">
        <v>42926</v>
      </c>
      <c r="G135" t="s">
        <v>50</v>
      </c>
      <c r="H135" t="s">
        <v>565</v>
      </c>
      <c r="I135" t="s">
        <v>566</v>
      </c>
      <c r="J135" t="s">
        <v>26</v>
      </c>
      <c r="K135" t="s">
        <v>27</v>
      </c>
      <c r="L135" t="s">
        <v>567</v>
      </c>
      <c r="M135" t="s">
        <v>43</v>
      </c>
      <c r="N135">
        <v>95661</v>
      </c>
      <c r="O135" t="s">
        <v>44</v>
      </c>
      <c r="P135" t="s">
        <v>568</v>
      </c>
      <c r="Q135" t="s">
        <v>46</v>
      </c>
      <c r="R135" t="s">
        <v>90</v>
      </c>
      <c r="S135" t="s">
        <v>569</v>
      </c>
      <c r="T135" s="4">
        <v>20.04</v>
      </c>
      <c r="U135">
        <v>3</v>
      </c>
      <c r="V135">
        <v>0</v>
      </c>
      <c r="W135" s="4">
        <v>9.6191999999999993</v>
      </c>
    </row>
    <row r="136" spans="1:23" x14ac:dyDescent="0.3">
      <c r="A136">
        <v>135</v>
      </c>
      <c r="B136" t="s">
        <v>564</v>
      </c>
      <c r="C136" s="3">
        <v>42745</v>
      </c>
      <c r="D136" s="7" t="str">
        <f t="shared" si="4"/>
        <v>January</v>
      </c>
      <c r="E136" s="3">
        <f t="shared" si="5"/>
        <v>42766</v>
      </c>
      <c r="F136" s="3">
        <v>42926</v>
      </c>
      <c r="G136" t="s">
        <v>50</v>
      </c>
      <c r="H136" t="s">
        <v>565</v>
      </c>
      <c r="I136" t="s">
        <v>566</v>
      </c>
      <c r="J136" t="s">
        <v>26</v>
      </c>
      <c r="K136" t="s">
        <v>27</v>
      </c>
      <c r="L136" t="s">
        <v>567</v>
      </c>
      <c r="M136" t="s">
        <v>43</v>
      </c>
      <c r="N136">
        <v>95661</v>
      </c>
      <c r="O136" t="s">
        <v>44</v>
      </c>
      <c r="P136" t="s">
        <v>570</v>
      </c>
      <c r="Q136" t="s">
        <v>46</v>
      </c>
      <c r="R136" t="s">
        <v>90</v>
      </c>
      <c r="S136" t="s">
        <v>571</v>
      </c>
      <c r="T136" s="4">
        <v>35.44</v>
      </c>
      <c r="U136">
        <v>1</v>
      </c>
      <c r="V136">
        <v>0</v>
      </c>
      <c r="W136" s="4">
        <v>16.6568</v>
      </c>
    </row>
    <row r="137" spans="1:23" x14ac:dyDescent="0.3">
      <c r="A137">
        <v>136</v>
      </c>
      <c r="B137" t="s">
        <v>564</v>
      </c>
      <c r="C137" s="3">
        <v>42745</v>
      </c>
      <c r="D137" s="7" t="str">
        <f t="shared" si="4"/>
        <v>January</v>
      </c>
      <c r="E137" s="3">
        <f t="shared" si="5"/>
        <v>42766</v>
      </c>
      <c r="F137" s="3">
        <v>42926</v>
      </c>
      <c r="G137" t="s">
        <v>50</v>
      </c>
      <c r="H137" t="s">
        <v>565</v>
      </c>
      <c r="I137" t="s">
        <v>566</v>
      </c>
      <c r="J137" t="s">
        <v>26</v>
      </c>
      <c r="K137" t="s">
        <v>27</v>
      </c>
      <c r="L137" t="s">
        <v>567</v>
      </c>
      <c r="M137" t="s">
        <v>43</v>
      </c>
      <c r="N137">
        <v>95661</v>
      </c>
      <c r="O137" t="s">
        <v>44</v>
      </c>
      <c r="P137" t="s">
        <v>572</v>
      </c>
      <c r="Q137" t="s">
        <v>46</v>
      </c>
      <c r="R137" t="s">
        <v>68</v>
      </c>
      <c r="S137" t="s">
        <v>573</v>
      </c>
      <c r="T137" s="4">
        <v>11.52</v>
      </c>
      <c r="U137">
        <v>4</v>
      </c>
      <c r="V137">
        <v>0</v>
      </c>
      <c r="W137" s="4">
        <v>3.456</v>
      </c>
    </row>
    <row r="138" spans="1:23" x14ac:dyDescent="0.3">
      <c r="A138">
        <v>137</v>
      </c>
      <c r="B138" t="s">
        <v>564</v>
      </c>
      <c r="C138" s="3">
        <v>42745</v>
      </c>
      <c r="D138" s="7" t="str">
        <f t="shared" si="4"/>
        <v>January</v>
      </c>
      <c r="E138" s="3">
        <f t="shared" si="5"/>
        <v>42766</v>
      </c>
      <c r="F138" s="3">
        <v>42926</v>
      </c>
      <c r="G138" t="s">
        <v>50</v>
      </c>
      <c r="H138" t="s">
        <v>565</v>
      </c>
      <c r="I138" t="s">
        <v>566</v>
      </c>
      <c r="J138" t="s">
        <v>26</v>
      </c>
      <c r="K138" t="s">
        <v>27</v>
      </c>
      <c r="L138" t="s">
        <v>567</v>
      </c>
      <c r="M138" t="s">
        <v>43</v>
      </c>
      <c r="N138">
        <v>95661</v>
      </c>
      <c r="O138" t="s">
        <v>44</v>
      </c>
      <c r="P138" t="s">
        <v>574</v>
      </c>
      <c r="Q138" t="s">
        <v>46</v>
      </c>
      <c r="R138" t="s">
        <v>269</v>
      </c>
      <c r="S138" t="s">
        <v>575</v>
      </c>
      <c r="T138" s="4">
        <v>4.0199999999999996</v>
      </c>
      <c r="U138">
        <v>2</v>
      </c>
      <c r="V138">
        <v>0</v>
      </c>
      <c r="W138" s="4">
        <v>1.9698</v>
      </c>
    </row>
    <row r="139" spans="1:23" x14ac:dyDescent="0.3">
      <c r="A139">
        <v>138</v>
      </c>
      <c r="B139" t="s">
        <v>564</v>
      </c>
      <c r="C139" s="3">
        <v>42745</v>
      </c>
      <c r="D139" s="7" t="str">
        <f t="shared" si="4"/>
        <v>January</v>
      </c>
      <c r="E139" s="3">
        <f t="shared" si="5"/>
        <v>42766</v>
      </c>
      <c r="F139" s="3">
        <v>42926</v>
      </c>
      <c r="G139" t="s">
        <v>50</v>
      </c>
      <c r="H139" t="s">
        <v>565</v>
      </c>
      <c r="I139" t="s">
        <v>566</v>
      </c>
      <c r="J139" t="s">
        <v>26</v>
      </c>
      <c r="K139" t="s">
        <v>27</v>
      </c>
      <c r="L139" t="s">
        <v>567</v>
      </c>
      <c r="M139" t="s">
        <v>43</v>
      </c>
      <c r="N139">
        <v>95661</v>
      </c>
      <c r="O139" t="s">
        <v>44</v>
      </c>
      <c r="P139" t="s">
        <v>576</v>
      </c>
      <c r="Q139" t="s">
        <v>46</v>
      </c>
      <c r="R139" t="s">
        <v>75</v>
      </c>
      <c r="S139" t="s">
        <v>577</v>
      </c>
      <c r="T139" s="4">
        <v>76.176000000000002</v>
      </c>
      <c r="U139">
        <v>3</v>
      </c>
      <c r="V139">
        <v>0.2</v>
      </c>
      <c r="W139" s="4">
        <v>26.6616</v>
      </c>
    </row>
    <row r="140" spans="1:23" x14ac:dyDescent="0.3">
      <c r="A140">
        <v>139</v>
      </c>
      <c r="B140" t="s">
        <v>564</v>
      </c>
      <c r="C140" s="3">
        <v>42745</v>
      </c>
      <c r="D140" s="7" t="str">
        <f t="shared" si="4"/>
        <v>January</v>
      </c>
      <c r="E140" s="3">
        <f t="shared" si="5"/>
        <v>42766</v>
      </c>
      <c r="F140" s="3">
        <v>42926</v>
      </c>
      <c r="G140" t="s">
        <v>50</v>
      </c>
      <c r="H140" t="s">
        <v>565</v>
      </c>
      <c r="I140" t="s">
        <v>566</v>
      </c>
      <c r="J140" t="s">
        <v>26</v>
      </c>
      <c r="K140" t="s">
        <v>27</v>
      </c>
      <c r="L140" t="s">
        <v>567</v>
      </c>
      <c r="M140" t="s">
        <v>43</v>
      </c>
      <c r="N140">
        <v>95661</v>
      </c>
      <c r="O140" t="s">
        <v>44</v>
      </c>
      <c r="P140" t="s">
        <v>578</v>
      </c>
      <c r="Q140" t="s">
        <v>46</v>
      </c>
      <c r="R140" t="s">
        <v>579</v>
      </c>
      <c r="S140" t="s">
        <v>580</v>
      </c>
      <c r="T140" s="4">
        <v>65.88</v>
      </c>
      <c r="U140">
        <v>6</v>
      </c>
      <c r="V140">
        <v>0</v>
      </c>
      <c r="W140" s="4">
        <v>18.446400000000001</v>
      </c>
    </row>
    <row r="141" spans="1:23" x14ac:dyDescent="0.3">
      <c r="A141">
        <v>140</v>
      </c>
      <c r="B141" t="s">
        <v>564</v>
      </c>
      <c r="C141" s="3">
        <v>42745</v>
      </c>
      <c r="D141" s="7" t="str">
        <f t="shared" si="4"/>
        <v>January</v>
      </c>
      <c r="E141" s="3">
        <f t="shared" si="5"/>
        <v>42766</v>
      </c>
      <c r="F141" s="3">
        <v>42926</v>
      </c>
      <c r="G141" t="s">
        <v>50</v>
      </c>
      <c r="H141" t="s">
        <v>565</v>
      </c>
      <c r="I141" t="s">
        <v>566</v>
      </c>
      <c r="J141" t="s">
        <v>26</v>
      </c>
      <c r="K141" t="s">
        <v>27</v>
      </c>
      <c r="L141" t="s">
        <v>567</v>
      </c>
      <c r="M141" t="s">
        <v>43</v>
      </c>
      <c r="N141">
        <v>95661</v>
      </c>
      <c r="O141" t="s">
        <v>44</v>
      </c>
      <c r="P141" t="s">
        <v>259</v>
      </c>
      <c r="Q141" t="s">
        <v>32</v>
      </c>
      <c r="R141" t="s">
        <v>65</v>
      </c>
      <c r="S141" t="s">
        <v>260</v>
      </c>
      <c r="T141" s="4">
        <v>43.12</v>
      </c>
      <c r="U141">
        <v>14</v>
      </c>
      <c r="V141">
        <v>0</v>
      </c>
      <c r="W141" s="4">
        <v>20.697600000000001</v>
      </c>
    </row>
    <row r="142" spans="1:23" x14ac:dyDescent="0.3">
      <c r="A142">
        <v>141</v>
      </c>
      <c r="B142" t="s">
        <v>581</v>
      </c>
      <c r="C142" s="3">
        <v>42499</v>
      </c>
      <c r="D142" s="7" t="str">
        <f t="shared" si="4"/>
        <v>May</v>
      </c>
      <c r="E142" s="3">
        <f t="shared" si="5"/>
        <v>42521</v>
      </c>
      <c r="F142" s="3">
        <v>42560</v>
      </c>
      <c r="G142" t="s">
        <v>23</v>
      </c>
      <c r="H142" t="s">
        <v>582</v>
      </c>
      <c r="I142" t="s">
        <v>583</v>
      </c>
      <c r="J142" t="s">
        <v>41</v>
      </c>
      <c r="K142" t="s">
        <v>27</v>
      </c>
      <c r="L142" t="s">
        <v>146</v>
      </c>
      <c r="M142" t="s">
        <v>147</v>
      </c>
      <c r="N142">
        <v>19140</v>
      </c>
      <c r="O142" t="s">
        <v>148</v>
      </c>
      <c r="P142" t="s">
        <v>170</v>
      </c>
      <c r="Q142" t="s">
        <v>32</v>
      </c>
      <c r="R142" t="s">
        <v>65</v>
      </c>
      <c r="S142" t="s">
        <v>171</v>
      </c>
      <c r="T142" s="4">
        <v>82.8</v>
      </c>
      <c r="U142">
        <v>2</v>
      </c>
      <c r="V142">
        <v>0.2</v>
      </c>
      <c r="W142" s="4">
        <v>10.35</v>
      </c>
    </row>
    <row r="143" spans="1:23" x14ac:dyDescent="0.3">
      <c r="A143">
        <v>142</v>
      </c>
      <c r="B143" t="s">
        <v>584</v>
      </c>
      <c r="C143" s="3">
        <v>43260</v>
      </c>
      <c r="D143" s="7" t="str">
        <f t="shared" si="4"/>
        <v>June</v>
      </c>
      <c r="E143" s="3">
        <f t="shared" si="5"/>
        <v>43281</v>
      </c>
      <c r="F143" s="3">
        <v>43413</v>
      </c>
      <c r="G143" t="s">
        <v>50</v>
      </c>
      <c r="H143" t="s">
        <v>585</v>
      </c>
      <c r="I143" t="s">
        <v>586</v>
      </c>
      <c r="J143" t="s">
        <v>41</v>
      </c>
      <c r="K143" t="s">
        <v>27</v>
      </c>
      <c r="L143" t="s">
        <v>127</v>
      </c>
      <c r="M143" t="s">
        <v>43</v>
      </c>
      <c r="N143">
        <v>94122</v>
      </c>
      <c r="O143" t="s">
        <v>44</v>
      </c>
      <c r="P143" t="s">
        <v>587</v>
      </c>
      <c r="Q143" t="s">
        <v>46</v>
      </c>
      <c r="R143" t="s">
        <v>68</v>
      </c>
      <c r="S143" t="s">
        <v>588</v>
      </c>
      <c r="T143" s="4">
        <v>8.82</v>
      </c>
      <c r="U143">
        <v>3</v>
      </c>
      <c r="V143">
        <v>0</v>
      </c>
      <c r="W143" s="4">
        <v>2.3814000000000002</v>
      </c>
    </row>
    <row r="144" spans="1:23" x14ac:dyDescent="0.3">
      <c r="A144">
        <v>143</v>
      </c>
      <c r="B144" t="s">
        <v>584</v>
      </c>
      <c r="C144" s="3">
        <v>43260</v>
      </c>
      <c r="D144" s="7" t="str">
        <f t="shared" si="4"/>
        <v>June</v>
      </c>
      <c r="E144" s="3">
        <f t="shared" si="5"/>
        <v>43281</v>
      </c>
      <c r="F144" s="3">
        <v>43413</v>
      </c>
      <c r="G144" t="s">
        <v>50</v>
      </c>
      <c r="H144" t="s">
        <v>585</v>
      </c>
      <c r="I144" t="s">
        <v>586</v>
      </c>
      <c r="J144" t="s">
        <v>41</v>
      </c>
      <c r="K144" t="s">
        <v>27</v>
      </c>
      <c r="L144" t="s">
        <v>127</v>
      </c>
      <c r="M144" t="s">
        <v>43</v>
      </c>
      <c r="N144">
        <v>94122</v>
      </c>
      <c r="O144" t="s">
        <v>44</v>
      </c>
      <c r="P144" t="s">
        <v>589</v>
      </c>
      <c r="Q144" t="s">
        <v>46</v>
      </c>
      <c r="R144" t="s">
        <v>173</v>
      </c>
      <c r="S144" t="s">
        <v>590</v>
      </c>
      <c r="T144" s="4">
        <v>10.86</v>
      </c>
      <c r="U144">
        <v>3</v>
      </c>
      <c r="V144">
        <v>0</v>
      </c>
      <c r="W144" s="4">
        <v>5.1041999999999996</v>
      </c>
    </row>
    <row r="145" spans="1:23" x14ac:dyDescent="0.3">
      <c r="A145">
        <v>144</v>
      </c>
      <c r="B145" t="s">
        <v>584</v>
      </c>
      <c r="C145" s="3">
        <v>43260</v>
      </c>
      <c r="D145" s="7" t="str">
        <f t="shared" si="4"/>
        <v>June</v>
      </c>
      <c r="E145" s="3">
        <f t="shared" si="5"/>
        <v>43281</v>
      </c>
      <c r="F145" s="3">
        <v>43413</v>
      </c>
      <c r="G145" t="s">
        <v>50</v>
      </c>
      <c r="H145" t="s">
        <v>585</v>
      </c>
      <c r="I145" t="s">
        <v>586</v>
      </c>
      <c r="J145" t="s">
        <v>41</v>
      </c>
      <c r="K145" t="s">
        <v>27</v>
      </c>
      <c r="L145" t="s">
        <v>127</v>
      </c>
      <c r="M145" t="s">
        <v>43</v>
      </c>
      <c r="N145">
        <v>94122</v>
      </c>
      <c r="O145" t="s">
        <v>44</v>
      </c>
      <c r="P145" t="s">
        <v>591</v>
      </c>
      <c r="Q145" t="s">
        <v>46</v>
      </c>
      <c r="R145" t="s">
        <v>90</v>
      </c>
      <c r="S145" t="s">
        <v>592</v>
      </c>
      <c r="T145" s="4">
        <v>143.69999999999999</v>
      </c>
      <c r="U145">
        <v>3</v>
      </c>
      <c r="V145">
        <v>0</v>
      </c>
      <c r="W145" s="4">
        <v>68.975999999999999</v>
      </c>
    </row>
    <row r="146" spans="1:23" x14ac:dyDescent="0.3">
      <c r="A146">
        <v>145</v>
      </c>
      <c r="B146" t="s">
        <v>593</v>
      </c>
      <c r="C146" s="3">
        <v>43385</v>
      </c>
      <c r="D146" s="7" t="str">
        <f t="shared" si="4"/>
        <v>October</v>
      </c>
      <c r="E146" s="3">
        <f t="shared" si="5"/>
        <v>43404</v>
      </c>
      <c r="F146" s="3">
        <v>43536</v>
      </c>
      <c r="G146" t="s">
        <v>50</v>
      </c>
      <c r="H146" t="s">
        <v>594</v>
      </c>
      <c r="I146" t="s">
        <v>595</v>
      </c>
      <c r="J146" t="s">
        <v>26</v>
      </c>
      <c r="K146" t="s">
        <v>27</v>
      </c>
      <c r="L146" t="s">
        <v>596</v>
      </c>
      <c r="M146" t="s">
        <v>597</v>
      </c>
      <c r="N146">
        <v>64055</v>
      </c>
      <c r="O146" t="s">
        <v>105</v>
      </c>
      <c r="P146" t="s">
        <v>598</v>
      </c>
      <c r="Q146" t="s">
        <v>46</v>
      </c>
      <c r="R146" t="s">
        <v>78</v>
      </c>
      <c r="S146" t="s">
        <v>599</v>
      </c>
      <c r="T146" s="4">
        <v>839.43</v>
      </c>
      <c r="U146">
        <v>3</v>
      </c>
      <c r="V146">
        <v>0</v>
      </c>
      <c r="W146" s="4">
        <v>218.2518</v>
      </c>
    </row>
    <row r="147" spans="1:23" x14ac:dyDescent="0.3">
      <c r="A147">
        <v>146</v>
      </c>
      <c r="B147" t="s">
        <v>600</v>
      </c>
      <c r="C147" s="3">
        <v>42194</v>
      </c>
      <c r="D147" s="7" t="str">
        <f t="shared" si="4"/>
        <v>July</v>
      </c>
      <c r="E147" s="3">
        <f t="shared" si="5"/>
        <v>42216</v>
      </c>
      <c r="F147" s="3">
        <v>42347</v>
      </c>
      <c r="G147" t="s">
        <v>50</v>
      </c>
      <c r="H147" t="s">
        <v>601</v>
      </c>
      <c r="I147" t="s">
        <v>602</v>
      </c>
      <c r="J147" t="s">
        <v>26</v>
      </c>
      <c r="K147" t="s">
        <v>27</v>
      </c>
      <c r="L147" t="s">
        <v>603</v>
      </c>
      <c r="M147" t="s">
        <v>43</v>
      </c>
      <c r="N147">
        <v>91104</v>
      </c>
      <c r="O147" t="s">
        <v>44</v>
      </c>
      <c r="P147" t="s">
        <v>379</v>
      </c>
      <c r="Q147" t="s">
        <v>46</v>
      </c>
      <c r="R147" t="s">
        <v>59</v>
      </c>
      <c r="S147" t="s">
        <v>380</v>
      </c>
      <c r="T147" s="4">
        <v>671.93</v>
      </c>
      <c r="U147">
        <v>7</v>
      </c>
      <c r="V147">
        <v>0</v>
      </c>
      <c r="W147" s="4">
        <v>20.157900000000001</v>
      </c>
    </row>
    <row r="148" spans="1:23" x14ac:dyDescent="0.3">
      <c r="A148">
        <v>147</v>
      </c>
      <c r="B148" t="s">
        <v>604</v>
      </c>
      <c r="C148" s="3">
        <v>42287</v>
      </c>
      <c r="D148" s="7" t="str">
        <f t="shared" si="4"/>
        <v>October</v>
      </c>
      <c r="E148" s="3">
        <f t="shared" si="5"/>
        <v>42308</v>
      </c>
      <c r="F148" s="3">
        <v>42470</v>
      </c>
      <c r="G148" t="s">
        <v>50</v>
      </c>
      <c r="H148" t="s">
        <v>605</v>
      </c>
      <c r="I148" t="s">
        <v>606</v>
      </c>
      <c r="J148" t="s">
        <v>102</v>
      </c>
      <c r="K148" t="s">
        <v>27</v>
      </c>
      <c r="L148" t="s">
        <v>607</v>
      </c>
      <c r="M148" t="s">
        <v>498</v>
      </c>
      <c r="N148">
        <v>43055</v>
      </c>
      <c r="O148" t="s">
        <v>148</v>
      </c>
      <c r="P148" t="s">
        <v>608</v>
      </c>
      <c r="Q148" t="s">
        <v>32</v>
      </c>
      <c r="R148" t="s">
        <v>65</v>
      </c>
      <c r="S148" t="s">
        <v>609</v>
      </c>
      <c r="T148" s="4">
        <v>93.888000000000005</v>
      </c>
      <c r="U148">
        <v>4</v>
      </c>
      <c r="V148">
        <v>0.2</v>
      </c>
      <c r="W148" s="4">
        <v>12.909599999999999</v>
      </c>
    </row>
    <row r="149" spans="1:23" x14ac:dyDescent="0.3">
      <c r="A149">
        <v>148</v>
      </c>
      <c r="B149" t="s">
        <v>610</v>
      </c>
      <c r="C149" s="3">
        <v>42502</v>
      </c>
      <c r="D149" s="7" t="str">
        <f t="shared" si="4"/>
        <v>May</v>
      </c>
      <c r="E149" s="3">
        <f t="shared" si="5"/>
        <v>42521</v>
      </c>
      <c r="F149" s="3">
        <v>42625</v>
      </c>
      <c r="G149" t="s">
        <v>50</v>
      </c>
      <c r="H149" t="s">
        <v>611</v>
      </c>
      <c r="I149" t="s">
        <v>612</v>
      </c>
      <c r="J149" t="s">
        <v>41</v>
      </c>
      <c r="K149" t="s">
        <v>27</v>
      </c>
      <c r="L149" t="s">
        <v>613</v>
      </c>
      <c r="M149" t="s">
        <v>114</v>
      </c>
      <c r="N149">
        <v>53132</v>
      </c>
      <c r="O149" t="s">
        <v>105</v>
      </c>
      <c r="P149" t="s">
        <v>614</v>
      </c>
      <c r="Q149" t="s">
        <v>71</v>
      </c>
      <c r="R149" t="s">
        <v>72</v>
      </c>
      <c r="S149" t="s">
        <v>615</v>
      </c>
      <c r="T149" s="4">
        <v>384.45</v>
      </c>
      <c r="U149">
        <v>11</v>
      </c>
      <c r="V149">
        <v>0</v>
      </c>
      <c r="W149" s="4">
        <v>103.8015</v>
      </c>
    </row>
    <row r="150" spans="1:23" x14ac:dyDescent="0.3">
      <c r="A150">
        <v>149</v>
      </c>
      <c r="B150" t="s">
        <v>610</v>
      </c>
      <c r="C150" s="3">
        <v>42502</v>
      </c>
      <c r="D150" s="7" t="str">
        <f t="shared" si="4"/>
        <v>May</v>
      </c>
      <c r="E150" s="3">
        <f t="shared" si="5"/>
        <v>42521</v>
      </c>
      <c r="F150" s="3">
        <v>42625</v>
      </c>
      <c r="G150" t="s">
        <v>50</v>
      </c>
      <c r="H150" t="s">
        <v>611</v>
      </c>
      <c r="I150" t="s">
        <v>612</v>
      </c>
      <c r="J150" t="s">
        <v>41</v>
      </c>
      <c r="K150" t="s">
        <v>27</v>
      </c>
      <c r="L150" t="s">
        <v>613</v>
      </c>
      <c r="M150" t="s">
        <v>114</v>
      </c>
      <c r="N150">
        <v>53132</v>
      </c>
      <c r="O150" t="s">
        <v>105</v>
      </c>
      <c r="P150" t="s">
        <v>616</v>
      </c>
      <c r="Q150" t="s">
        <v>71</v>
      </c>
      <c r="R150" t="s">
        <v>72</v>
      </c>
      <c r="S150" t="s">
        <v>617</v>
      </c>
      <c r="T150" s="4">
        <v>149.97</v>
      </c>
      <c r="U150">
        <v>3</v>
      </c>
      <c r="V150">
        <v>0</v>
      </c>
      <c r="W150" s="4">
        <v>5.9988000000000001</v>
      </c>
    </row>
    <row r="151" spans="1:23" x14ac:dyDescent="0.3">
      <c r="A151">
        <v>150</v>
      </c>
      <c r="B151" t="s">
        <v>610</v>
      </c>
      <c r="C151" s="3">
        <v>42502</v>
      </c>
      <c r="D151" s="7" t="str">
        <f t="shared" si="4"/>
        <v>May</v>
      </c>
      <c r="E151" s="3">
        <f t="shared" si="5"/>
        <v>42521</v>
      </c>
      <c r="F151" s="3">
        <v>42625</v>
      </c>
      <c r="G151" t="s">
        <v>50</v>
      </c>
      <c r="H151" t="s">
        <v>611</v>
      </c>
      <c r="I151" t="s">
        <v>612</v>
      </c>
      <c r="J151" t="s">
        <v>41</v>
      </c>
      <c r="K151" t="s">
        <v>27</v>
      </c>
      <c r="L151" t="s">
        <v>613</v>
      </c>
      <c r="M151" t="s">
        <v>114</v>
      </c>
      <c r="N151">
        <v>53132</v>
      </c>
      <c r="O151" t="s">
        <v>105</v>
      </c>
      <c r="P151" t="s">
        <v>35</v>
      </c>
      <c r="Q151" t="s">
        <v>32</v>
      </c>
      <c r="R151" t="s">
        <v>36</v>
      </c>
      <c r="S151" t="s">
        <v>37</v>
      </c>
      <c r="T151" s="4">
        <v>1951.84</v>
      </c>
      <c r="U151">
        <v>8</v>
      </c>
      <c r="V151">
        <v>0</v>
      </c>
      <c r="W151" s="4">
        <v>585.55200000000002</v>
      </c>
    </row>
    <row r="152" spans="1:23" x14ac:dyDescent="0.3">
      <c r="A152">
        <v>151</v>
      </c>
      <c r="B152" t="s">
        <v>610</v>
      </c>
      <c r="C152" s="3">
        <v>42502</v>
      </c>
      <c r="D152" s="7" t="str">
        <f t="shared" si="4"/>
        <v>May</v>
      </c>
      <c r="E152" s="3">
        <f t="shared" si="5"/>
        <v>42521</v>
      </c>
      <c r="F152" s="3">
        <v>42625</v>
      </c>
      <c r="G152" t="s">
        <v>50</v>
      </c>
      <c r="H152" t="s">
        <v>611</v>
      </c>
      <c r="I152" t="s">
        <v>612</v>
      </c>
      <c r="J152" t="s">
        <v>41</v>
      </c>
      <c r="K152" t="s">
        <v>27</v>
      </c>
      <c r="L152" t="s">
        <v>613</v>
      </c>
      <c r="M152" t="s">
        <v>114</v>
      </c>
      <c r="N152">
        <v>53132</v>
      </c>
      <c r="O152" t="s">
        <v>105</v>
      </c>
      <c r="P152" t="s">
        <v>618</v>
      </c>
      <c r="Q152" t="s">
        <v>46</v>
      </c>
      <c r="R152" t="s">
        <v>75</v>
      </c>
      <c r="S152" t="s">
        <v>619</v>
      </c>
      <c r="T152" s="4">
        <v>171.55</v>
      </c>
      <c r="U152">
        <v>5</v>
      </c>
      <c r="V152">
        <v>0</v>
      </c>
      <c r="W152" s="4">
        <v>80.628500000000003</v>
      </c>
    </row>
    <row r="153" spans="1:23" x14ac:dyDescent="0.3">
      <c r="A153">
        <v>152</v>
      </c>
      <c r="B153" t="s">
        <v>620</v>
      </c>
      <c r="C153" s="3">
        <v>42738</v>
      </c>
      <c r="D153" s="7" t="str">
        <f t="shared" si="4"/>
        <v>January</v>
      </c>
      <c r="E153" s="3">
        <f t="shared" si="5"/>
        <v>42766</v>
      </c>
      <c r="F153" s="3">
        <v>42828</v>
      </c>
      <c r="G153" t="s">
        <v>188</v>
      </c>
      <c r="H153" t="s">
        <v>621</v>
      </c>
      <c r="I153" t="s">
        <v>622</v>
      </c>
      <c r="J153" t="s">
        <v>102</v>
      </c>
      <c r="K153" t="s">
        <v>27</v>
      </c>
      <c r="L153" t="s">
        <v>623</v>
      </c>
      <c r="M153" t="s">
        <v>310</v>
      </c>
      <c r="N153">
        <v>85254</v>
      </c>
      <c r="O153" t="s">
        <v>44</v>
      </c>
      <c r="P153" t="s">
        <v>624</v>
      </c>
      <c r="Q153" t="s">
        <v>46</v>
      </c>
      <c r="R153" t="s">
        <v>78</v>
      </c>
      <c r="S153" t="s">
        <v>625</v>
      </c>
      <c r="T153" s="4">
        <v>157.91999999999999</v>
      </c>
      <c r="U153">
        <v>5</v>
      </c>
      <c r="V153">
        <v>0.2</v>
      </c>
      <c r="W153" s="4">
        <v>17.765999999999998</v>
      </c>
    </row>
    <row r="154" spans="1:23" x14ac:dyDescent="0.3">
      <c r="A154">
        <v>153</v>
      </c>
      <c r="B154" t="s">
        <v>620</v>
      </c>
      <c r="C154" s="3">
        <v>42738</v>
      </c>
      <c r="D154" s="7" t="str">
        <f t="shared" si="4"/>
        <v>January</v>
      </c>
      <c r="E154" s="3">
        <f t="shared" si="5"/>
        <v>42766</v>
      </c>
      <c r="F154" s="3">
        <v>42828</v>
      </c>
      <c r="G154" t="s">
        <v>188</v>
      </c>
      <c r="H154" t="s">
        <v>621</v>
      </c>
      <c r="I154" t="s">
        <v>622</v>
      </c>
      <c r="J154" t="s">
        <v>102</v>
      </c>
      <c r="K154" t="s">
        <v>27</v>
      </c>
      <c r="L154" t="s">
        <v>623</v>
      </c>
      <c r="M154" t="s">
        <v>310</v>
      </c>
      <c r="N154">
        <v>85254</v>
      </c>
      <c r="O154" t="s">
        <v>44</v>
      </c>
      <c r="P154" t="s">
        <v>626</v>
      </c>
      <c r="Q154" t="s">
        <v>71</v>
      </c>
      <c r="R154" t="s">
        <v>72</v>
      </c>
      <c r="S154" t="s">
        <v>627</v>
      </c>
      <c r="T154" s="4">
        <v>203.184</v>
      </c>
      <c r="U154">
        <v>2</v>
      </c>
      <c r="V154">
        <v>0.2</v>
      </c>
      <c r="W154" s="4">
        <v>15.238799999999999</v>
      </c>
    </row>
    <row r="155" spans="1:23" x14ac:dyDescent="0.3">
      <c r="A155">
        <v>154</v>
      </c>
      <c r="B155" t="s">
        <v>628</v>
      </c>
      <c r="C155" s="3">
        <v>42921</v>
      </c>
      <c r="D155" s="7" t="str">
        <f t="shared" si="4"/>
        <v>July</v>
      </c>
      <c r="E155" s="3">
        <f t="shared" si="5"/>
        <v>42947</v>
      </c>
      <c r="F155" s="3">
        <v>42041</v>
      </c>
      <c r="G155" t="s">
        <v>188</v>
      </c>
      <c r="H155" t="s">
        <v>629</v>
      </c>
      <c r="I155" t="s">
        <v>630</v>
      </c>
      <c r="J155" t="s">
        <v>41</v>
      </c>
      <c r="K155" t="s">
        <v>27</v>
      </c>
      <c r="L155" t="s">
        <v>631</v>
      </c>
      <c r="M155" t="s">
        <v>43</v>
      </c>
      <c r="N155">
        <v>95123</v>
      </c>
      <c r="O155" t="s">
        <v>44</v>
      </c>
      <c r="P155" t="s">
        <v>632</v>
      </c>
      <c r="Q155" t="s">
        <v>46</v>
      </c>
      <c r="R155" t="s">
        <v>90</v>
      </c>
      <c r="S155" t="s">
        <v>633</v>
      </c>
      <c r="T155" s="4">
        <v>58.38</v>
      </c>
      <c r="U155">
        <v>7</v>
      </c>
      <c r="V155">
        <v>0</v>
      </c>
      <c r="W155" s="4">
        <v>26.271000000000001</v>
      </c>
    </row>
    <row r="156" spans="1:23" x14ac:dyDescent="0.3">
      <c r="A156">
        <v>155</v>
      </c>
      <c r="B156" t="s">
        <v>628</v>
      </c>
      <c r="C156" s="3">
        <v>42921</v>
      </c>
      <c r="D156" s="7" t="str">
        <f t="shared" si="4"/>
        <v>July</v>
      </c>
      <c r="E156" s="3">
        <f t="shared" si="5"/>
        <v>42947</v>
      </c>
      <c r="F156" s="3">
        <v>42041</v>
      </c>
      <c r="G156" t="s">
        <v>188</v>
      </c>
      <c r="H156" t="s">
        <v>629</v>
      </c>
      <c r="I156" t="s">
        <v>630</v>
      </c>
      <c r="J156" t="s">
        <v>41</v>
      </c>
      <c r="K156" t="s">
        <v>27</v>
      </c>
      <c r="L156" t="s">
        <v>631</v>
      </c>
      <c r="M156" t="s">
        <v>43</v>
      </c>
      <c r="N156">
        <v>95123</v>
      </c>
      <c r="O156" t="s">
        <v>44</v>
      </c>
      <c r="P156" t="s">
        <v>634</v>
      </c>
      <c r="Q156" t="s">
        <v>46</v>
      </c>
      <c r="R156" t="s">
        <v>90</v>
      </c>
      <c r="S156" t="s">
        <v>635</v>
      </c>
      <c r="T156" s="4">
        <v>105.52</v>
      </c>
      <c r="U156">
        <v>4</v>
      </c>
      <c r="V156">
        <v>0</v>
      </c>
      <c r="W156" s="4">
        <v>48.539200000000001</v>
      </c>
    </row>
    <row r="157" spans="1:23" x14ac:dyDescent="0.3">
      <c r="A157">
        <v>156</v>
      </c>
      <c r="B157" t="s">
        <v>628</v>
      </c>
      <c r="C157" s="3">
        <v>42921</v>
      </c>
      <c r="D157" s="7" t="str">
        <f t="shared" si="4"/>
        <v>July</v>
      </c>
      <c r="E157" s="3">
        <f t="shared" si="5"/>
        <v>42947</v>
      </c>
      <c r="F157" s="3">
        <v>42041</v>
      </c>
      <c r="G157" t="s">
        <v>188</v>
      </c>
      <c r="H157" t="s">
        <v>629</v>
      </c>
      <c r="I157" t="s">
        <v>630</v>
      </c>
      <c r="J157" t="s">
        <v>41</v>
      </c>
      <c r="K157" t="s">
        <v>27</v>
      </c>
      <c r="L157" t="s">
        <v>631</v>
      </c>
      <c r="M157" t="s">
        <v>43</v>
      </c>
      <c r="N157">
        <v>95123</v>
      </c>
      <c r="O157" t="s">
        <v>44</v>
      </c>
      <c r="P157" t="s">
        <v>636</v>
      </c>
      <c r="Q157" t="s">
        <v>46</v>
      </c>
      <c r="R157" t="s">
        <v>59</v>
      </c>
      <c r="S157" t="s">
        <v>637</v>
      </c>
      <c r="T157" s="4">
        <v>80.88</v>
      </c>
      <c r="U157">
        <v>6</v>
      </c>
      <c r="V157">
        <v>0</v>
      </c>
      <c r="W157" s="4">
        <v>21.0288</v>
      </c>
    </row>
    <row r="158" spans="1:23" x14ac:dyDescent="0.3">
      <c r="A158">
        <v>157</v>
      </c>
      <c r="B158" t="s">
        <v>638</v>
      </c>
      <c r="C158" s="3">
        <v>42830</v>
      </c>
      <c r="D158" s="7" t="str">
        <f t="shared" si="4"/>
        <v>April</v>
      </c>
      <c r="E158" s="3">
        <f t="shared" si="5"/>
        <v>42855</v>
      </c>
      <c r="F158" s="3">
        <v>42069</v>
      </c>
      <c r="G158" t="s">
        <v>50</v>
      </c>
      <c r="H158" t="s">
        <v>639</v>
      </c>
      <c r="I158" t="s">
        <v>640</v>
      </c>
      <c r="J158" t="s">
        <v>102</v>
      </c>
      <c r="K158" t="s">
        <v>27</v>
      </c>
      <c r="L158" t="s">
        <v>95</v>
      </c>
      <c r="M158" t="s">
        <v>96</v>
      </c>
      <c r="N158">
        <v>98105</v>
      </c>
      <c r="O158" t="s">
        <v>44</v>
      </c>
      <c r="P158" t="s">
        <v>641</v>
      </c>
      <c r="Q158" t="s">
        <v>46</v>
      </c>
      <c r="R158" t="s">
        <v>68</v>
      </c>
      <c r="S158" t="s">
        <v>642</v>
      </c>
      <c r="T158" s="4">
        <v>6.63</v>
      </c>
      <c r="U158">
        <v>3</v>
      </c>
      <c r="V158">
        <v>0</v>
      </c>
      <c r="W158" s="4">
        <v>1.7901</v>
      </c>
    </row>
    <row r="159" spans="1:23" x14ac:dyDescent="0.3">
      <c r="A159">
        <v>158</v>
      </c>
      <c r="B159" t="s">
        <v>643</v>
      </c>
      <c r="C159" s="3">
        <v>41642</v>
      </c>
      <c r="D159" s="7" t="str">
        <f t="shared" si="4"/>
        <v>January</v>
      </c>
      <c r="E159" s="3">
        <f t="shared" si="5"/>
        <v>41670</v>
      </c>
      <c r="F159" s="3">
        <v>41793</v>
      </c>
      <c r="G159" t="s">
        <v>23</v>
      </c>
      <c r="H159" t="s">
        <v>644</v>
      </c>
      <c r="I159" t="s">
        <v>645</v>
      </c>
      <c r="J159" t="s">
        <v>26</v>
      </c>
      <c r="K159" t="s">
        <v>27</v>
      </c>
      <c r="L159" t="s">
        <v>95</v>
      </c>
      <c r="M159" t="s">
        <v>96</v>
      </c>
      <c r="N159">
        <v>98115</v>
      </c>
      <c r="O159" t="s">
        <v>44</v>
      </c>
      <c r="P159" t="s">
        <v>533</v>
      </c>
      <c r="Q159" t="s">
        <v>32</v>
      </c>
      <c r="R159" t="s">
        <v>36</v>
      </c>
      <c r="S159" t="s">
        <v>534</v>
      </c>
      <c r="T159" s="4">
        <v>457.56799999999998</v>
      </c>
      <c r="U159">
        <v>2</v>
      </c>
      <c r="V159">
        <v>0.2</v>
      </c>
      <c r="W159" s="4">
        <v>51.476399999999998</v>
      </c>
    </row>
    <row r="160" spans="1:23" x14ac:dyDescent="0.3">
      <c r="A160">
        <v>159</v>
      </c>
      <c r="B160" t="s">
        <v>646</v>
      </c>
      <c r="C160" s="3">
        <v>42958</v>
      </c>
      <c r="D160" s="7" t="str">
        <f t="shared" si="4"/>
        <v>August</v>
      </c>
      <c r="E160" s="3">
        <f t="shared" si="5"/>
        <v>42978</v>
      </c>
      <c r="F160" s="3">
        <v>43080</v>
      </c>
      <c r="G160" t="s">
        <v>50</v>
      </c>
      <c r="H160" t="s">
        <v>647</v>
      </c>
      <c r="I160" t="s">
        <v>648</v>
      </c>
      <c r="J160" t="s">
        <v>26</v>
      </c>
      <c r="K160" t="s">
        <v>27</v>
      </c>
      <c r="L160" t="s">
        <v>649</v>
      </c>
      <c r="M160" t="s">
        <v>650</v>
      </c>
      <c r="N160">
        <v>73034</v>
      </c>
      <c r="O160" t="s">
        <v>105</v>
      </c>
      <c r="P160" t="s">
        <v>651</v>
      </c>
      <c r="Q160" t="s">
        <v>46</v>
      </c>
      <c r="R160" t="s">
        <v>47</v>
      </c>
      <c r="S160" t="s">
        <v>652</v>
      </c>
      <c r="T160" s="4">
        <v>14.62</v>
      </c>
      <c r="U160">
        <v>2</v>
      </c>
      <c r="V160">
        <v>0</v>
      </c>
      <c r="W160" s="4">
        <v>6.8714000000000004</v>
      </c>
    </row>
    <row r="161" spans="1:23" x14ac:dyDescent="0.3">
      <c r="A161">
        <v>160</v>
      </c>
      <c r="B161" t="s">
        <v>646</v>
      </c>
      <c r="C161" s="3">
        <v>42958</v>
      </c>
      <c r="D161" s="7" t="str">
        <f t="shared" si="4"/>
        <v>August</v>
      </c>
      <c r="E161" s="3">
        <f t="shared" si="5"/>
        <v>42978</v>
      </c>
      <c r="F161" s="3">
        <v>43080</v>
      </c>
      <c r="G161" t="s">
        <v>50</v>
      </c>
      <c r="H161" t="s">
        <v>647</v>
      </c>
      <c r="I161" t="s">
        <v>648</v>
      </c>
      <c r="J161" t="s">
        <v>26</v>
      </c>
      <c r="K161" t="s">
        <v>27</v>
      </c>
      <c r="L161" t="s">
        <v>649</v>
      </c>
      <c r="M161" t="s">
        <v>650</v>
      </c>
      <c r="N161">
        <v>73034</v>
      </c>
      <c r="O161" t="s">
        <v>105</v>
      </c>
      <c r="P161" t="s">
        <v>653</v>
      </c>
      <c r="Q161" t="s">
        <v>71</v>
      </c>
      <c r="R161" t="s">
        <v>72</v>
      </c>
      <c r="S161" t="s">
        <v>654</v>
      </c>
      <c r="T161" s="4">
        <v>944.93</v>
      </c>
      <c r="U161">
        <v>7</v>
      </c>
      <c r="V161">
        <v>0</v>
      </c>
      <c r="W161" s="4">
        <v>236.23249999999999</v>
      </c>
    </row>
    <row r="162" spans="1:23" x14ac:dyDescent="0.3">
      <c r="A162">
        <v>161</v>
      </c>
      <c r="B162" t="s">
        <v>655</v>
      </c>
      <c r="C162" s="3">
        <v>42679</v>
      </c>
      <c r="D162" s="7" t="str">
        <f t="shared" si="4"/>
        <v>November</v>
      </c>
      <c r="E162" s="3">
        <f t="shared" si="5"/>
        <v>42704</v>
      </c>
      <c r="F162" s="3">
        <v>42709</v>
      </c>
      <c r="G162" t="s">
        <v>188</v>
      </c>
      <c r="H162" t="s">
        <v>656</v>
      </c>
      <c r="I162" t="s">
        <v>657</v>
      </c>
      <c r="J162" t="s">
        <v>26</v>
      </c>
      <c r="K162" t="s">
        <v>27</v>
      </c>
      <c r="L162" t="s">
        <v>42</v>
      </c>
      <c r="M162" t="s">
        <v>43</v>
      </c>
      <c r="N162">
        <v>90045</v>
      </c>
      <c r="O162" t="s">
        <v>44</v>
      </c>
      <c r="P162" t="s">
        <v>658</v>
      </c>
      <c r="Q162" t="s">
        <v>46</v>
      </c>
      <c r="R162" t="s">
        <v>90</v>
      </c>
      <c r="S162" t="s">
        <v>659</v>
      </c>
      <c r="T162" s="4">
        <v>5.98</v>
      </c>
      <c r="U162">
        <v>1</v>
      </c>
      <c r="V162">
        <v>0</v>
      </c>
      <c r="W162" s="4">
        <v>2.6909999999999998</v>
      </c>
    </row>
    <row r="163" spans="1:23" x14ac:dyDescent="0.3">
      <c r="A163">
        <v>162</v>
      </c>
      <c r="B163" t="s">
        <v>660</v>
      </c>
      <c r="C163" s="3">
        <v>42837</v>
      </c>
      <c r="D163" s="7" t="str">
        <f t="shared" si="4"/>
        <v>April</v>
      </c>
      <c r="E163" s="3">
        <f t="shared" si="5"/>
        <v>42855</v>
      </c>
      <c r="F163" s="3">
        <v>42928</v>
      </c>
      <c r="G163" t="s">
        <v>23</v>
      </c>
      <c r="H163" t="s">
        <v>661</v>
      </c>
      <c r="I163" t="s">
        <v>662</v>
      </c>
      <c r="J163" t="s">
        <v>26</v>
      </c>
      <c r="K163" t="s">
        <v>27</v>
      </c>
      <c r="L163" t="s">
        <v>146</v>
      </c>
      <c r="M163" t="s">
        <v>147</v>
      </c>
      <c r="N163">
        <v>19134</v>
      </c>
      <c r="O163" t="s">
        <v>148</v>
      </c>
      <c r="P163" t="s">
        <v>663</v>
      </c>
      <c r="Q163" t="s">
        <v>71</v>
      </c>
      <c r="R163" t="s">
        <v>161</v>
      </c>
      <c r="S163" t="s">
        <v>664</v>
      </c>
      <c r="T163" s="4">
        <v>54.384</v>
      </c>
      <c r="U163">
        <v>2</v>
      </c>
      <c r="V163">
        <v>0.2</v>
      </c>
      <c r="W163" s="4">
        <v>1.3595999999999999</v>
      </c>
    </row>
    <row r="164" spans="1:23" x14ac:dyDescent="0.3">
      <c r="A164">
        <v>163</v>
      </c>
      <c r="B164" t="s">
        <v>665</v>
      </c>
      <c r="C164" s="3">
        <v>42836</v>
      </c>
      <c r="D164" s="7" t="str">
        <f t="shared" si="4"/>
        <v>April</v>
      </c>
      <c r="E164" s="3">
        <f t="shared" si="5"/>
        <v>42855</v>
      </c>
      <c r="F164" s="3">
        <v>42958</v>
      </c>
      <c r="G164" t="s">
        <v>50</v>
      </c>
      <c r="H164" t="s">
        <v>666</v>
      </c>
      <c r="I164" t="s">
        <v>667</v>
      </c>
      <c r="J164" t="s">
        <v>26</v>
      </c>
      <c r="K164" t="s">
        <v>27</v>
      </c>
      <c r="L164" t="s">
        <v>668</v>
      </c>
      <c r="M164" t="s">
        <v>669</v>
      </c>
      <c r="N164">
        <v>88220</v>
      </c>
      <c r="O164" t="s">
        <v>44</v>
      </c>
      <c r="P164" t="s">
        <v>670</v>
      </c>
      <c r="Q164" t="s">
        <v>46</v>
      </c>
      <c r="R164" t="s">
        <v>173</v>
      </c>
      <c r="S164" t="s">
        <v>671</v>
      </c>
      <c r="T164" s="4">
        <v>28.4</v>
      </c>
      <c r="U164">
        <v>5</v>
      </c>
      <c r="V164">
        <v>0</v>
      </c>
      <c r="W164" s="4">
        <v>13.348000000000001</v>
      </c>
    </row>
    <row r="165" spans="1:23" x14ac:dyDescent="0.3">
      <c r="A165">
        <v>164</v>
      </c>
      <c r="B165" t="s">
        <v>672</v>
      </c>
      <c r="C165" s="3">
        <v>42562</v>
      </c>
      <c r="D165" s="7" t="str">
        <f t="shared" si="4"/>
        <v>July</v>
      </c>
      <c r="E165" s="3">
        <f t="shared" si="5"/>
        <v>42582</v>
      </c>
      <c r="F165" s="3">
        <v>42685</v>
      </c>
      <c r="G165" t="s">
        <v>50</v>
      </c>
      <c r="H165" t="s">
        <v>673</v>
      </c>
      <c r="I165" t="s">
        <v>674</v>
      </c>
      <c r="J165" t="s">
        <v>26</v>
      </c>
      <c r="K165" t="s">
        <v>27</v>
      </c>
      <c r="L165" t="s">
        <v>95</v>
      </c>
      <c r="M165" t="s">
        <v>96</v>
      </c>
      <c r="N165">
        <v>98115</v>
      </c>
      <c r="O165" t="s">
        <v>44</v>
      </c>
      <c r="P165" t="s">
        <v>675</v>
      </c>
      <c r="Q165" t="s">
        <v>46</v>
      </c>
      <c r="R165" t="s">
        <v>75</v>
      </c>
      <c r="S165" t="s">
        <v>676</v>
      </c>
      <c r="T165" s="4">
        <v>27.68</v>
      </c>
      <c r="U165">
        <v>2</v>
      </c>
      <c r="V165">
        <v>0.2</v>
      </c>
      <c r="W165" s="4">
        <v>9.6880000000000006</v>
      </c>
    </row>
    <row r="166" spans="1:23" x14ac:dyDescent="0.3">
      <c r="A166">
        <v>165</v>
      </c>
      <c r="B166" t="s">
        <v>677</v>
      </c>
      <c r="C166" s="3">
        <v>41860</v>
      </c>
      <c r="D166" s="7" t="str">
        <f t="shared" si="4"/>
        <v>August</v>
      </c>
      <c r="E166" s="3">
        <f t="shared" si="5"/>
        <v>41882</v>
      </c>
      <c r="F166" s="3">
        <v>41982</v>
      </c>
      <c r="G166" t="s">
        <v>50</v>
      </c>
      <c r="H166" t="s">
        <v>678</v>
      </c>
      <c r="I166" t="s">
        <v>679</v>
      </c>
      <c r="J166" t="s">
        <v>26</v>
      </c>
      <c r="K166" t="s">
        <v>27</v>
      </c>
      <c r="L166" t="s">
        <v>680</v>
      </c>
      <c r="M166" t="s">
        <v>104</v>
      </c>
      <c r="N166">
        <v>78207</v>
      </c>
      <c r="O166" t="s">
        <v>105</v>
      </c>
      <c r="P166" t="s">
        <v>681</v>
      </c>
      <c r="Q166" t="s">
        <v>46</v>
      </c>
      <c r="R166" t="s">
        <v>68</v>
      </c>
      <c r="S166" t="s">
        <v>682</v>
      </c>
      <c r="T166" s="4">
        <v>9.9359999999999999</v>
      </c>
      <c r="U166">
        <v>3</v>
      </c>
      <c r="V166">
        <v>0.2</v>
      </c>
      <c r="W166" s="4">
        <v>2.7324000000000002</v>
      </c>
    </row>
    <row r="167" spans="1:23" x14ac:dyDescent="0.3">
      <c r="A167">
        <v>166</v>
      </c>
      <c r="B167" t="s">
        <v>677</v>
      </c>
      <c r="C167" s="3">
        <v>41860</v>
      </c>
      <c r="D167" s="7" t="str">
        <f t="shared" si="4"/>
        <v>August</v>
      </c>
      <c r="E167" s="3">
        <f t="shared" si="5"/>
        <v>41882</v>
      </c>
      <c r="F167" s="3">
        <v>41982</v>
      </c>
      <c r="G167" t="s">
        <v>50</v>
      </c>
      <c r="H167" t="s">
        <v>678</v>
      </c>
      <c r="I167" t="s">
        <v>679</v>
      </c>
      <c r="J167" t="s">
        <v>26</v>
      </c>
      <c r="K167" t="s">
        <v>27</v>
      </c>
      <c r="L167" t="s">
        <v>680</v>
      </c>
      <c r="M167" t="s">
        <v>104</v>
      </c>
      <c r="N167">
        <v>78207</v>
      </c>
      <c r="O167" t="s">
        <v>105</v>
      </c>
      <c r="P167" t="s">
        <v>683</v>
      </c>
      <c r="Q167" t="s">
        <v>71</v>
      </c>
      <c r="R167" t="s">
        <v>684</v>
      </c>
      <c r="S167" t="s">
        <v>685</v>
      </c>
      <c r="T167" s="4">
        <v>8159.9520000000002</v>
      </c>
      <c r="U167">
        <v>8</v>
      </c>
      <c r="V167">
        <v>0.4</v>
      </c>
      <c r="W167" s="4">
        <v>-1359.992</v>
      </c>
    </row>
    <row r="168" spans="1:23" x14ac:dyDescent="0.3">
      <c r="A168">
        <v>167</v>
      </c>
      <c r="B168" t="s">
        <v>677</v>
      </c>
      <c r="C168" s="3">
        <v>41860</v>
      </c>
      <c r="D168" s="7" t="str">
        <f t="shared" si="4"/>
        <v>August</v>
      </c>
      <c r="E168" s="3">
        <f t="shared" si="5"/>
        <v>41882</v>
      </c>
      <c r="F168" s="3">
        <v>41982</v>
      </c>
      <c r="G168" t="s">
        <v>50</v>
      </c>
      <c r="H168" t="s">
        <v>678</v>
      </c>
      <c r="I168" t="s">
        <v>679</v>
      </c>
      <c r="J168" t="s">
        <v>26</v>
      </c>
      <c r="K168" t="s">
        <v>27</v>
      </c>
      <c r="L168" t="s">
        <v>680</v>
      </c>
      <c r="M168" t="s">
        <v>104</v>
      </c>
      <c r="N168">
        <v>78207</v>
      </c>
      <c r="O168" t="s">
        <v>105</v>
      </c>
      <c r="P168" t="s">
        <v>686</v>
      </c>
      <c r="Q168" t="s">
        <v>46</v>
      </c>
      <c r="R168" t="s">
        <v>59</v>
      </c>
      <c r="S168" t="s">
        <v>687</v>
      </c>
      <c r="T168" s="4">
        <v>275.928</v>
      </c>
      <c r="U168">
        <v>3</v>
      </c>
      <c r="V168">
        <v>0.2</v>
      </c>
      <c r="W168" s="4">
        <v>-58.634700000000002</v>
      </c>
    </row>
    <row r="169" spans="1:23" x14ac:dyDescent="0.3">
      <c r="A169">
        <v>168</v>
      </c>
      <c r="B169" t="s">
        <v>677</v>
      </c>
      <c r="C169" s="3">
        <v>41860</v>
      </c>
      <c r="D169" s="7" t="str">
        <f t="shared" si="4"/>
        <v>August</v>
      </c>
      <c r="E169" s="3">
        <f t="shared" si="5"/>
        <v>41882</v>
      </c>
      <c r="F169" s="3">
        <v>41982</v>
      </c>
      <c r="G169" t="s">
        <v>50</v>
      </c>
      <c r="H169" t="s">
        <v>678</v>
      </c>
      <c r="I169" t="s">
        <v>679</v>
      </c>
      <c r="J169" t="s">
        <v>26</v>
      </c>
      <c r="K169" t="s">
        <v>27</v>
      </c>
      <c r="L169" t="s">
        <v>680</v>
      </c>
      <c r="M169" t="s">
        <v>104</v>
      </c>
      <c r="N169">
        <v>78207</v>
      </c>
      <c r="O169" t="s">
        <v>105</v>
      </c>
      <c r="P169" t="s">
        <v>688</v>
      </c>
      <c r="Q169" t="s">
        <v>32</v>
      </c>
      <c r="R169" t="s">
        <v>36</v>
      </c>
      <c r="S169" t="s">
        <v>689</v>
      </c>
      <c r="T169" s="4">
        <v>1740.06</v>
      </c>
      <c r="U169">
        <v>9</v>
      </c>
      <c r="V169">
        <v>0.3</v>
      </c>
      <c r="W169" s="4">
        <v>-24.858000000000001</v>
      </c>
    </row>
    <row r="170" spans="1:23" x14ac:dyDescent="0.3">
      <c r="A170">
        <v>169</v>
      </c>
      <c r="B170" t="s">
        <v>677</v>
      </c>
      <c r="C170" s="3">
        <v>41860</v>
      </c>
      <c r="D170" s="7" t="str">
        <f t="shared" si="4"/>
        <v>August</v>
      </c>
      <c r="E170" s="3">
        <f t="shared" si="5"/>
        <v>41882</v>
      </c>
      <c r="F170" s="3">
        <v>41982</v>
      </c>
      <c r="G170" t="s">
        <v>50</v>
      </c>
      <c r="H170" t="s">
        <v>678</v>
      </c>
      <c r="I170" t="s">
        <v>679</v>
      </c>
      <c r="J170" t="s">
        <v>26</v>
      </c>
      <c r="K170" t="s">
        <v>27</v>
      </c>
      <c r="L170" t="s">
        <v>680</v>
      </c>
      <c r="M170" t="s">
        <v>104</v>
      </c>
      <c r="N170">
        <v>78207</v>
      </c>
      <c r="O170" t="s">
        <v>105</v>
      </c>
      <c r="P170" t="s">
        <v>690</v>
      </c>
      <c r="Q170" t="s">
        <v>46</v>
      </c>
      <c r="R170" t="s">
        <v>68</v>
      </c>
      <c r="S170" t="s">
        <v>691</v>
      </c>
      <c r="T170" s="4">
        <v>32.064</v>
      </c>
      <c r="U170">
        <v>6</v>
      </c>
      <c r="V170">
        <v>0.2</v>
      </c>
      <c r="W170" s="4">
        <v>6.8136000000000001</v>
      </c>
    </row>
    <row r="171" spans="1:23" x14ac:dyDescent="0.3">
      <c r="A171">
        <v>170</v>
      </c>
      <c r="B171" t="s">
        <v>677</v>
      </c>
      <c r="C171" s="3">
        <v>41860</v>
      </c>
      <c r="D171" s="7" t="str">
        <f t="shared" si="4"/>
        <v>August</v>
      </c>
      <c r="E171" s="3">
        <f t="shared" si="5"/>
        <v>41882</v>
      </c>
      <c r="F171" s="3">
        <v>41982</v>
      </c>
      <c r="G171" t="s">
        <v>50</v>
      </c>
      <c r="H171" t="s">
        <v>678</v>
      </c>
      <c r="I171" t="s">
        <v>679</v>
      </c>
      <c r="J171" t="s">
        <v>26</v>
      </c>
      <c r="K171" t="s">
        <v>27</v>
      </c>
      <c r="L171" t="s">
        <v>680</v>
      </c>
      <c r="M171" t="s">
        <v>104</v>
      </c>
      <c r="N171">
        <v>78207</v>
      </c>
      <c r="O171" t="s">
        <v>105</v>
      </c>
      <c r="P171" t="s">
        <v>692</v>
      </c>
      <c r="Q171" t="s">
        <v>46</v>
      </c>
      <c r="R171" t="s">
        <v>78</v>
      </c>
      <c r="S171" t="s">
        <v>693</v>
      </c>
      <c r="T171" s="4">
        <v>177.98</v>
      </c>
      <c r="U171">
        <v>5</v>
      </c>
      <c r="V171">
        <v>0.8</v>
      </c>
      <c r="W171" s="4">
        <v>-453.84899999999999</v>
      </c>
    </row>
    <row r="172" spans="1:23" x14ac:dyDescent="0.3">
      <c r="A172">
        <v>171</v>
      </c>
      <c r="B172" t="s">
        <v>677</v>
      </c>
      <c r="C172" s="3">
        <v>41860</v>
      </c>
      <c r="D172" s="7" t="str">
        <f t="shared" si="4"/>
        <v>August</v>
      </c>
      <c r="E172" s="3">
        <f t="shared" si="5"/>
        <v>41882</v>
      </c>
      <c r="F172" s="3">
        <v>41982</v>
      </c>
      <c r="G172" t="s">
        <v>50</v>
      </c>
      <c r="H172" t="s">
        <v>678</v>
      </c>
      <c r="I172" t="s">
        <v>679</v>
      </c>
      <c r="J172" t="s">
        <v>26</v>
      </c>
      <c r="K172" t="s">
        <v>27</v>
      </c>
      <c r="L172" t="s">
        <v>680</v>
      </c>
      <c r="M172" t="s">
        <v>104</v>
      </c>
      <c r="N172">
        <v>78207</v>
      </c>
      <c r="O172" t="s">
        <v>105</v>
      </c>
      <c r="P172" t="s">
        <v>694</v>
      </c>
      <c r="Q172" t="s">
        <v>71</v>
      </c>
      <c r="R172" t="s">
        <v>72</v>
      </c>
      <c r="S172" t="s">
        <v>695</v>
      </c>
      <c r="T172" s="4">
        <v>143.976</v>
      </c>
      <c r="U172">
        <v>3</v>
      </c>
      <c r="V172">
        <v>0.2</v>
      </c>
      <c r="W172" s="4">
        <v>8.9984999999999999</v>
      </c>
    </row>
    <row r="173" spans="1:23" x14ac:dyDescent="0.3">
      <c r="A173">
        <v>172</v>
      </c>
      <c r="B173" t="s">
        <v>696</v>
      </c>
      <c r="C173" s="3">
        <v>41767</v>
      </c>
      <c r="D173" s="7" t="str">
        <f t="shared" si="4"/>
        <v>May</v>
      </c>
      <c r="E173" s="3">
        <f t="shared" si="5"/>
        <v>41790</v>
      </c>
      <c r="F173" s="3">
        <v>41890</v>
      </c>
      <c r="G173" t="s">
        <v>50</v>
      </c>
      <c r="H173" t="s">
        <v>697</v>
      </c>
      <c r="I173" t="s">
        <v>698</v>
      </c>
      <c r="J173" t="s">
        <v>26</v>
      </c>
      <c r="K173" t="s">
        <v>27</v>
      </c>
      <c r="L173" t="s">
        <v>42</v>
      </c>
      <c r="M173" t="s">
        <v>43</v>
      </c>
      <c r="N173">
        <v>90004</v>
      </c>
      <c r="O173" t="s">
        <v>44</v>
      </c>
      <c r="P173" t="s">
        <v>699</v>
      </c>
      <c r="Q173" t="s">
        <v>46</v>
      </c>
      <c r="R173" t="s">
        <v>90</v>
      </c>
      <c r="S173" t="s">
        <v>700</v>
      </c>
      <c r="T173" s="4">
        <v>20.94</v>
      </c>
      <c r="U173">
        <v>3</v>
      </c>
      <c r="V173">
        <v>0</v>
      </c>
      <c r="W173" s="4">
        <v>9.8417999999999992</v>
      </c>
    </row>
    <row r="174" spans="1:23" x14ac:dyDescent="0.3">
      <c r="A174">
        <v>173</v>
      </c>
      <c r="B174" t="s">
        <v>696</v>
      </c>
      <c r="C174" s="3">
        <v>41767</v>
      </c>
      <c r="D174" s="7" t="str">
        <f t="shared" si="4"/>
        <v>May</v>
      </c>
      <c r="E174" s="3">
        <f t="shared" si="5"/>
        <v>41790</v>
      </c>
      <c r="F174" s="3">
        <v>41890</v>
      </c>
      <c r="G174" t="s">
        <v>50</v>
      </c>
      <c r="H174" t="s">
        <v>697</v>
      </c>
      <c r="I174" t="s">
        <v>698</v>
      </c>
      <c r="J174" t="s">
        <v>26</v>
      </c>
      <c r="K174" t="s">
        <v>27</v>
      </c>
      <c r="L174" t="s">
        <v>42</v>
      </c>
      <c r="M174" t="s">
        <v>43</v>
      </c>
      <c r="N174">
        <v>90004</v>
      </c>
      <c r="O174" t="s">
        <v>44</v>
      </c>
      <c r="P174" t="s">
        <v>701</v>
      </c>
      <c r="Q174" t="s">
        <v>46</v>
      </c>
      <c r="R174" t="s">
        <v>90</v>
      </c>
      <c r="S174" t="s">
        <v>702</v>
      </c>
      <c r="T174" s="4">
        <v>110.96</v>
      </c>
      <c r="U174">
        <v>2</v>
      </c>
      <c r="V174">
        <v>0</v>
      </c>
      <c r="W174" s="4">
        <v>53.260800000000003</v>
      </c>
    </row>
    <row r="175" spans="1:23" x14ac:dyDescent="0.3">
      <c r="A175">
        <v>174</v>
      </c>
      <c r="B175" t="s">
        <v>696</v>
      </c>
      <c r="C175" s="3">
        <v>41767</v>
      </c>
      <c r="D175" s="7" t="str">
        <f t="shared" si="4"/>
        <v>May</v>
      </c>
      <c r="E175" s="3">
        <f t="shared" si="5"/>
        <v>41790</v>
      </c>
      <c r="F175" s="3">
        <v>41890</v>
      </c>
      <c r="G175" t="s">
        <v>50</v>
      </c>
      <c r="H175" t="s">
        <v>697</v>
      </c>
      <c r="I175" t="s">
        <v>698</v>
      </c>
      <c r="J175" t="s">
        <v>26</v>
      </c>
      <c r="K175" t="s">
        <v>27</v>
      </c>
      <c r="L175" t="s">
        <v>42</v>
      </c>
      <c r="M175" t="s">
        <v>43</v>
      </c>
      <c r="N175">
        <v>90004</v>
      </c>
      <c r="O175" t="s">
        <v>44</v>
      </c>
      <c r="P175" t="s">
        <v>703</v>
      </c>
      <c r="Q175" t="s">
        <v>32</v>
      </c>
      <c r="R175" t="s">
        <v>36</v>
      </c>
      <c r="S175" t="s">
        <v>704</v>
      </c>
      <c r="T175" s="4">
        <v>340.14400000000001</v>
      </c>
      <c r="U175">
        <v>7</v>
      </c>
      <c r="V175">
        <v>0.2</v>
      </c>
      <c r="W175" s="4">
        <v>21.259</v>
      </c>
    </row>
    <row r="176" spans="1:23" x14ac:dyDescent="0.3">
      <c r="A176">
        <v>175</v>
      </c>
      <c r="B176" t="s">
        <v>705</v>
      </c>
      <c r="C176" s="3">
        <v>42044</v>
      </c>
      <c r="D176" s="7" t="str">
        <f t="shared" si="4"/>
        <v>February</v>
      </c>
      <c r="E176" s="3">
        <f t="shared" si="5"/>
        <v>42063</v>
      </c>
      <c r="F176" s="3">
        <v>42194</v>
      </c>
      <c r="G176" t="s">
        <v>50</v>
      </c>
      <c r="H176" t="s">
        <v>706</v>
      </c>
      <c r="I176" t="s">
        <v>707</v>
      </c>
      <c r="J176" t="s">
        <v>41</v>
      </c>
      <c r="K176" t="s">
        <v>27</v>
      </c>
      <c r="L176" t="s">
        <v>303</v>
      </c>
      <c r="M176" t="s">
        <v>211</v>
      </c>
      <c r="N176">
        <v>60623</v>
      </c>
      <c r="O176" t="s">
        <v>105</v>
      </c>
      <c r="P176" t="s">
        <v>708</v>
      </c>
      <c r="Q176" t="s">
        <v>46</v>
      </c>
      <c r="R176" t="s">
        <v>78</v>
      </c>
      <c r="S176" t="s">
        <v>709</v>
      </c>
      <c r="T176" s="4">
        <v>52.448</v>
      </c>
      <c r="U176">
        <v>2</v>
      </c>
      <c r="V176">
        <v>0.8</v>
      </c>
      <c r="W176" s="4">
        <v>-131.12</v>
      </c>
    </row>
    <row r="177" spans="1:23" x14ac:dyDescent="0.3">
      <c r="A177">
        <v>176</v>
      </c>
      <c r="B177" t="s">
        <v>705</v>
      </c>
      <c r="C177" s="3">
        <v>42044</v>
      </c>
      <c r="D177" s="7" t="str">
        <f t="shared" si="4"/>
        <v>February</v>
      </c>
      <c r="E177" s="3">
        <f t="shared" si="5"/>
        <v>42063</v>
      </c>
      <c r="F177" s="3">
        <v>42194</v>
      </c>
      <c r="G177" t="s">
        <v>50</v>
      </c>
      <c r="H177" t="s">
        <v>706</v>
      </c>
      <c r="I177" t="s">
        <v>707</v>
      </c>
      <c r="J177" t="s">
        <v>41</v>
      </c>
      <c r="K177" t="s">
        <v>27</v>
      </c>
      <c r="L177" t="s">
        <v>303</v>
      </c>
      <c r="M177" t="s">
        <v>211</v>
      </c>
      <c r="N177">
        <v>60623</v>
      </c>
      <c r="O177" t="s">
        <v>105</v>
      </c>
      <c r="P177" t="s">
        <v>710</v>
      </c>
      <c r="Q177" t="s">
        <v>46</v>
      </c>
      <c r="R177" t="s">
        <v>47</v>
      </c>
      <c r="S177" t="s">
        <v>711</v>
      </c>
      <c r="T177" s="4">
        <v>20.16</v>
      </c>
      <c r="U177">
        <v>4</v>
      </c>
      <c r="V177">
        <v>0.2</v>
      </c>
      <c r="W177" s="4">
        <v>6.5519999999999996</v>
      </c>
    </row>
    <row r="178" spans="1:23" x14ac:dyDescent="0.3">
      <c r="A178">
        <v>177</v>
      </c>
      <c r="B178" t="s">
        <v>712</v>
      </c>
      <c r="C178" s="3">
        <v>43347</v>
      </c>
      <c r="D178" s="7" t="str">
        <f t="shared" si="4"/>
        <v>September</v>
      </c>
      <c r="E178" s="3">
        <f t="shared" si="5"/>
        <v>43373</v>
      </c>
      <c r="F178" s="3">
        <v>43469</v>
      </c>
      <c r="G178" t="s">
        <v>23</v>
      </c>
      <c r="H178" t="s">
        <v>713</v>
      </c>
      <c r="I178" t="s">
        <v>714</v>
      </c>
      <c r="J178" t="s">
        <v>26</v>
      </c>
      <c r="K178" t="s">
        <v>27</v>
      </c>
      <c r="L178" t="s">
        <v>184</v>
      </c>
      <c r="M178" t="s">
        <v>104</v>
      </c>
      <c r="N178">
        <v>77036</v>
      </c>
      <c r="O178" t="s">
        <v>105</v>
      </c>
      <c r="P178" t="s">
        <v>715</v>
      </c>
      <c r="Q178" t="s">
        <v>46</v>
      </c>
      <c r="R178" t="s">
        <v>78</v>
      </c>
      <c r="S178" t="s">
        <v>716</v>
      </c>
      <c r="T178" s="4">
        <v>97.263999999999996</v>
      </c>
      <c r="U178">
        <v>4</v>
      </c>
      <c r="V178">
        <v>0.8</v>
      </c>
      <c r="W178" s="4">
        <v>-243.16</v>
      </c>
    </row>
    <row r="179" spans="1:23" x14ac:dyDescent="0.3">
      <c r="A179">
        <v>178</v>
      </c>
      <c r="B179" t="s">
        <v>717</v>
      </c>
      <c r="C179" s="3">
        <v>42624</v>
      </c>
      <c r="D179" s="7" t="str">
        <f t="shared" si="4"/>
        <v>September</v>
      </c>
      <c r="E179" s="3">
        <f t="shared" si="5"/>
        <v>42643</v>
      </c>
      <c r="F179" s="3">
        <v>42685</v>
      </c>
      <c r="G179" t="s">
        <v>23</v>
      </c>
      <c r="H179" t="s">
        <v>332</v>
      </c>
      <c r="I179" t="s">
        <v>333</v>
      </c>
      <c r="J179" t="s">
        <v>26</v>
      </c>
      <c r="K179" t="s">
        <v>27</v>
      </c>
      <c r="L179" t="s">
        <v>607</v>
      </c>
      <c r="M179" t="s">
        <v>498</v>
      </c>
      <c r="N179">
        <v>43055</v>
      </c>
      <c r="O179" t="s">
        <v>148</v>
      </c>
      <c r="P179" t="s">
        <v>718</v>
      </c>
      <c r="Q179" t="s">
        <v>32</v>
      </c>
      <c r="R179" t="s">
        <v>36</v>
      </c>
      <c r="S179" t="s">
        <v>719</v>
      </c>
      <c r="T179" s="4">
        <v>396.80200000000002</v>
      </c>
      <c r="U179">
        <v>7</v>
      </c>
      <c r="V179">
        <v>0.3</v>
      </c>
      <c r="W179" s="4">
        <v>-11.337199999999999</v>
      </c>
    </row>
    <row r="180" spans="1:23" x14ac:dyDescent="0.3">
      <c r="A180">
        <v>179</v>
      </c>
      <c r="B180" t="s">
        <v>717</v>
      </c>
      <c r="C180" s="3">
        <v>42624</v>
      </c>
      <c r="D180" s="7" t="str">
        <f t="shared" si="4"/>
        <v>September</v>
      </c>
      <c r="E180" s="3">
        <f t="shared" si="5"/>
        <v>42643</v>
      </c>
      <c r="F180" s="3">
        <v>42685</v>
      </c>
      <c r="G180" t="s">
        <v>23</v>
      </c>
      <c r="H180" t="s">
        <v>332</v>
      </c>
      <c r="I180" t="s">
        <v>333</v>
      </c>
      <c r="J180" t="s">
        <v>26</v>
      </c>
      <c r="K180" t="s">
        <v>27</v>
      </c>
      <c r="L180" t="s">
        <v>607</v>
      </c>
      <c r="M180" t="s">
        <v>498</v>
      </c>
      <c r="N180">
        <v>43055</v>
      </c>
      <c r="O180" t="s">
        <v>148</v>
      </c>
      <c r="P180" t="s">
        <v>720</v>
      </c>
      <c r="Q180" t="s">
        <v>46</v>
      </c>
      <c r="R180" t="s">
        <v>579</v>
      </c>
      <c r="S180" t="s">
        <v>721</v>
      </c>
      <c r="T180" s="4">
        <v>15.88</v>
      </c>
      <c r="U180">
        <v>5</v>
      </c>
      <c r="V180">
        <v>0.2</v>
      </c>
      <c r="W180" s="4">
        <v>-3.7715000000000001</v>
      </c>
    </row>
    <row r="181" spans="1:23" x14ac:dyDescent="0.3">
      <c r="A181">
        <v>180</v>
      </c>
      <c r="B181" t="s">
        <v>722</v>
      </c>
      <c r="C181" s="3">
        <v>42441</v>
      </c>
      <c r="D181" s="7" t="str">
        <f t="shared" si="4"/>
        <v>March</v>
      </c>
      <c r="E181" s="3">
        <f t="shared" si="5"/>
        <v>42460</v>
      </c>
      <c r="F181" s="3">
        <v>42563</v>
      </c>
      <c r="G181" t="s">
        <v>50</v>
      </c>
      <c r="H181" t="s">
        <v>723</v>
      </c>
      <c r="I181" t="s">
        <v>724</v>
      </c>
      <c r="J181" t="s">
        <v>102</v>
      </c>
      <c r="K181" t="s">
        <v>27</v>
      </c>
      <c r="L181" t="s">
        <v>266</v>
      </c>
      <c r="M181" t="s">
        <v>267</v>
      </c>
      <c r="N181">
        <v>10009</v>
      </c>
      <c r="O181" t="s">
        <v>148</v>
      </c>
      <c r="P181" t="s">
        <v>725</v>
      </c>
      <c r="Q181" t="s">
        <v>46</v>
      </c>
      <c r="R181" t="s">
        <v>68</v>
      </c>
      <c r="S181" t="s">
        <v>726</v>
      </c>
      <c r="T181" s="4">
        <v>3.28</v>
      </c>
      <c r="U181">
        <v>1</v>
      </c>
      <c r="V181">
        <v>0</v>
      </c>
      <c r="W181" s="4">
        <v>1.4104000000000001</v>
      </c>
    </row>
    <row r="182" spans="1:23" x14ac:dyDescent="0.3">
      <c r="A182">
        <v>181</v>
      </c>
      <c r="B182" t="s">
        <v>727</v>
      </c>
      <c r="C182" s="3">
        <v>41771</v>
      </c>
      <c r="D182" s="7" t="str">
        <f t="shared" si="4"/>
        <v>May</v>
      </c>
      <c r="E182" s="3">
        <f t="shared" si="5"/>
        <v>41790</v>
      </c>
      <c r="F182" s="3">
        <v>41894</v>
      </c>
      <c r="G182" t="s">
        <v>23</v>
      </c>
      <c r="H182" t="s">
        <v>728</v>
      </c>
      <c r="I182" t="s">
        <v>729</v>
      </c>
      <c r="J182" t="s">
        <v>41</v>
      </c>
      <c r="K182" t="s">
        <v>27</v>
      </c>
      <c r="L182" t="s">
        <v>357</v>
      </c>
      <c r="M182" t="s">
        <v>211</v>
      </c>
      <c r="N182">
        <v>62521</v>
      </c>
      <c r="O182" t="s">
        <v>105</v>
      </c>
      <c r="P182" t="s">
        <v>730</v>
      </c>
      <c r="Q182" t="s">
        <v>46</v>
      </c>
      <c r="R182" t="s">
        <v>59</v>
      </c>
      <c r="S182" t="s">
        <v>731</v>
      </c>
      <c r="T182" s="4">
        <v>24.815999999999999</v>
      </c>
      <c r="U182">
        <v>2</v>
      </c>
      <c r="V182">
        <v>0.2</v>
      </c>
      <c r="W182" s="4">
        <v>1.8612</v>
      </c>
    </row>
    <row r="183" spans="1:23" x14ac:dyDescent="0.3">
      <c r="A183">
        <v>182</v>
      </c>
      <c r="B183" t="s">
        <v>727</v>
      </c>
      <c r="C183" s="3">
        <v>41771</v>
      </c>
      <c r="D183" s="7" t="str">
        <f t="shared" si="4"/>
        <v>May</v>
      </c>
      <c r="E183" s="3">
        <f t="shared" si="5"/>
        <v>41790</v>
      </c>
      <c r="F183" s="3">
        <v>41894</v>
      </c>
      <c r="G183" t="s">
        <v>23</v>
      </c>
      <c r="H183" t="s">
        <v>728</v>
      </c>
      <c r="I183" t="s">
        <v>729</v>
      </c>
      <c r="J183" t="s">
        <v>41</v>
      </c>
      <c r="K183" t="s">
        <v>27</v>
      </c>
      <c r="L183" t="s">
        <v>357</v>
      </c>
      <c r="M183" t="s">
        <v>211</v>
      </c>
      <c r="N183">
        <v>62521</v>
      </c>
      <c r="O183" t="s">
        <v>105</v>
      </c>
      <c r="P183" t="s">
        <v>732</v>
      </c>
      <c r="Q183" t="s">
        <v>71</v>
      </c>
      <c r="R183" t="s">
        <v>161</v>
      </c>
      <c r="S183" t="s">
        <v>733</v>
      </c>
      <c r="T183" s="4">
        <v>408.74400000000003</v>
      </c>
      <c r="U183">
        <v>7</v>
      </c>
      <c r="V183">
        <v>0.2</v>
      </c>
      <c r="W183" s="4">
        <v>76.639499999999998</v>
      </c>
    </row>
    <row r="184" spans="1:23" x14ac:dyDescent="0.3">
      <c r="A184">
        <v>183</v>
      </c>
      <c r="B184" t="s">
        <v>734</v>
      </c>
      <c r="C184" s="3">
        <v>42196</v>
      </c>
      <c r="D184" s="7" t="str">
        <f t="shared" si="4"/>
        <v>July</v>
      </c>
      <c r="E184" s="3">
        <f t="shared" si="5"/>
        <v>42216</v>
      </c>
      <c r="F184" s="3">
        <v>42349</v>
      </c>
      <c r="G184" t="s">
        <v>23</v>
      </c>
      <c r="H184" t="s">
        <v>735</v>
      </c>
      <c r="I184" t="s">
        <v>736</v>
      </c>
      <c r="J184" t="s">
        <v>102</v>
      </c>
      <c r="K184" t="s">
        <v>27</v>
      </c>
      <c r="L184" t="s">
        <v>737</v>
      </c>
      <c r="M184" t="s">
        <v>738</v>
      </c>
      <c r="N184">
        <v>71203</v>
      </c>
      <c r="O184" t="s">
        <v>30</v>
      </c>
      <c r="P184" t="s">
        <v>739</v>
      </c>
      <c r="Q184" t="s">
        <v>71</v>
      </c>
      <c r="R184" t="s">
        <v>72</v>
      </c>
      <c r="S184" t="s">
        <v>740</v>
      </c>
      <c r="T184" s="4">
        <v>503.96</v>
      </c>
      <c r="U184">
        <v>4</v>
      </c>
      <c r="V184">
        <v>0</v>
      </c>
      <c r="W184" s="4">
        <v>131.02959999999999</v>
      </c>
    </row>
    <row r="185" spans="1:23" x14ac:dyDescent="0.3">
      <c r="A185">
        <v>184</v>
      </c>
      <c r="B185" t="s">
        <v>734</v>
      </c>
      <c r="C185" s="3">
        <v>42196</v>
      </c>
      <c r="D185" s="7" t="str">
        <f t="shared" si="4"/>
        <v>July</v>
      </c>
      <c r="E185" s="3">
        <f t="shared" si="5"/>
        <v>42216</v>
      </c>
      <c r="F185" s="3">
        <v>42349</v>
      </c>
      <c r="G185" t="s">
        <v>23</v>
      </c>
      <c r="H185" t="s">
        <v>735</v>
      </c>
      <c r="I185" t="s">
        <v>736</v>
      </c>
      <c r="J185" t="s">
        <v>102</v>
      </c>
      <c r="K185" t="s">
        <v>27</v>
      </c>
      <c r="L185" t="s">
        <v>737</v>
      </c>
      <c r="M185" t="s">
        <v>738</v>
      </c>
      <c r="N185">
        <v>71203</v>
      </c>
      <c r="O185" t="s">
        <v>30</v>
      </c>
      <c r="P185" t="s">
        <v>741</v>
      </c>
      <c r="Q185" t="s">
        <v>71</v>
      </c>
      <c r="R185" t="s">
        <v>72</v>
      </c>
      <c r="S185" t="s">
        <v>742</v>
      </c>
      <c r="T185" s="4">
        <v>149.94999999999999</v>
      </c>
      <c r="U185">
        <v>5</v>
      </c>
      <c r="V185">
        <v>0</v>
      </c>
      <c r="W185" s="4">
        <v>41.985999999999997</v>
      </c>
    </row>
    <row r="186" spans="1:23" x14ac:dyDescent="0.3">
      <c r="A186">
        <v>185</v>
      </c>
      <c r="B186" t="s">
        <v>734</v>
      </c>
      <c r="C186" s="3">
        <v>42196</v>
      </c>
      <c r="D186" s="7" t="str">
        <f t="shared" si="4"/>
        <v>July</v>
      </c>
      <c r="E186" s="3">
        <f t="shared" si="5"/>
        <v>42216</v>
      </c>
      <c r="F186" s="3">
        <v>42349</v>
      </c>
      <c r="G186" t="s">
        <v>23</v>
      </c>
      <c r="H186" t="s">
        <v>735</v>
      </c>
      <c r="I186" t="s">
        <v>736</v>
      </c>
      <c r="J186" t="s">
        <v>102</v>
      </c>
      <c r="K186" t="s">
        <v>27</v>
      </c>
      <c r="L186" t="s">
        <v>737</v>
      </c>
      <c r="M186" t="s">
        <v>738</v>
      </c>
      <c r="N186">
        <v>71203</v>
      </c>
      <c r="O186" t="s">
        <v>30</v>
      </c>
      <c r="P186" t="s">
        <v>743</v>
      </c>
      <c r="Q186" t="s">
        <v>71</v>
      </c>
      <c r="R186" t="s">
        <v>161</v>
      </c>
      <c r="S186" t="s">
        <v>744</v>
      </c>
      <c r="T186" s="4">
        <v>29</v>
      </c>
      <c r="U186">
        <v>2</v>
      </c>
      <c r="V186">
        <v>0</v>
      </c>
      <c r="W186" s="4">
        <v>7.25</v>
      </c>
    </row>
    <row r="187" spans="1:23" x14ac:dyDescent="0.3">
      <c r="A187">
        <v>186</v>
      </c>
      <c r="B187" t="s">
        <v>745</v>
      </c>
      <c r="C187" s="3">
        <v>43201</v>
      </c>
      <c r="D187" s="7" t="str">
        <f t="shared" si="4"/>
        <v>April</v>
      </c>
      <c r="E187" s="3">
        <f t="shared" si="5"/>
        <v>43220</v>
      </c>
      <c r="F187" s="3">
        <v>42412</v>
      </c>
      <c r="G187" t="s">
        <v>50</v>
      </c>
      <c r="H187" t="s">
        <v>746</v>
      </c>
      <c r="I187" t="s">
        <v>747</v>
      </c>
      <c r="J187" t="s">
        <v>26</v>
      </c>
      <c r="K187" t="s">
        <v>27</v>
      </c>
      <c r="L187" t="s">
        <v>748</v>
      </c>
      <c r="M187" t="s">
        <v>749</v>
      </c>
      <c r="N187">
        <v>6824</v>
      </c>
      <c r="O187" t="s">
        <v>148</v>
      </c>
      <c r="P187" t="s">
        <v>750</v>
      </c>
      <c r="Q187" t="s">
        <v>46</v>
      </c>
      <c r="R187" t="s">
        <v>75</v>
      </c>
      <c r="S187" t="s">
        <v>751</v>
      </c>
      <c r="T187" s="4">
        <v>7.16</v>
      </c>
      <c r="U187">
        <v>2</v>
      </c>
      <c r="V187">
        <v>0</v>
      </c>
      <c r="W187" s="4">
        <v>3.4367999999999999</v>
      </c>
    </row>
    <row r="188" spans="1:23" x14ac:dyDescent="0.3">
      <c r="A188">
        <v>187</v>
      </c>
      <c r="B188" t="s">
        <v>752</v>
      </c>
      <c r="C188" s="3">
        <v>42408</v>
      </c>
      <c r="D188" s="7" t="str">
        <f t="shared" si="4"/>
        <v>February</v>
      </c>
      <c r="E188" s="3">
        <f t="shared" si="5"/>
        <v>42429</v>
      </c>
      <c r="F188" s="3">
        <v>42529</v>
      </c>
      <c r="G188" t="s">
        <v>50</v>
      </c>
      <c r="H188" t="s">
        <v>753</v>
      </c>
      <c r="I188" t="s">
        <v>754</v>
      </c>
      <c r="J188" t="s">
        <v>102</v>
      </c>
      <c r="K188" t="s">
        <v>27</v>
      </c>
      <c r="L188" t="s">
        <v>42</v>
      </c>
      <c r="M188" t="s">
        <v>43</v>
      </c>
      <c r="N188">
        <v>90032</v>
      </c>
      <c r="O188" t="s">
        <v>44</v>
      </c>
      <c r="P188" t="s">
        <v>755</v>
      </c>
      <c r="Q188" t="s">
        <v>71</v>
      </c>
      <c r="R188" t="s">
        <v>161</v>
      </c>
      <c r="S188" t="s">
        <v>756</v>
      </c>
      <c r="T188" s="4">
        <v>176.8</v>
      </c>
      <c r="U188">
        <v>8</v>
      </c>
      <c r="V188">
        <v>0</v>
      </c>
      <c r="W188" s="4">
        <v>22.984000000000002</v>
      </c>
    </row>
    <row r="189" spans="1:23" x14ac:dyDescent="0.3">
      <c r="A189">
        <v>188</v>
      </c>
      <c r="B189" t="s">
        <v>757</v>
      </c>
      <c r="C189" s="3">
        <v>42832</v>
      </c>
      <c r="D189" s="7" t="str">
        <f t="shared" si="4"/>
        <v>April</v>
      </c>
      <c r="E189" s="3">
        <f t="shared" si="5"/>
        <v>42855</v>
      </c>
      <c r="F189" s="3">
        <v>43015</v>
      </c>
      <c r="G189" t="s">
        <v>50</v>
      </c>
      <c r="H189" t="s">
        <v>758</v>
      </c>
      <c r="I189" t="s">
        <v>759</v>
      </c>
      <c r="J189" t="s">
        <v>41</v>
      </c>
      <c r="K189" t="s">
        <v>27</v>
      </c>
      <c r="L189" t="s">
        <v>760</v>
      </c>
      <c r="M189" t="s">
        <v>104</v>
      </c>
      <c r="N189">
        <v>75051</v>
      </c>
      <c r="O189" t="s">
        <v>105</v>
      </c>
      <c r="P189" t="s">
        <v>761</v>
      </c>
      <c r="Q189" t="s">
        <v>46</v>
      </c>
      <c r="R189" t="s">
        <v>59</v>
      </c>
      <c r="S189" t="s">
        <v>762</v>
      </c>
      <c r="T189" s="4">
        <v>37.223999999999997</v>
      </c>
      <c r="U189">
        <v>3</v>
      </c>
      <c r="V189">
        <v>0.2</v>
      </c>
      <c r="W189" s="4">
        <v>3.7223999999999999</v>
      </c>
    </row>
    <row r="190" spans="1:23" x14ac:dyDescent="0.3">
      <c r="A190">
        <v>189</v>
      </c>
      <c r="B190" t="s">
        <v>757</v>
      </c>
      <c r="C190" s="3">
        <v>42832</v>
      </c>
      <c r="D190" s="7" t="str">
        <f t="shared" si="4"/>
        <v>April</v>
      </c>
      <c r="E190" s="3">
        <f t="shared" si="5"/>
        <v>42855</v>
      </c>
      <c r="F190" s="3">
        <v>43015</v>
      </c>
      <c r="G190" t="s">
        <v>50</v>
      </c>
      <c r="H190" t="s">
        <v>758</v>
      </c>
      <c r="I190" t="s">
        <v>759</v>
      </c>
      <c r="J190" t="s">
        <v>41</v>
      </c>
      <c r="K190" t="s">
        <v>27</v>
      </c>
      <c r="L190" t="s">
        <v>760</v>
      </c>
      <c r="M190" t="s">
        <v>104</v>
      </c>
      <c r="N190">
        <v>75051</v>
      </c>
      <c r="O190" t="s">
        <v>105</v>
      </c>
      <c r="P190" t="s">
        <v>632</v>
      </c>
      <c r="Q190" t="s">
        <v>46</v>
      </c>
      <c r="R190" t="s">
        <v>90</v>
      </c>
      <c r="S190" t="s">
        <v>633</v>
      </c>
      <c r="T190" s="4">
        <v>20.015999999999998</v>
      </c>
      <c r="U190">
        <v>3</v>
      </c>
      <c r="V190">
        <v>0.2</v>
      </c>
      <c r="W190" s="4">
        <v>6.2549999999999999</v>
      </c>
    </row>
    <row r="191" spans="1:23" x14ac:dyDescent="0.3">
      <c r="A191">
        <v>190</v>
      </c>
      <c r="B191" t="s">
        <v>763</v>
      </c>
      <c r="C191" s="3">
        <v>42348</v>
      </c>
      <c r="D191" s="7" t="str">
        <f t="shared" si="4"/>
        <v>December</v>
      </c>
      <c r="E191" s="3">
        <f t="shared" si="5"/>
        <v>42369</v>
      </c>
      <c r="F191" s="3">
        <v>42410</v>
      </c>
      <c r="G191" t="s">
        <v>188</v>
      </c>
      <c r="H191" t="s">
        <v>764</v>
      </c>
      <c r="I191" t="s">
        <v>765</v>
      </c>
      <c r="J191" t="s">
        <v>102</v>
      </c>
      <c r="K191" t="s">
        <v>27</v>
      </c>
      <c r="L191" t="s">
        <v>266</v>
      </c>
      <c r="M191" t="s">
        <v>267</v>
      </c>
      <c r="N191">
        <v>10035</v>
      </c>
      <c r="O191" t="s">
        <v>148</v>
      </c>
      <c r="P191" t="s">
        <v>766</v>
      </c>
      <c r="Q191" t="s">
        <v>32</v>
      </c>
      <c r="R191" t="s">
        <v>33</v>
      </c>
      <c r="S191" t="s">
        <v>767</v>
      </c>
      <c r="T191" s="4">
        <v>899.13599999999997</v>
      </c>
      <c r="U191">
        <v>4</v>
      </c>
      <c r="V191">
        <v>0.2</v>
      </c>
      <c r="W191" s="4">
        <v>112.392</v>
      </c>
    </row>
    <row r="192" spans="1:23" x14ac:dyDescent="0.3">
      <c r="A192">
        <v>191</v>
      </c>
      <c r="B192" t="s">
        <v>763</v>
      </c>
      <c r="C192" s="3">
        <v>42348</v>
      </c>
      <c r="D192" s="7" t="str">
        <f t="shared" si="4"/>
        <v>December</v>
      </c>
      <c r="E192" s="3">
        <f t="shared" si="5"/>
        <v>42369</v>
      </c>
      <c r="F192" s="3">
        <v>42410</v>
      </c>
      <c r="G192" t="s">
        <v>188</v>
      </c>
      <c r="H192" t="s">
        <v>764</v>
      </c>
      <c r="I192" t="s">
        <v>765</v>
      </c>
      <c r="J192" t="s">
        <v>102</v>
      </c>
      <c r="K192" t="s">
        <v>27</v>
      </c>
      <c r="L192" t="s">
        <v>266</v>
      </c>
      <c r="M192" t="s">
        <v>267</v>
      </c>
      <c r="N192">
        <v>10035</v>
      </c>
      <c r="O192" t="s">
        <v>148</v>
      </c>
      <c r="P192" t="s">
        <v>768</v>
      </c>
      <c r="Q192" t="s">
        <v>71</v>
      </c>
      <c r="R192" t="s">
        <v>72</v>
      </c>
      <c r="S192" t="s">
        <v>769</v>
      </c>
      <c r="T192" s="4">
        <v>71.760000000000005</v>
      </c>
      <c r="U192">
        <v>6</v>
      </c>
      <c r="V192">
        <v>0</v>
      </c>
      <c r="W192" s="4">
        <v>20.0928</v>
      </c>
    </row>
    <row r="193" spans="1:23" x14ac:dyDescent="0.3">
      <c r="A193">
        <v>192</v>
      </c>
      <c r="B193" t="s">
        <v>763</v>
      </c>
      <c r="C193" s="3">
        <v>42348</v>
      </c>
      <c r="D193" s="7" t="str">
        <f t="shared" si="4"/>
        <v>December</v>
      </c>
      <c r="E193" s="3">
        <f t="shared" si="5"/>
        <v>42369</v>
      </c>
      <c r="F193" s="3">
        <v>42410</v>
      </c>
      <c r="G193" t="s">
        <v>188</v>
      </c>
      <c r="H193" t="s">
        <v>764</v>
      </c>
      <c r="I193" t="s">
        <v>765</v>
      </c>
      <c r="J193" t="s">
        <v>102</v>
      </c>
      <c r="K193" t="s">
        <v>27</v>
      </c>
      <c r="L193" t="s">
        <v>266</v>
      </c>
      <c r="M193" t="s">
        <v>267</v>
      </c>
      <c r="N193">
        <v>10035</v>
      </c>
      <c r="O193" t="s">
        <v>148</v>
      </c>
      <c r="P193" t="s">
        <v>770</v>
      </c>
      <c r="Q193" t="s">
        <v>46</v>
      </c>
      <c r="R193" t="s">
        <v>90</v>
      </c>
      <c r="S193" t="s">
        <v>771</v>
      </c>
      <c r="T193" s="4">
        <v>51.84</v>
      </c>
      <c r="U193">
        <v>8</v>
      </c>
      <c r="V193">
        <v>0</v>
      </c>
      <c r="W193" s="4">
        <v>24.883199999999999</v>
      </c>
    </row>
    <row r="194" spans="1:23" x14ac:dyDescent="0.3">
      <c r="A194">
        <v>193</v>
      </c>
      <c r="B194" t="s">
        <v>763</v>
      </c>
      <c r="C194" s="3">
        <v>42348</v>
      </c>
      <c r="D194" s="7" t="str">
        <f t="shared" si="4"/>
        <v>December</v>
      </c>
      <c r="E194" s="3">
        <f t="shared" si="5"/>
        <v>42369</v>
      </c>
      <c r="F194" s="3">
        <v>42410</v>
      </c>
      <c r="G194" t="s">
        <v>188</v>
      </c>
      <c r="H194" t="s">
        <v>764</v>
      </c>
      <c r="I194" t="s">
        <v>765</v>
      </c>
      <c r="J194" t="s">
        <v>102</v>
      </c>
      <c r="K194" t="s">
        <v>27</v>
      </c>
      <c r="L194" t="s">
        <v>266</v>
      </c>
      <c r="M194" t="s">
        <v>267</v>
      </c>
      <c r="N194">
        <v>10035</v>
      </c>
      <c r="O194" t="s">
        <v>148</v>
      </c>
      <c r="P194" t="s">
        <v>201</v>
      </c>
      <c r="Q194" t="s">
        <v>32</v>
      </c>
      <c r="R194" t="s">
        <v>33</v>
      </c>
      <c r="S194" t="s">
        <v>202</v>
      </c>
      <c r="T194" s="4">
        <v>626.35199999999998</v>
      </c>
      <c r="U194">
        <v>3</v>
      </c>
      <c r="V194">
        <v>0.2</v>
      </c>
      <c r="W194" s="4">
        <v>46.976399999999998</v>
      </c>
    </row>
    <row r="195" spans="1:23" x14ac:dyDescent="0.3">
      <c r="A195">
        <v>194</v>
      </c>
      <c r="B195" t="s">
        <v>763</v>
      </c>
      <c r="C195" s="3">
        <v>42348</v>
      </c>
      <c r="D195" s="7" t="str">
        <f t="shared" ref="D195:D258" si="6">TEXT(C195,"mmmm")</f>
        <v>December</v>
      </c>
      <c r="E195" s="3">
        <f t="shared" ref="E195:E258" si="7">EOMONTH(C195,0)</f>
        <v>42369</v>
      </c>
      <c r="F195" s="3">
        <v>42410</v>
      </c>
      <c r="G195" t="s">
        <v>188</v>
      </c>
      <c r="H195" t="s">
        <v>764</v>
      </c>
      <c r="I195" t="s">
        <v>765</v>
      </c>
      <c r="J195" t="s">
        <v>102</v>
      </c>
      <c r="K195" t="s">
        <v>27</v>
      </c>
      <c r="L195" t="s">
        <v>266</v>
      </c>
      <c r="M195" t="s">
        <v>267</v>
      </c>
      <c r="N195">
        <v>10035</v>
      </c>
      <c r="O195" t="s">
        <v>148</v>
      </c>
      <c r="P195" t="s">
        <v>772</v>
      </c>
      <c r="Q195" t="s">
        <v>46</v>
      </c>
      <c r="R195" t="s">
        <v>68</v>
      </c>
      <c r="S195" t="s">
        <v>773</v>
      </c>
      <c r="T195" s="4">
        <v>19.899999999999999</v>
      </c>
      <c r="U195">
        <v>5</v>
      </c>
      <c r="V195">
        <v>0</v>
      </c>
      <c r="W195" s="4">
        <v>6.5670000000000002</v>
      </c>
    </row>
    <row r="196" spans="1:23" x14ac:dyDescent="0.3">
      <c r="A196">
        <v>195</v>
      </c>
      <c r="B196" t="s">
        <v>774</v>
      </c>
      <c r="C196" s="3">
        <v>42926</v>
      </c>
      <c r="D196" s="7" t="str">
        <f t="shared" si="6"/>
        <v>July</v>
      </c>
      <c r="E196" s="3">
        <f t="shared" si="7"/>
        <v>42947</v>
      </c>
      <c r="F196" s="3">
        <v>42166</v>
      </c>
      <c r="G196" t="s">
        <v>50</v>
      </c>
      <c r="H196" t="s">
        <v>775</v>
      </c>
      <c r="I196" t="s">
        <v>776</v>
      </c>
      <c r="J196" t="s">
        <v>41</v>
      </c>
      <c r="K196" t="s">
        <v>27</v>
      </c>
      <c r="L196" t="s">
        <v>777</v>
      </c>
      <c r="M196" t="s">
        <v>43</v>
      </c>
      <c r="N196">
        <v>92374</v>
      </c>
      <c r="O196" t="s">
        <v>44</v>
      </c>
      <c r="P196" t="s">
        <v>172</v>
      </c>
      <c r="Q196" t="s">
        <v>46</v>
      </c>
      <c r="R196" t="s">
        <v>173</v>
      </c>
      <c r="S196" t="s">
        <v>174</v>
      </c>
      <c r="T196" s="4">
        <v>14.28</v>
      </c>
      <c r="U196">
        <v>7</v>
      </c>
      <c r="V196">
        <v>0</v>
      </c>
      <c r="W196" s="4">
        <v>6.7115999999999998</v>
      </c>
    </row>
    <row r="197" spans="1:23" x14ac:dyDescent="0.3">
      <c r="A197">
        <v>196</v>
      </c>
      <c r="B197" t="s">
        <v>778</v>
      </c>
      <c r="C197" s="3">
        <v>42250</v>
      </c>
      <c r="D197" s="7" t="str">
        <f t="shared" si="6"/>
        <v>September</v>
      </c>
      <c r="E197" s="3">
        <f t="shared" si="7"/>
        <v>42277</v>
      </c>
      <c r="F197" s="3">
        <v>42372</v>
      </c>
      <c r="G197" t="s">
        <v>50</v>
      </c>
      <c r="H197" t="s">
        <v>779</v>
      </c>
      <c r="I197" t="s">
        <v>780</v>
      </c>
      <c r="J197" t="s">
        <v>26</v>
      </c>
      <c r="K197" t="s">
        <v>27</v>
      </c>
      <c r="L197" t="s">
        <v>781</v>
      </c>
      <c r="M197" t="s">
        <v>498</v>
      </c>
      <c r="N197">
        <v>45011</v>
      </c>
      <c r="O197" t="s">
        <v>148</v>
      </c>
      <c r="P197" t="s">
        <v>782</v>
      </c>
      <c r="Q197" t="s">
        <v>46</v>
      </c>
      <c r="R197" t="s">
        <v>68</v>
      </c>
      <c r="S197" t="s">
        <v>783</v>
      </c>
      <c r="T197" s="4">
        <v>7.4080000000000004</v>
      </c>
      <c r="U197">
        <v>2</v>
      </c>
      <c r="V197">
        <v>0.2</v>
      </c>
      <c r="W197" s="4">
        <v>1.2038</v>
      </c>
    </row>
    <row r="198" spans="1:23" x14ac:dyDescent="0.3">
      <c r="A198">
        <v>197</v>
      </c>
      <c r="B198" t="s">
        <v>778</v>
      </c>
      <c r="C198" s="3">
        <v>42250</v>
      </c>
      <c r="D198" s="7" t="str">
        <f t="shared" si="6"/>
        <v>September</v>
      </c>
      <c r="E198" s="3">
        <f t="shared" si="7"/>
        <v>42277</v>
      </c>
      <c r="F198" s="3">
        <v>42372</v>
      </c>
      <c r="G198" t="s">
        <v>50</v>
      </c>
      <c r="H198" t="s">
        <v>779</v>
      </c>
      <c r="I198" t="s">
        <v>780</v>
      </c>
      <c r="J198" t="s">
        <v>26</v>
      </c>
      <c r="K198" t="s">
        <v>27</v>
      </c>
      <c r="L198" t="s">
        <v>781</v>
      </c>
      <c r="M198" t="s">
        <v>498</v>
      </c>
      <c r="N198">
        <v>45011</v>
      </c>
      <c r="O198" t="s">
        <v>148</v>
      </c>
      <c r="P198" t="s">
        <v>784</v>
      </c>
      <c r="Q198" t="s">
        <v>46</v>
      </c>
      <c r="R198" t="s">
        <v>68</v>
      </c>
      <c r="S198" t="s">
        <v>785</v>
      </c>
      <c r="T198" s="4">
        <v>6.048</v>
      </c>
      <c r="U198">
        <v>3</v>
      </c>
      <c r="V198">
        <v>0.2</v>
      </c>
      <c r="W198" s="4">
        <v>1.5875999999999999</v>
      </c>
    </row>
    <row r="199" spans="1:23" x14ac:dyDescent="0.3">
      <c r="A199">
        <v>198</v>
      </c>
      <c r="B199" t="s">
        <v>786</v>
      </c>
      <c r="C199" s="3">
        <v>42897</v>
      </c>
      <c r="D199" s="7" t="str">
        <f t="shared" si="6"/>
        <v>June</v>
      </c>
      <c r="E199" s="3">
        <f t="shared" si="7"/>
        <v>42916</v>
      </c>
      <c r="F199" s="3">
        <v>43111</v>
      </c>
      <c r="G199" t="s">
        <v>50</v>
      </c>
      <c r="H199" t="s">
        <v>787</v>
      </c>
      <c r="I199" t="s">
        <v>788</v>
      </c>
      <c r="J199" t="s">
        <v>102</v>
      </c>
      <c r="K199" t="s">
        <v>27</v>
      </c>
      <c r="L199" t="s">
        <v>789</v>
      </c>
      <c r="M199" t="s">
        <v>790</v>
      </c>
      <c r="N199">
        <v>7090</v>
      </c>
      <c r="O199" t="s">
        <v>148</v>
      </c>
      <c r="P199" t="s">
        <v>791</v>
      </c>
      <c r="Q199" t="s">
        <v>46</v>
      </c>
      <c r="R199" t="s">
        <v>59</v>
      </c>
      <c r="S199" t="s">
        <v>792</v>
      </c>
      <c r="T199" s="4">
        <v>46.26</v>
      </c>
      <c r="U199">
        <v>3</v>
      </c>
      <c r="V199">
        <v>0</v>
      </c>
      <c r="W199" s="4">
        <v>12.0276</v>
      </c>
    </row>
    <row r="200" spans="1:23" x14ac:dyDescent="0.3">
      <c r="A200">
        <v>199</v>
      </c>
      <c r="B200" t="s">
        <v>793</v>
      </c>
      <c r="C200" s="3">
        <v>42893</v>
      </c>
      <c r="D200" s="7" t="str">
        <f t="shared" si="6"/>
        <v>June</v>
      </c>
      <c r="E200" s="3">
        <f t="shared" si="7"/>
        <v>42916</v>
      </c>
      <c r="F200" s="3">
        <v>43107</v>
      </c>
      <c r="G200" t="s">
        <v>50</v>
      </c>
      <c r="H200" t="s">
        <v>794</v>
      </c>
      <c r="I200" t="s">
        <v>795</v>
      </c>
      <c r="J200" t="s">
        <v>41</v>
      </c>
      <c r="K200" t="s">
        <v>27</v>
      </c>
      <c r="L200" t="s">
        <v>146</v>
      </c>
      <c r="M200" t="s">
        <v>147</v>
      </c>
      <c r="N200">
        <v>19120</v>
      </c>
      <c r="O200" t="s">
        <v>148</v>
      </c>
      <c r="P200" t="s">
        <v>796</v>
      </c>
      <c r="Q200" t="s">
        <v>46</v>
      </c>
      <c r="R200" t="s">
        <v>75</v>
      </c>
      <c r="S200" t="s">
        <v>797</v>
      </c>
      <c r="T200" s="4">
        <v>2.9460000000000002</v>
      </c>
      <c r="U200">
        <v>2</v>
      </c>
      <c r="V200">
        <v>0.7</v>
      </c>
      <c r="W200" s="4">
        <v>-2.2585999999999999</v>
      </c>
    </row>
    <row r="201" spans="1:23" x14ac:dyDescent="0.3">
      <c r="A201">
        <v>200</v>
      </c>
      <c r="B201" t="s">
        <v>793</v>
      </c>
      <c r="C201" s="3">
        <v>42893</v>
      </c>
      <c r="D201" s="7" t="str">
        <f t="shared" si="6"/>
        <v>June</v>
      </c>
      <c r="E201" s="3">
        <f t="shared" si="7"/>
        <v>42916</v>
      </c>
      <c r="F201" s="3">
        <v>43107</v>
      </c>
      <c r="G201" t="s">
        <v>50</v>
      </c>
      <c r="H201" t="s">
        <v>794</v>
      </c>
      <c r="I201" t="s">
        <v>795</v>
      </c>
      <c r="J201" t="s">
        <v>41</v>
      </c>
      <c r="K201" t="s">
        <v>27</v>
      </c>
      <c r="L201" t="s">
        <v>146</v>
      </c>
      <c r="M201" t="s">
        <v>147</v>
      </c>
      <c r="N201">
        <v>19120</v>
      </c>
      <c r="O201" t="s">
        <v>148</v>
      </c>
      <c r="P201" t="s">
        <v>798</v>
      </c>
      <c r="Q201" t="s">
        <v>46</v>
      </c>
      <c r="R201" t="s">
        <v>90</v>
      </c>
      <c r="S201" t="s">
        <v>799</v>
      </c>
      <c r="T201" s="4">
        <v>16.056000000000001</v>
      </c>
      <c r="U201">
        <v>3</v>
      </c>
      <c r="V201">
        <v>0.2</v>
      </c>
      <c r="W201" s="4">
        <v>5.8202999999999996</v>
      </c>
    </row>
    <row r="202" spans="1:23" x14ac:dyDescent="0.3">
      <c r="A202">
        <v>201</v>
      </c>
      <c r="B202" t="s">
        <v>800</v>
      </c>
      <c r="C202" s="3">
        <v>43440</v>
      </c>
      <c r="D202" s="7" t="str">
        <f t="shared" si="6"/>
        <v>December</v>
      </c>
      <c r="E202" s="3">
        <f t="shared" si="7"/>
        <v>43465</v>
      </c>
      <c r="F202" s="3">
        <v>43591</v>
      </c>
      <c r="G202" t="s">
        <v>50</v>
      </c>
      <c r="H202" t="s">
        <v>801</v>
      </c>
      <c r="I202" t="s">
        <v>802</v>
      </c>
      <c r="J202" t="s">
        <v>26</v>
      </c>
      <c r="K202" t="s">
        <v>27</v>
      </c>
      <c r="L202" t="s">
        <v>803</v>
      </c>
      <c r="M202" t="s">
        <v>498</v>
      </c>
      <c r="N202">
        <v>44312</v>
      </c>
      <c r="O202" t="s">
        <v>148</v>
      </c>
      <c r="P202" t="s">
        <v>804</v>
      </c>
      <c r="Q202" t="s">
        <v>46</v>
      </c>
      <c r="R202" t="s">
        <v>90</v>
      </c>
      <c r="S202" t="s">
        <v>805</v>
      </c>
      <c r="T202" s="4">
        <v>21.744</v>
      </c>
      <c r="U202">
        <v>3</v>
      </c>
      <c r="V202">
        <v>0.2</v>
      </c>
      <c r="W202" s="4">
        <v>6.7949999999999999</v>
      </c>
    </row>
    <row r="203" spans="1:23" x14ac:dyDescent="0.3">
      <c r="A203">
        <v>202</v>
      </c>
      <c r="B203" t="s">
        <v>806</v>
      </c>
      <c r="C203" s="3">
        <v>41706</v>
      </c>
      <c r="D203" s="7" t="str">
        <f t="shared" si="6"/>
        <v>March</v>
      </c>
      <c r="E203" s="3">
        <f t="shared" si="7"/>
        <v>41729</v>
      </c>
      <c r="F203" s="3">
        <v>41767</v>
      </c>
      <c r="G203" t="s">
        <v>188</v>
      </c>
      <c r="H203" t="s">
        <v>807</v>
      </c>
      <c r="I203" t="s">
        <v>808</v>
      </c>
      <c r="J203" t="s">
        <v>26</v>
      </c>
      <c r="K203" t="s">
        <v>27</v>
      </c>
      <c r="L203" t="s">
        <v>809</v>
      </c>
      <c r="M203" t="s">
        <v>457</v>
      </c>
      <c r="N203">
        <v>80219</v>
      </c>
      <c r="O203" t="s">
        <v>44</v>
      </c>
      <c r="P203" t="s">
        <v>810</v>
      </c>
      <c r="Q203" t="s">
        <v>32</v>
      </c>
      <c r="R203" t="s">
        <v>56</v>
      </c>
      <c r="S203" t="s">
        <v>811</v>
      </c>
      <c r="T203" s="4">
        <v>218.75</v>
      </c>
      <c r="U203">
        <v>2</v>
      </c>
      <c r="V203">
        <v>0.5</v>
      </c>
      <c r="W203" s="4">
        <v>-161.875</v>
      </c>
    </row>
    <row r="204" spans="1:23" x14ac:dyDescent="0.3">
      <c r="A204">
        <v>203</v>
      </c>
      <c r="B204" t="s">
        <v>806</v>
      </c>
      <c r="C204" s="3">
        <v>41706</v>
      </c>
      <c r="D204" s="7" t="str">
        <f t="shared" si="6"/>
        <v>March</v>
      </c>
      <c r="E204" s="3">
        <f t="shared" si="7"/>
        <v>41729</v>
      </c>
      <c r="F204" s="3">
        <v>41767</v>
      </c>
      <c r="G204" t="s">
        <v>188</v>
      </c>
      <c r="H204" t="s">
        <v>807</v>
      </c>
      <c r="I204" t="s">
        <v>808</v>
      </c>
      <c r="J204" t="s">
        <v>26</v>
      </c>
      <c r="K204" t="s">
        <v>27</v>
      </c>
      <c r="L204" t="s">
        <v>809</v>
      </c>
      <c r="M204" t="s">
        <v>457</v>
      </c>
      <c r="N204">
        <v>80219</v>
      </c>
      <c r="O204" t="s">
        <v>44</v>
      </c>
      <c r="P204" t="s">
        <v>812</v>
      </c>
      <c r="Q204" t="s">
        <v>46</v>
      </c>
      <c r="R204" t="s">
        <v>78</v>
      </c>
      <c r="S204" t="s">
        <v>813</v>
      </c>
      <c r="T204" s="4">
        <v>2.6</v>
      </c>
      <c r="U204">
        <v>1</v>
      </c>
      <c r="V204">
        <v>0.2</v>
      </c>
      <c r="W204" s="4">
        <v>0.29249999999999998</v>
      </c>
    </row>
    <row r="205" spans="1:23" x14ac:dyDescent="0.3">
      <c r="A205">
        <v>204</v>
      </c>
      <c r="B205" t="s">
        <v>814</v>
      </c>
      <c r="C205" s="3">
        <v>43232</v>
      </c>
      <c r="D205" s="7" t="str">
        <f t="shared" si="6"/>
        <v>May</v>
      </c>
      <c r="E205" s="3">
        <f t="shared" si="7"/>
        <v>43251</v>
      </c>
      <c r="F205" s="3">
        <v>43355</v>
      </c>
      <c r="G205" t="s">
        <v>23</v>
      </c>
      <c r="H205" t="s">
        <v>815</v>
      </c>
      <c r="I205" t="s">
        <v>816</v>
      </c>
      <c r="J205" t="s">
        <v>26</v>
      </c>
      <c r="K205" t="s">
        <v>27</v>
      </c>
      <c r="L205" t="s">
        <v>817</v>
      </c>
      <c r="M205" t="s">
        <v>104</v>
      </c>
      <c r="N205">
        <v>75220</v>
      </c>
      <c r="O205" t="s">
        <v>105</v>
      </c>
      <c r="P205" t="s">
        <v>818</v>
      </c>
      <c r="Q205" t="s">
        <v>46</v>
      </c>
      <c r="R205" t="s">
        <v>78</v>
      </c>
      <c r="S205" t="s">
        <v>819</v>
      </c>
      <c r="T205" s="4">
        <v>66.284000000000006</v>
      </c>
      <c r="U205">
        <v>2</v>
      </c>
      <c r="V205">
        <v>0.8</v>
      </c>
      <c r="W205" s="4">
        <v>-178.96680000000001</v>
      </c>
    </row>
    <row r="206" spans="1:23" x14ac:dyDescent="0.3">
      <c r="A206">
        <v>205</v>
      </c>
      <c r="B206" t="s">
        <v>820</v>
      </c>
      <c r="C206" s="3">
        <v>42800</v>
      </c>
      <c r="D206" s="7" t="str">
        <f t="shared" si="6"/>
        <v>March</v>
      </c>
      <c r="E206" s="3">
        <f t="shared" si="7"/>
        <v>42825</v>
      </c>
      <c r="F206" s="3">
        <v>42922</v>
      </c>
      <c r="G206" t="s">
        <v>50</v>
      </c>
      <c r="H206" t="s">
        <v>821</v>
      </c>
      <c r="I206" t="s">
        <v>822</v>
      </c>
      <c r="J206" t="s">
        <v>41</v>
      </c>
      <c r="K206" t="s">
        <v>27</v>
      </c>
      <c r="L206" t="s">
        <v>613</v>
      </c>
      <c r="M206" t="s">
        <v>335</v>
      </c>
      <c r="N206">
        <v>37064</v>
      </c>
      <c r="O206" t="s">
        <v>30</v>
      </c>
      <c r="P206" t="s">
        <v>823</v>
      </c>
      <c r="Q206" t="s">
        <v>32</v>
      </c>
      <c r="R206" t="s">
        <v>65</v>
      </c>
      <c r="S206" t="s">
        <v>824</v>
      </c>
      <c r="T206" s="4">
        <v>35.167999999999999</v>
      </c>
      <c r="U206">
        <v>7</v>
      </c>
      <c r="V206">
        <v>0.2</v>
      </c>
      <c r="W206" s="4">
        <v>9.6712000000000007</v>
      </c>
    </row>
    <row r="207" spans="1:23" x14ac:dyDescent="0.3">
      <c r="A207">
        <v>206</v>
      </c>
      <c r="B207" t="s">
        <v>825</v>
      </c>
      <c r="C207" s="3">
        <v>42990</v>
      </c>
      <c r="D207" s="7" t="str">
        <f t="shared" si="6"/>
        <v>September</v>
      </c>
      <c r="E207" s="3">
        <f t="shared" si="7"/>
        <v>43008</v>
      </c>
      <c r="F207" s="3">
        <v>43143</v>
      </c>
      <c r="G207" t="s">
        <v>50</v>
      </c>
      <c r="H207" t="s">
        <v>826</v>
      </c>
      <c r="I207" t="s">
        <v>827</v>
      </c>
      <c r="J207" t="s">
        <v>26</v>
      </c>
      <c r="K207" t="s">
        <v>27</v>
      </c>
      <c r="L207" t="s">
        <v>828</v>
      </c>
      <c r="M207" t="s">
        <v>43</v>
      </c>
      <c r="N207">
        <v>90604</v>
      </c>
      <c r="O207" t="s">
        <v>44</v>
      </c>
      <c r="P207" t="s">
        <v>829</v>
      </c>
      <c r="Q207" t="s">
        <v>71</v>
      </c>
      <c r="R207" t="s">
        <v>72</v>
      </c>
      <c r="S207" t="s">
        <v>830</v>
      </c>
      <c r="T207" s="4">
        <v>444.76799999999997</v>
      </c>
      <c r="U207">
        <v>4</v>
      </c>
      <c r="V207">
        <v>0.2</v>
      </c>
      <c r="W207" s="4">
        <v>44.476799999999997</v>
      </c>
    </row>
    <row r="208" spans="1:23" x14ac:dyDescent="0.3">
      <c r="A208">
        <v>207</v>
      </c>
      <c r="B208" t="s">
        <v>831</v>
      </c>
      <c r="C208" s="3">
        <v>42747</v>
      </c>
      <c r="D208" s="7" t="str">
        <f t="shared" si="6"/>
        <v>January</v>
      </c>
      <c r="E208" s="3">
        <f t="shared" si="7"/>
        <v>42766</v>
      </c>
      <c r="F208" s="3">
        <v>42928</v>
      </c>
      <c r="G208" t="s">
        <v>50</v>
      </c>
      <c r="H208" t="s">
        <v>832</v>
      </c>
      <c r="I208" t="s">
        <v>833</v>
      </c>
      <c r="J208" t="s">
        <v>26</v>
      </c>
      <c r="K208" t="s">
        <v>27</v>
      </c>
      <c r="L208" t="s">
        <v>834</v>
      </c>
      <c r="M208" t="s">
        <v>238</v>
      </c>
      <c r="N208">
        <v>48601</v>
      </c>
      <c r="O208" t="s">
        <v>105</v>
      </c>
      <c r="P208" t="s">
        <v>835</v>
      </c>
      <c r="Q208" t="s">
        <v>46</v>
      </c>
      <c r="R208" t="s">
        <v>59</v>
      </c>
      <c r="S208" t="s">
        <v>836</v>
      </c>
      <c r="T208" s="4">
        <v>83.92</v>
      </c>
      <c r="U208">
        <v>4</v>
      </c>
      <c r="V208">
        <v>0</v>
      </c>
      <c r="W208" s="4">
        <v>5.8743999999999996</v>
      </c>
    </row>
    <row r="209" spans="1:23" x14ac:dyDescent="0.3">
      <c r="A209">
        <v>208</v>
      </c>
      <c r="B209" t="s">
        <v>831</v>
      </c>
      <c r="C209" s="3">
        <v>42747</v>
      </c>
      <c r="D209" s="7" t="str">
        <f t="shared" si="6"/>
        <v>January</v>
      </c>
      <c r="E209" s="3">
        <f t="shared" si="7"/>
        <v>42766</v>
      </c>
      <c r="F209" s="3">
        <v>42928</v>
      </c>
      <c r="G209" t="s">
        <v>50</v>
      </c>
      <c r="H209" t="s">
        <v>832</v>
      </c>
      <c r="I209" t="s">
        <v>833</v>
      </c>
      <c r="J209" t="s">
        <v>26</v>
      </c>
      <c r="K209" t="s">
        <v>27</v>
      </c>
      <c r="L209" t="s">
        <v>834</v>
      </c>
      <c r="M209" t="s">
        <v>238</v>
      </c>
      <c r="N209">
        <v>48601</v>
      </c>
      <c r="O209" t="s">
        <v>105</v>
      </c>
      <c r="P209" t="s">
        <v>837</v>
      </c>
      <c r="Q209" t="s">
        <v>71</v>
      </c>
      <c r="R209" t="s">
        <v>72</v>
      </c>
      <c r="S209" t="s">
        <v>838</v>
      </c>
      <c r="T209" s="4">
        <v>131.97999999999999</v>
      </c>
      <c r="U209">
        <v>2</v>
      </c>
      <c r="V209">
        <v>0</v>
      </c>
      <c r="W209" s="4">
        <v>35.634599999999999</v>
      </c>
    </row>
    <row r="210" spans="1:23" x14ac:dyDescent="0.3">
      <c r="A210">
        <v>209</v>
      </c>
      <c r="B210" t="s">
        <v>831</v>
      </c>
      <c r="C210" s="3">
        <v>42747</v>
      </c>
      <c r="D210" s="7" t="str">
        <f t="shared" si="6"/>
        <v>January</v>
      </c>
      <c r="E210" s="3">
        <f t="shared" si="7"/>
        <v>42766</v>
      </c>
      <c r="F210" s="3">
        <v>42928</v>
      </c>
      <c r="G210" t="s">
        <v>50</v>
      </c>
      <c r="H210" t="s">
        <v>832</v>
      </c>
      <c r="I210" t="s">
        <v>833</v>
      </c>
      <c r="J210" t="s">
        <v>26</v>
      </c>
      <c r="K210" t="s">
        <v>27</v>
      </c>
      <c r="L210" t="s">
        <v>834</v>
      </c>
      <c r="M210" t="s">
        <v>238</v>
      </c>
      <c r="N210">
        <v>48601</v>
      </c>
      <c r="O210" t="s">
        <v>105</v>
      </c>
      <c r="P210" t="s">
        <v>545</v>
      </c>
      <c r="Q210" t="s">
        <v>46</v>
      </c>
      <c r="R210" t="s">
        <v>75</v>
      </c>
      <c r="S210" t="s">
        <v>546</v>
      </c>
      <c r="T210" s="4">
        <v>15.92</v>
      </c>
      <c r="U210">
        <v>4</v>
      </c>
      <c r="V210">
        <v>0</v>
      </c>
      <c r="W210" s="4">
        <v>7.4824000000000002</v>
      </c>
    </row>
    <row r="211" spans="1:23" x14ac:dyDescent="0.3">
      <c r="A211">
        <v>210</v>
      </c>
      <c r="B211" t="s">
        <v>831</v>
      </c>
      <c r="C211" s="3">
        <v>42747</v>
      </c>
      <c r="D211" s="7" t="str">
        <f t="shared" si="6"/>
        <v>January</v>
      </c>
      <c r="E211" s="3">
        <f t="shared" si="7"/>
        <v>42766</v>
      </c>
      <c r="F211" s="3">
        <v>42928</v>
      </c>
      <c r="G211" t="s">
        <v>50</v>
      </c>
      <c r="H211" t="s">
        <v>832</v>
      </c>
      <c r="I211" t="s">
        <v>833</v>
      </c>
      <c r="J211" t="s">
        <v>26</v>
      </c>
      <c r="K211" t="s">
        <v>27</v>
      </c>
      <c r="L211" t="s">
        <v>834</v>
      </c>
      <c r="M211" t="s">
        <v>238</v>
      </c>
      <c r="N211">
        <v>48601</v>
      </c>
      <c r="O211" t="s">
        <v>105</v>
      </c>
      <c r="P211" t="s">
        <v>839</v>
      </c>
      <c r="Q211" t="s">
        <v>46</v>
      </c>
      <c r="R211" t="s">
        <v>269</v>
      </c>
      <c r="S211" t="s">
        <v>840</v>
      </c>
      <c r="T211" s="4">
        <v>52.29</v>
      </c>
      <c r="U211">
        <v>9</v>
      </c>
      <c r="V211">
        <v>0</v>
      </c>
      <c r="W211" s="4">
        <v>16.209900000000001</v>
      </c>
    </row>
    <row r="212" spans="1:23" x14ac:dyDescent="0.3">
      <c r="A212">
        <v>211</v>
      </c>
      <c r="B212" t="s">
        <v>831</v>
      </c>
      <c r="C212" s="3">
        <v>42747</v>
      </c>
      <c r="D212" s="7" t="str">
        <f t="shared" si="6"/>
        <v>January</v>
      </c>
      <c r="E212" s="3">
        <f t="shared" si="7"/>
        <v>42766</v>
      </c>
      <c r="F212" s="3">
        <v>42928</v>
      </c>
      <c r="G212" t="s">
        <v>50</v>
      </c>
      <c r="H212" t="s">
        <v>832</v>
      </c>
      <c r="I212" t="s">
        <v>833</v>
      </c>
      <c r="J212" t="s">
        <v>26</v>
      </c>
      <c r="K212" t="s">
        <v>27</v>
      </c>
      <c r="L212" t="s">
        <v>834</v>
      </c>
      <c r="M212" t="s">
        <v>238</v>
      </c>
      <c r="N212">
        <v>48601</v>
      </c>
      <c r="O212" t="s">
        <v>105</v>
      </c>
      <c r="P212" t="s">
        <v>841</v>
      </c>
      <c r="Q212" t="s">
        <v>46</v>
      </c>
      <c r="R212" t="s">
        <v>59</v>
      </c>
      <c r="S212" t="s">
        <v>842</v>
      </c>
      <c r="T212" s="4">
        <v>91.99</v>
      </c>
      <c r="U212">
        <v>1</v>
      </c>
      <c r="V212">
        <v>0</v>
      </c>
      <c r="W212" s="4">
        <v>3.6796000000000002</v>
      </c>
    </row>
    <row r="213" spans="1:23" x14ac:dyDescent="0.3">
      <c r="A213">
        <v>212</v>
      </c>
      <c r="B213" t="s">
        <v>843</v>
      </c>
      <c r="C213" s="3">
        <v>42249</v>
      </c>
      <c r="D213" s="7" t="str">
        <f t="shared" si="6"/>
        <v>September</v>
      </c>
      <c r="E213" s="3">
        <f t="shared" si="7"/>
        <v>42277</v>
      </c>
      <c r="F213" s="3">
        <v>42371</v>
      </c>
      <c r="G213" t="s">
        <v>23</v>
      </c>
      <c r="H213" t="s">
        <v>844</v>
      </c>
      <c r="I213" t="s">
        <v>845</v>
      </c>
      <c r="J213" t="s">
        <v>41</v>
      </c>
      <c r="K213" t="s">
        <v>27</v>
      </c>
      <c r="L213" t="s">
        <v>817</v>
      </c>
      <c r="M213" t="s">
        <v>104</v>
      </c>
      <c r="N213">
        <v>75220</v>
      </c>
      <c r="O213" t="s">
        <v>105</v>
      </c>
      <c r="P213" t="s">
        <v>846</v>
      </c>
      <c r="Q213" t="s">
        <v>71</v>
      </c>
      <c r="R213" t="s">
        <v>161</v>
      </c>
      <c r="S213" t="s">
        <v>847</v>
      </c>
      <c r="T213" s="4">
        <v>20.8</v>
      </c>
      <c r="U213">
        <v>2</v>
      </c>
      <c r="V213">
        <v>0.2</v>
      </c>
      <c r="W213" s="4">
        <v>6.5</v>
      </c>
    </row>
    <row r="214" spans="1:23" x14ac:dyDescent="0.3">
      <c r="A214">
        <v>213</v>
      </c>
      <c r="B214" t="s">
        <v>848</v>
      </c>
      <c r="C214" s="3">
        <v>42036</v>
      </c>
      <c r="D214" s="7" t="str">
        <f t="shared" si="6"/>
        <v>February</v>
      </c>
      <c r="E214" s="3">
        <f t="shared" si="7"/>
        <v>42063</v>
      </c>
      <c r="F214" s="3">
        <v>42248</v>
      </c>
      <c r="G214" t="s">
        <v>50</v>
      </c>
      <c r="H214" t="s">
        <v>849</v>
      </c>
      <c r="I214" t="s">
        <v>850</v>
      </c>
      <c r="J214" t="s">
        <v>41</v>
      </c>
      <c r="K214" t="s">
        <v>27</v>
      </c>
      <c r="L214" t="s">
        <v>851</v>
      </c>
      <c r="M214" t="s">
        <v>498</v>
      </c>
      <c r="N214">
        <v>44256</v>
      </c>
      <c r="O214" t="s">
        <v>148</v>
      </c>
      <c r="P214" t="s">
        <v>852</v>
      </c>
      <c r="Q214" t="s">
        <v>46</v>
      </c>
      <c r="R214" t="s">
        <v>47</v>
      </c>
      <c r="S214" t="s">
        <v>853</v>
      </c>
      <c r="T214" s="4">
        <v>23.68</v>
      </c>
      <c r="U214">
        <v>2</v>
      </c>
      <c r="V214">
        <v>0.2</v>
      </c>
      <c r="W214" s="4">
        <v>8.8800000000000008</v>
      </c>
    </row>
    <row r="215" spans="1:23" x14ac:dyDescent="0.3">
      <c r="A215">
        <v>214</v>
      </c>
      <c r="B215" t="s">
        <v>848</v>
      </c>
      <c r="C215" s="3">
        <v>42036</v>
      </c>
      <c r="D215" s="7" t="str">
        <f t="shared" si="6"/>
        <v>February</v>
      </c>
      <c r="E215" s="3">
        <f t="shared" si="7"/>
        <v>42063</v>
      </c>
      <c r="F215" s="3">
        <v>42248</v>
      </c>
      <c r="G215" t="s">
        <v>50</v>
      </c>
      <c r="H215" t="s">
        <v>849</v>
      </c>
      <c r="I215" t="s">
        <v>850</v>
      </c>
      <c r="J215" t="s">
        <v>41</v>
      </c>
      <c r="K215" t="s">
        <v>27</v>
      </c>
      <c r="L215" t="s">
        <v>851</v>
      </c>
      <c r="M215" t="s">
        <v>498</v>
      </c>
      <c r="N215">
        <v>44256</v>
      </c>
      <c r="O215" t="s">
        <v>148</v>
      </c>
      <c r="P215" t="s">
        <v>854</v>
      </c>
      <c r="Q215" t="s">
        <v>32</v>
      </c>
      <c r="R215" t="s">
        <v>33</v>
      </c>
      <c r="S215" t="s">
        <v>855</v>
      </c>
      <c r="T215" s="4">
        <v>452.45</v>
      </c>
      <c r="U215">
        <v>5</v>
      </c>
      <c r="V215">
        <v>0.5</v>
      </c>
      <c r="W215" s="4">
        <v>-244.32300000000001</v>
      </c>
    </row>
    <row r="216" spans="1:23" x14ac:dyDescent="0.3">
      <c r="A216">
        <v>215</v>
      </c>
      <c r="B216" t="s">
        <v>848</v>
      </c>
      <c r="C216" s="3">
        <v>42036</v>
      </c>
      <c r="D216" s="7" t="str">
        <f t="shared" si="6"/>
        <v>February</v>
      </c>
      <c r="E216" s="3">
        <f t="shared" si="7"/>
        <v>42063</v>
      </c>
      <c r="F216" s="3">
        <v>42248</v>
      </c>
      <c r="G216" t="s">
        <v>50</v>
      </c>
      <c r="H216" t="s">
        <v>849</v>
      </c>
      <c r="I216" t="s">
        <v>850</v>
      </c>
      <c r="J216" t="s">
        <v>41</v>
      </c>
      <c r="K216" t="s">
        <v>27</v>
      </c>
      <c r="L216" t="s">
        <v>851</v>
      </c>
      <c r="M216" t="s">
        <v>498</v>
      </c>
      <c r="N216">
        <v>44256</v>
      </c>
      <c r="O216" t="s">
        <v>148</v>
      </c>
      <c r="P216" t="s">
        <v>470</v>
      </c>
      <c r="Q216" t="s">
        <v>71</v>
      </c>
      <c r="R216" t="s">
        <v>72</v>
      </c>
      <c r="S216" t="s">
        <v>471</v>
      </c>
      <c r="T216" s="4">
        <v>62.981999999999999</v>
      </c>
      <c r="U216">
        <v>3</v>
      </c>
      <c r="V216">
        <v>0.4</v>
      </c>
      <c r="W216" s="4">
        <v>-14.6958</v>
      </c>
    </row>
    <row r="217" spans="1:23" x14ac:dyDescent="0.3">
      <c r="A217">
        <v>216</v>
      </c>
      <c r="B217" t="s">
        <v>848</v>
      </c>
      <c r="C217" s="3">
        <v>42036</v>
      </c>
      <c r="D217" s="7" t="str">
        <f t="shared" si="6"/>
        <v>February</v>
      </c>
      <c r="E217" s="3">
        <f t="shared" si="7"/>
        <v>42063</v>
      </c>
      <c r="F217" s="3">
        <v>42248</v>
      </c>
      <c r="G217" t="s">
        <v>50</v>
      </c>
      <c r="H217" t="s">
        <v>849</v>
      </c>
      <c r="I217" t="s">
        <v>850</v>
      </c>
      <c r="J217" t="s">
        <v>41</v>
      </c>
      <c r="K217" t="s">
        <v>27</v>
      </c>
      <c r="L217" t="s">
        <v>851</v>
      </c>
      <c r="M217" t="s">
        <v>498</v>
      </c>
      <c r="N217">
        <v>44256</v>
      </c>
      <c r="O217" t="s">
        <v>148</v>
      </c>
      <c r="P217" t="s">
        <v>856</v>
      </c>
      <c r="Q217" t="s">
        <v>71</v>
      </c>
      <c r="R217" t="s">
        <v>684</v>
      </c>
      <c r="S217" t="s">
        <v>857</v>
      </c>
      <c r="T217" s="4">
        <v>1188</v>
      </c>
      <c r="U217">
        <v>9</v>
      </c>
      <c r="V217">
        <v>0.7</v>
      </c>
      <c r="W217" s="4">
        <v>-950.4</v>
      </c>
    </row>
    <row r="218" spans="1:23" x14ac:dyDescent="0.3">
      <c r="A218">
        <v>217</v>
      </c>
      <c r="B218" t="s">
        <v>848</v>
      </c>
      <c r="C218" s="3">
        <v>42036</v>
      </c>
      <c r="D218" s="7" t="str">
        <f t="shared" si="6"/>
        <v>February</v>
      </c>
      <c r="E218" s="3">
        <f t="shared" si="7"/>
        <v>42063</v>
      </c>
      <c r="F218" s="3">
        <v>42248</v>
      </c>
      <c r="G218" t="s">
        <v>50</v>
      </c>
      <c r="H218" t="s">
        <v>849</v>
      </c>
      <c r="I218" t="s">
        <v>850</v>
      </c>
      <c r="J218" t="s">
        <v>41</v>
      </c>
      <c r="K218" t="s">
        <v>27</v>
      </c>
      <c r="L218" t="s">
        <v>851</v>
      </c>
      <c r="M218" t="s">
        <v>498</v>
      </c>
      <c r="N218">
        <v>44256</v>
      </c>
      <c r="O218" t="s">
        <v>148</v>
      </c>
      <c r="P218" t="s">
        <v>858</v>
      </c>
      <c r="Q218" t="s">
        <v>71</v>
      </c>
      <c r="R218" t="s">
        <v>161</v>
      </c>
      <c r="S218" t="s">
        <v>859</v>
      </c>
      <c r="T218" s="4">
        <v>89.584000000000003</v>
      </c>
      <c r="U218">
        <v>2</v>
      </c>
      <c r="V218">
        <v>0.2</v>
      </c>
      <c r="W218" s="4">
        <v>4.4791999999999996</v>
      </c>
    </row>
    <row r="219" spans="1:23" x14ac:dyDescent="0.3">
      <c r="A219">
        <v>218</v>
      </c>
      <c r="B219" t="s">
        <v>860</v>
      </c>
      <c r="C219" s="3">
        <v>43200</v>
      </c>
      <c r="D219" s="7" t="str">
        <f t="shared" si="6"/>
        <v>April</v>
      </c>
      <c r="E219" s="3">
        <f t="shared" si="7"/>
        <v>43220</v>
      </c>
      <c r="F219" s="3">
        <v>42380</v>
      </c>
      <c r="G219" t="s">
        <v>50</v>
      </c>
      <c r="H219" t="s">
        <v>861</v>
      </c>
      <c r="I219" t="s">
        <v>862</v>
      </c>
      <c r="J219" t="s">
        <v>26</v>
      </c>
      <c r="K219" t="s">
        <v>27</v>
      </c>
      <c r="L219" t="s">
        <v>42</v>
      </c>
      <c r="M219" t="s">
        <v>43</v>
      </c>
      <c r="N219">
        <v>90032</v>
      </c>
      <c r="O219" t="s">
        <v>44</v>
      </c>
      <c r="P219" t="s">
        <v>761</v>
      </c>
      <c r="Q219" t="s">
        <v>46</v>
      </c>
      <c r="R219" t="s">
        <v>59</v>
      </c>
      <c r="S219" t="s">
        <v>762</v>
      </c>
      <c r="T219" s="4">
        <v>93.06</v>
      </c>
      <c r="U219">
        <v>6</v>
      </c>
      <c r="V219">
        <v>0</v>
      </c>
      <c r="W219" s="4">
        <v>26.056799999999999</v>
      </c>
    </row>
    <row r="220" spans="1:23" x14ac:dyDescent="0.3">
      <c r="A220">
        <v>219</v>
      </c>
      <c r="B220" t="s">
        <v>860</v>
      </c>
      <c r="C220" s="3">
        <v>43200</v>
      </c>
      <c r="D220" s="7" t="str">
        <f t="shared" si="6"/>
        <v>April</v>
      </c>
      <c r="E220" s="3">
        <f t="shared" si="7"/>
        <v>43220</v>
      </c>
      <c r="F220" s="3">
        <v>42380</v>
      </c>
      <c r="G220" t="s">
        <v>50</v>
      </c>
      <c r="H220" t="s">
        <v>861</v>
      </c>
      <c r="I220" t="s">
        <v>862</v>
      </c>
      <c r="J220" t="s">
        <v>26</v>
      </c>
      <c r="K220" t="s">
        <v>27</v>
      </c>
      <c r="L220" t="s">
        <v>42</v>
      </c>
      <c r="M220" t="s">
        <v>43</v>
      </c>
      <c r="N220">
        <v>90032</v>
      </c>
      <c r="O220" t="s">
        <v>44</v>
      </c>
      <c r="P220" t="s">
        <v>863</v>
      </c>
      <c r="Q220" t="s">
        <v>71</v>
      </c>
      <c r="R220" t="s">
        <v>72</v>
      </c>
      <c r="S220" t="s">
        <v>864</v>
      </c>
      <c r="T220" s="4">
        <v>302.37599999999998</v>
      </c>
      <c r="U220">
        <v>3</v>
      </c>
      <c r="V220">
        <v>0.2</v>
      </c>
      <c r="W220" s="4">
        <v>22.6782</v>
      </c>
    </row>
    <row r="221" spans="1:23" x14ac:dyDescent="0.3">
      <c r="A221">
        <v>220</v>
      </c>
      <c r="B221" t="s">
        <v>865</v>
      </c>
      <c r="C221" s="3">
        <v>42716</v>
      </c>
      <c r="D221" s="7" t="str">
        <f t="shared" si="6"/>
        <v>December</v>
      </c>
      <c r="E221" s="3">
        <f t="shared" si="7"/>
        <v>42735</v>
      </c>
      <c r="F221" s="3">
        <v>42806</v>
      </c>
      <c r="G221" t="s">
        <v>188</v>
      </c>
      <c r="H221" t="s">
        <v>866</v>
      </c>
      <c r="I221" t="s">
        <v>867</v>
      </c>
      <c r="J221" t="s">
        <v>26</v>
      </c>
      <c r="K221" t="s">
        <v>27</v>
      </c>
      <c r="L221" t="s">
        <v>868</v>
      </c>
      <c r="M221" t="s">
        <v>498</v>
      </c>
      <c r="N221">
        <v>43017</v>
      </c>
      <c r="O221" t="s">
        <v>148</v>
      </c>
      <c r="P221" t="s">
        <v>869</v>
      </c>
      <c r="Q221" t="s">
        <v>46</v>
      </c>
      <c r="R221" t="s">
        <v>269</v>
      </c>
      <c r="S221" t="s">
        <v>870</v>
      </c>
      <c r="T221" s="4">
        <v>5.5839999999999996</v>
      </c>
      <c r="U221">
        <v>2</v>
      </c>
      <c r="V221">
        <v>0.2</v>
      </c>
      <c r="W221" s="4">
        <v>1.8148</v>
      </c>
    </row>
    <row r="222" spans="1:23" x14ac:dyDescent="0.3">
      <c r="A222">
        <v>221</v>
      </c>
      <c r="B222" t="s">
        <v>865</v>
      </c>
      <c r="C222" s="3">
        <v>42716</v>
      </c>
      <c r="D222" s="7" t="str">
        <f t="shared" si="6"/>
        <v>December</v>
      </c>
      <c r="E222" s="3">
        <f t="shared" si="7"/>
        <v>42735</v>
      </c>
      <c r="F222" s="3">
        <v>42806</v>
      </c>
      <c r="G222" t="s">
        <v>188</v>
      </c>
      <c r="H222" t="s">
        <v>866</v>
      </c>
      <c r="I222" t="s">
        <v>867</v>
      </c>
      <c r="J222" t="s">
        <v>26</v>
      </c>
      <c r="K222" t="s">
        <v>27</v>
      </c>
      <c r="L222" t="s">
        <v>868</v>
      </c>
      <c r="M222" t="s">
        <v>498</v>
      </c>
      <c r="N222">
        <v>43017</v>
      </c>
      <c r="O222" t="s">
        <v>148</v>
      </c>
      <c r="P222" t="s">
        <v>871</v>
      </c>
      <c r="Q222" t="s">
        <v>46</v>
      </c>
      <c r="R222" t="s">
        <v>90</v>
      </c>
      <c r="S222" t="s">
        <v>872</v>
      </c>
      <c r="T222" s="4">
        <v>22.704000000000001</v>
      </c>
      <c r="U222">
        <v>6</v>
      </c>
      <c r="V222">
        <v>0.2</v>
      </c>
      <c r="W222" s="4">
        <v>8.2302</v>
      </c>
    </row>
    <row r="223" spans="1:23" x14ac:dyDescent="0.3">
      <c r="A223">
        <v>222</v>
      </c>
      <c r="B223" t="s">
        <v>865</v>
      </c>
      <c r="C223" s="3">
        <v>42716</v>
      </c>
      <c r="D223" s="7" t="str">
        <f t="shared" si="6"/>
        <v>December</v>
      </c>
      <c r="E223" s="3">
        <f t="shared" si="7"/>
        <v>42735</v>
      </c>
      <c r="F223" s="3">
        <v>42806</v>
      </c>
      <c r="G223" t="s">
        <v>188</v>
      </c>
      <c r="H223" t="s">
        <v>866</v>
      </c>
      <c r="I223" t="s">
        <v>867</v>
      </c>
      <c r="J223" t="s">
        <v>26</v>
      </c>
      <c r="K223" t="s">
        <v>27</v>
      </c>
      <c r="L223" t="s">
        <v>868</v>
      </c>
      <c r="M223" t="s">
        <v>498</v>
      </c>
      <c r="N223">
        <v>43017</v>
      </c>
      <c r="O223" t="s">
        <v>148</v>
      </c>
      <c r="P223" t="s">
        <v>414</v>
      </c>
      <c r="Q223" t="s">
        <v>46</v>
      </c>
      <c r="R223" t="s">
        <v>75</v>
      </c>
      <c r="S223" t="s">
        <v>415</v>
      </c>
      <c r="T223" s="4">
        <v>19.776</v>
      </c>
      <c r="U223">
        <v>4</v>
      </c>
      <c r="V223">
        <v>0.7</v>
      </c>
      <c r="W223" s="4">
        <v>-13.8432</v>
      </c>
    </row>
    <row r="224" spans="1:23" x14ac:dyDescent="0.3">
      <c r="A224">
        <v>223</v>
      </c>
      <c r="B224" t="s">
        <v>865</v>
      </c>
      <c r="C224" s="3">
        <v>42716</v>
      </c>
      <c r="D224" s="7" t="str">
        <f t="shared" si="6"/>
        <v>December</v>
      </c>
      <c r="E224" s="3">
        <f t="shared" si="7"/>
        <v>42735</v>
      </c>
      <c r="F224" s="3">
        <v>42806</v>
      </c>
      <c r="G224" t="s">
        <v>188</v>
      </c>
      <c r="H224" t="s">
        <v>866</v>
      </c>
      <c r="I224" t="s">
        <v>867</v>
      </c>
      <c r="J224" t="s">
        <v>26</v>
      </c>
      <c r="K224" t="s">
        <v>27</v>
      </c>
      <c r="L224" t="s">
        <v>868</v>
      </c>
      <c r="M224" t="s">
        <v>498</v>
      </c>
      <c r="N224">
        <v>43017</v>
      </c>
      <c r="O224" t="s">
        <v>148</v>
      </c>
      <c r="P224" t="s">
        <v>873</v>
      </c>
      <c r="Q224" t="s">
        <v>32</v>
      </c>
      <c r="R224" t="s">
        <v>65</v>
      </c>
      <c r="S224" t="s">
        <v>874</v>
      </c>
      <c r="T224" s="4">
        <v>72.703999999999994</v>
      </c>
      <c r="U224">
        <v>4</v>
      </c>
      <c r="V224">
        <v>0.2</v>
      </c>
      <c r="W224" s="4">
        <v>19.084800000000001</v>
      </c>
    </row>
    <row r="225" spans="1:23" x14ac:dyDescent="0.3">
      <c r="A225">
        <v>224</v>
      </c>
      <c r="B225" t="s">
        <v>865</v>
      </c>
      <c r="C225" s="3">
        <v>42716</v>
      </c>
      <c r="D225" s="7" t="str">
        <f t="shared" si="6"/>
        <v>December</v>
      </c>
      <c r="E225" s="3">
        <f t="shared" si="7"/>
        <v>42735</v>
      </c>
      <c r="F225" s="3">
        <v>42806</v>
      </c>
      <c r="G225" t="s">
        <v>188</v>
      </c>
      <c r="H225" t="s">
        <v>866</v>
      </c>
      <c r="I225" t="s">
        <v>867</v>
      </c>
      <c r="J225" t="s">
        <v>26</v>
      </c>
      <c r="K225" t="s">
        <v>27</v>
      </c>
      <c r="L225" t="s">
        <v>868</v>
      </c>
      <c r="M225" t="s">
        <v>498</v>
      </c>
      <c r="N225">
        <v>43017</v>
      </c>
      <c r="O225" t="s">
        <v>148</v>
      </c>
      <c r="P225" t="s">
        <v>875</v>
      </c>
      <c r="Q225" t="s">
        <v>71</v>
      </c>
      <c r="R225" t="s">
        <v>684</v>
      </c>
      <c r="S225" t="s">
        <v>876</v>
      </c>
      <c r="T225" s="4">
        <v>479.988</v>
      </c>
      <c r="U225">
        <v>4</v>
      </c>
      <c r="V225">
        <v>0.7</v>
      </c>
      <c r="W225" s="4">
        <v>-383.99040000000002</v>
      </c>
    </row>
    <row r="226" spans="1:23" x14ac:dyDescent="0.3">
      <c r="A226">
        <v>225</v>
      </c>
      <c r="B226" t="s">
        <v>865</v>
      </c>
      <c r="C226" s="3">
        <v>42716</v>
      </c>
      <c r="D226" s="7" t="str">
        <f t="shared" si="6"/>
        <v>December</v>
      </c>
      <c r="E226" s="3">
        <f t="shared" si="7"/>
        <v>42735</v>
      </c>
      <c r="F226" s="3">
        <v>42806</v>
      </c>
      <c r="G226" t="s">
        <v>188</v>
      </c>
      <c r="H226" t="s">
        <v>866</v>
      </c>
      <c r="I226" t="s">
        <v>867</v>
      </c>
      <c r="J226" t="s">
        <v>26</v>
      </c>
      <c r="K226" t="s">
        <v>27</v>
      </c>
      <c r="L226" t="s">
        <v>868</v>
      </c>
      <c r="M226" t="s">
        <v>498</v>
      </c>
      <c r="N226">
        <v>43017</v>
      </c>
      <c r="O226" t="s">
        <v>148</v>
      </c>
      <c r="P226" t="s">
        <v>877</v>
      </c>
      <c r="Q226" t="s">
        <v>46</v>
      </c>
      <c r="R226" t="s">
        <v>68</v>
      </c>
      <c r="S226" t="s">
        <v>878</v>
      </c>
      <c r="T226" s="4">
        <v>27.167999999999999</v>
      </c>
      <c r="U226">
        <v>2</v>
      </c>
      <c r="V226">
        <v>0.2</v>
      </c>
      <c r="W226" s="4">
        <v>2.7168000000000001</v>
      </c>
    </row>
    <row r="227" spans="1:23" x14ac:dyDescent="0.3">
      <c r="A227">
        <v>226</v>
      </c>
      <c r="B227" t="s">
        <v>879</v>
      </c>
      <c r="C227" s="3">
        <v>42255</v>
      </c>
      <c r="D227" s="7" t="str">
        <f t="shared" si="6"/>
        <v>September</v>
      </c>
      <c r="E227" s="3">
        <f t="shared" si="7"/>
        <v>42277</v>
      </c>
      <c r="F227" s="3">
        <v>42468</v>
      </c>
      <c r="G227" t="s">
        <v>50</v>
      </c>
      <c r="H227" t="s">
        <v>880</v>
      </c>
      <c r="I227" t="s">
        <v>881</v>
      </c>
      <c r="J227" t="s">
        <v>41</v>
      </c>
      <c r="K227" t="s">
        <v>27</v>
      </c>
      <c r="L227" t="s">
        <v>882</v>
      </c>
      <c r="M227" t="s">
        <v>238</v>
      </c>
      <c r="N227">
        <v>48227</v>
      </c>
      <c r="O227" t="s">
        <v>105</v>
      </c>
      <c r="P227" t="s">
        <v>883</v>
      </c>
      <c r="Q227" t="s">
        <v>46</v>
      </c>
      <c r="R227" t="s">
        <v>68</v>
      </c>
      <c r="S227" t="s">
        <v>884</v>
      </c>
      <c r="T227" s="4">
        <v>2.2000000000000002</v>
      </c>
      <c r="U227">
        <v>1</v>
      </c>
      <c r="V227">
        <v>0</v>
      </c>
      <c r="W227" s="4">
        <v>0.96799999999999997</v>
      </c>
    </row>
    <row r="228" spans="1:23" x14ac:dyDescent="0.3">
      <c r="A228">
        <v>227</v>
      </c>
      <c r="B228" t="s">
        <v>879</v>
      </c>
      <c r="C228" s="3">
        <v>42255</v>
      </c>
      <c r="D228" s="7" t="str">
        <f t="shared" si="6"/>
        <v>September</v>
      </c>
      <c r="E228" s="3">
        <f t="shared" si="7"/>
        <v>42277</v>
      </c>
      <c r="F228" s="3">
        <v>42468</v>
      </c>
      <c r="G228" t="s">
        <v>50</v>
      </c>
      <c r="H228" t="s">
        <v>880</v>
      </c>
      <c r="I228" t="s">
        <v>881</v>
      </c>
      <c r="J228" t="s">
        <v>41</v>
      </c>
      <c r="K228" t="s">
        <v>27</v>
      </c>
      <c r="L228" t="s">
        <v>882</v>
      </c>
      <c r="M228" t="s">
        <v>238</v>
      </c>
      <c r="N228">
        <v>48227</v>
      </c>
      <c r="O228" t="s">
        <v>105</v>
      </c>
      <c r="P228" t="s">
        <v>885</v>
      </c>
      <c r="Q228" t="s">
        <v>32</v>
      </c>
      <c r="R228" t="s">
        <v>56</v>
      </c>
      <c r="S228" t="s">
        <v>886</v>
      </c>
      <c r="T228" s="4">
        <v>622.45000000000005</v>
      </c>
      <c r="U228">
        <v>5</v>
      </c>
      <c r="V228">
        <v>0</v>
      </c>
      <c r="W228" s="4">
        <v>136.93899999999999</v>
      </c>
    </row>
    <row r="229" spans="1:23" x14ac:dyDescent="0.3">
      <c r="A229">
        <v>228</v>
      </c>
      <c r="B229" t="s">
        <v>879</v>
      </c>
      <c r="C229" s="3">
        <v>42255</v>
      </c>
      <c r="D229" s="7" t="str">
        <f t="shared" si="6"/>
        <v>September</v>
      </c>
      <c r="E229" s="3">
        <f t="shared" si="7"/>
        <v>42277</v>
      </c>
      <c r="F229" s="3">
        <v>42468</v>
      </c>
      <c r="G229" t="s">
        <v>50</v>
      </c>
      <c r="H229" t="s">
        <v>880</v>
      </c>
      <c r="I229" t="s">
        <v>881</v>
      </c>
      <c r="J229" t="s">
        <v>41</v>
      </c>
      <c r="K229" t="s">
        <v>27</v>
      </c>
      <c r="L229" t="s">
        <v>882</v>
      </c>
      <c r="M229" t="s">
        <v>238</v>
      </c>
      <c r="N229">
        <v>48227</v>
      </c>
      <c r="O229" t="s">
        <v>105</v>
      </c>
      <c r="P229" t="s">
        <v>887</v>
      </c>
      <c r="Q229" t="s">
        <v>46</v>
      </c>
      <c r="R229" t="s">
        <v>59</v>
      </c>
      <c r="S229" t="s">
        <v>888</v>
      </c>
      <c r="T229" s="4">
        <v>21.98</v>
      </c>
      <c r="U229">
        <v>1</v>
      </c>
      <c r="V229">
        <v>0</v>
      </c>
      <c r="W229" s="4">
        <v>0.2198</v>
      </c>
    </row>
    <row r="230" spans="1:23" x14ac:dyDescent="0.3">
      <c r="A230">
        <v>229</v>
      </c>
      <c r="B230" t="s">
        <v>889</v>
      </c>
      <c r="C230" s="3">
        <v>42827</v>
      </c>
      <c r="D230" s="7" t="str">
        <f t="shared" si="6"/>
        <v>April</v>
      </c>
      <c r="E230" s="3">
        <f t="shared" si="7"/>
        <v>42855</v>
      </c>
      <c r="F230" s="3">
        <v>42097</v>
      </c>
      <c r="G230" t="s">
        <v>50</v>
      </c>
      <c r="H230" t="s">
        <v>890</v>
      </c>
      <c r="I230" t="s">
        <v>891</v>
      </c>
      <c r="J230" t="s">
        <v>26</v>
      </c>
      <c r="K230" t="s">
        <v>27</v>
      </c>
      <c r="L230" t="s">
        <v>382</v>
      </c>
      <c r="M230" t="s">
        <v>335</v>
      </c>
      <c r="N230">
        <v>38401</v>
      </c>
      <c r="O230" t="s">
        <v>30</v>
      </c>
      <c r="P230" t="s">
        <v>892</v>
      </c>
      <c r="Q230" t="s">
        <v>32</v>
      </c>
      <c r="R230" t="s">
        <v>36</v>
      </c>
      <c r="S230" t="s">
        <v>893</v>
      </c>
      <c r="T230" s="4">
        <v>161.56800000000001</v>
      </c>
      <c r="U230">
        <v>2</v>
      </c>
      <c r="V230">
        <v>0.2</v>
      </c>
      <c r="W230" s="4">
        <v>-28.2744</v>
      </c>
    </row>
    <row r="231" spans="1:23" x14ac:dyDescent="0.3">
      <c r="A231">
        <v>230</v>
      </c>
      <c r="B231" t="s">
        <v>889</v>
      </c>
      <c r="C231" s="3">
        <v>42827</v>
      </c>
      <c r="D231" s="7" t="str">
        <f t="shared" si="6"/>
        <v>April</v>
      </c>
      <c r="E231" s="3">
        <f t="shared" si="7"/>
        <v>42855</v>
      </c>
      <c r="F231" s="3">
        <v>42097</v>
      </c>
      <c r="G231" t="s">
        <v>50</v>
      </c>
      <c r="H231" t="s">
        <v>890</v>
      </c>
      <c r="I231" t="s">
        <v>891</v>
      </c>
      <c r="J231" t="s">
        <v>26</v>
      </c>
      <c r="K231" t="s">
        <v>27</v>
      </c>
      <c r="L231" t="s">
        <v>382</v>
      </c>
      <c r="M231" t="s">
        <v>335</v>
      </c>
      <c r="N231">
        <v>38401</v>
      </c>
      <c r="O231" t="s">
        <v>30</v>
      </c>
      <c r="P231" t="s">
        <v>894</v>
      </c>
      <c r="Q231" t="s">
        <v>32</v>
      </c>
      <c r="R231" t="s">
        <v>36</v>
      </c>
      <c r="S231" t="s">
        <v>895</v>
      </c>
      <c r="T231" s="4">
        <v>389.69600000000003</v>
      </c>
      <c r="U231">
        <v>8</v>
      </c>
      <c r="V231">
        <v>0.2</v>
      </c>
      <c r="W231" s="4">
        <v>43.840800000000002</v>
      </c>
    </row>
    <row r="232" spans="1:23" x14ac:dyDescent="0.3">
      <c r="A232">
        <v>231</v>
      </c>
      <c r="B232" t="s">
        <v>896</v>
      </c>
      <c r="C232" s="3">
        <v>42013</v>
      </c>
      <c r="D232" s="7" t="str">
        <f t="shared" si="6"/>
        <v>January</v>
      </c>
      <c r="E232" s="3">
        <f t="shared" si="7"/>
        <v>42035</v>
      </c>
      <c r="F232" s="3">
        <v>42133</v>
      </c>
      <c r="G232" t="s">
        <v>50</v>
      </c>
      <c r="H232" t="s">
        <v>897</v>
      </c>
      <c r="I232" t="s">
        <v>898</v>
      </c>
      <c r="J232" t="s">
        <v>41</v>
      </c>
      <c r="K232" t="s">
        <v>27</v>
      </c>
      <c r="L232" t="s">
        <v>467</v>
      </c>
      <c r="M232" t="s">
        <v>88</v>
      </c>
      <c r="N232">
        <v>28205</v>
      </c>
      <c r="O232" t="s">
        <v>30</v>
      </c>
      <c r="P232" t="s">
        <v>899</v>
      </c>
      <c r="Q232" t="s">
        <v>46</v>
      </c>
      <c r="R232" t="s">
        <v>75</v>
      </c>
      <c r="S232" t="s">
        <v>900</v>
      </c>
      <c r="T232" s="4">
        <v>18.648</v>
      </c>
      <c r="U232">
        <v>7</v>
      </c>
      <c r="V232">
        <v>0.7</v>
      </c>
      <c r="W232" s="4">
        <v>-12.432</v>
      </c>
    </row>
    <row r="233" spans="1:23" x14ac:dyDescent="0.3">
      <c r="A233">
        <v>232</v>
      </c>
      <c r="B233" t="s">
        <v>901</v>
      </c>
      <c r="C233" s="3">
        <v>42920</v>
      </c>
      <c r="D233" s="7" t="str">
        <f t="shared" si="6"/>
        <v>July</v>
      </c>
      <c r="E233" s="3">
        <f t="shared" si="7"/>
        <v>42947</v>
      </c>
      <c r="F233" s="3">
        <v>43073</v>
      </c>
      <c r="G233" t="s">
        <v>50</v>
      </c>
      <c r="H233" t="s">
        <v>377</v>
      </c>
      <c r="I233" t="s">
        <v>378</v>
      </c>
      <c r="J233" t="s">
        <v>102</v>
      </c>
      <c r="K233" t="s">
        <v>27</v>
      </c>
      <c r="L233" t="s">
        <v>902</v>
      </c>
      <c r="M233" t="s">
        <v>54</v>
      </c>
      <c r="N233">
        <v>33614</v>
      </c>
      <c r="O233" t="s">
        <v>30</v>
      </c>
      <c r="P233" t="s">
        <v>903</v>
      </c>
      <c r="Q233" t="s">
        <v>32</v>
      </c>
      <c r="R233" t="s">
        <v>56</v>
      </c>
      <c r="S233" t="s">
        <v>904</v>
      </c>
      <c r="T233" s="4">
        <v>233.86</v>
      </c>
      <c r="U233">
        <v>2</v>
      </c>
      <c r="V233">
        <v>0.45</v>
      </c>
      <c r="W233" s="4">
        <v>-102.048</v>
      </c>
    </row>
    <row r="234" spans="1:23" x14ac:dyDescent="0.3">
      <c r="A234">
        <v>233</v>
      </c>
      <c r="B234" t="s">
        <v>901</v>
      </c>
      <c r="C234" s="3">
        <v>42920</v>
      </c>
      <c r="D234" s="7" t="str">
        <f t="shared" si="6"/>
        <v>July</v>
      </c>
      <c r="E234" s="3">
        <f t="shared" si="7"/>
        <v>42947</v>
      </c>
      <c r="F234" s="3">
        <v>43073</v>
      </c>
      <c r="G234" t="s">
        <v>50</v>
      </c>
      <c r="H234" t="s">
        <v>377</v>
      </c>
      <c r="I234" t="s">
        <v>378</v>
      </c>
      <c r="J234" t="s">
        <v>102</v>
      </c>
      <c r="K234" t="s">
        <v>27</v>
      </c>
      <c r="L234" t="s">
        <v>902</v>
      </c>
      <c r="M234" t="s">
        <v>54</v>
      </c>
      <c r="N234">
        <v>33614</v>
      </c>
      <c r="O234" t="s">
        <v>30</v>
      </c>
      <c r="P234" t="s">
        <v>905</v>
      </c>
      <c r="Q234" t="s">
        <v>32</v>
      </c>
      <c r="R234" t="s">
        <v>56</v>
      </c>
      <c r="S234" t="s">
        <v>906</v>
      </c>
      <c r="T234" s="4">
        <v>620.61450000000002</v>
      </c>
      <c r="U234">
        <v>3</v>
      </c>
      <c r="V234">
        <v>0.45</v>
      </c>
      <c r="W234" s="4">
        <v>-248.2458</v>
      </c>
    </row>
    <row r="235" spans="1:23" x14ac:dyDescent="0.3">
      <c r="A235">
        <v>234</v>
      </c>
      <c r="B235" t="s">
        <v>901</v>
      </c>
      <c r="C235" s="3">
        <v>42920</v>
      </c>
      <c r="D235" s="7" t="str">
        <f t="shared" si="6"/>
        <v>July</v>
      </c>
      <c r="E235" s="3">
        <f t="shared" si="7"/>
        <v>42947</v>
      </c>
      <c r="F235" s="3">
        <v>43073</v>
      </c>
      <c r="G235" t="s">
        <v>50</v>
      </c>
      <c r="H235" t="s">
        <v>377</v>
      </c>
      <c r="I235" t="s">
        <v>378</v>
      </c>
      <c r="J235" t="s">
        <v>102</v>
      </c>
      <c r="K235" t="s">
        <v>27</v>
      </c>
      <c r="L235" t="s">
        <v>902</v>
      </c>
      <c r="M235" t="s">
        <v>54</v>
      </c>
      <c r="N235">
        <v>33614</v>
      </c>
      <c r="O235" t="s">
        <v>30</v>
      </c>
      <c r="P235" t="s">
        <v>899</v>
      </c>
      <c r="Q235" t="s">
        <v>46</v>
      </c>
      <c r="R235" t="s">
        <v>75</v>
      </c>
      <c r="S235" t="s">
        <v>900</v>
      </c>
      <c r="T235" s="4">
        <v>5.3280000000000003</v>
      </c>
      <c r="U235">
        <v>2</v>
      </c>
      <c r="V235">
        <v>0.7</v>
      </c>
      <c r="W235" s="4">
        <v>-3.552</v>
      </c>
    </row>
    <row r="236" spans="1:23" x14ac:dyDescent="0.3">
      <c r="A236">
        <v>235</v>
      </c>
      <c r="B236" t="s">
        <v>901</v>
      </c>
      <c r="C236" s="3">
        <v>42920</v>
      </c>
      <c r="D236" s="7" t="str">
        <f t="shared" si="6"/>
        <v>July</v>
      </c>
      <c r="E236" s="3">
        <f t="shared" si="7"/>
        <v>42947</v>
      </c>
      <c r="F236" s="3">
        <v>43073</v>
      </c>
      <c r="G236" t="s">
        <v>50</v>
      </c>
      <c r="H236" t="s">
        <v>377</v>
      </c>
      <c r="I236" t="s">
        <v>378</v>
      </c>
      <c r="J236" t="s">
        <v>102</v>
      </c>
      <c r="K236" t="s">
        <v>27</v>
      </c>
      <c r="L236" t="s">
        <v>902</v>
      </c>
      <c r="M236" t="s">
        <v>54</v>
      </c>
      <c r="N236">
        <v>33614</v>
      </c>
      <c r="O236" t="s">
        <v>30</v>
      </c>
      <c r="P236" t="s">
        <v>907</v>
      </c>
      <c r="Q236" t="s">
        <v>32</v>
      </c>
      <c r="R236" t="s">
        <v>65</v>
      </c>
      <c r="S236" t="s">
        <v>908</v>
      </c>
      <c r="T236" s="4">
        <v>258.072</v>
      </c>
      <c r="U236">
        <v>3</v>
      </c>
      <c r="V236">
        <v>0.2</v>
      </c>
      <c r="W236" s="4">
        <v>0</v>
      </c>
    </row>
    <row r="237" spans="1:23" x14ac:dyDescent="0.3">
      <c r="A237">
        <v>236</v>
      </c>
      <c r="B237" t="s">
        <v>901</v>
      </c>
      <c r="C237" s="3">
        <v>42920</v>
      </c>
      <c r="D237" s="7" t="str">
        <f t="shared" si="6"/>
        <v>July</v>
      </c>
      <c r="E237" s="3">
        <f t="shared" si="7"/>
        <v>42947</v>
      </c>
      <c r="F237" s="3">
        <v>43073</v>
      </c>
      <c r="G237" t="s">
        <v>50</v>
      </c>
      <c r="H237" t="s">
        <v>377</v>
      </c>
      <c r="I237" t="s">
        <v>378</v>
      </c>
      <c r="J237" t="s">
        <v>102</v>
      </c>
      <c r="K237" t="s">
        <v>27</v>
      </c>
      <c r="L237" t="s">
        <v>902</v>
      </c>
      <c r="M237" t="s">
        <v>54</v>
      </c>
      <c r="N237">
        <v>33614</v>
      </c>
      <c r="O237" t="s">
        <v>30</v>
      </c>
      <c r="P237" t="s">
        <v>909</v>
      </c>
      <c r="Q237" t="s">
        <v>71</v>
      </c>
      <c r="R237" t="s">
        <v>161</v>
      </c>
      <c r="S237" t="s">
        <v>910</v>
      </c>
      <c r="T237" s="4">
        <v>617.976</v>
      </c>
      <c r="U237">
        <v>3</v>
      </c>
      <c r="V237">
        <v>0.2</v>
      </c>
      <c r="W237" s="4">
        <v>-7.7247000000000003</v>
      </c>
    </row>
    <row r="238" spans="1:23" x14ac:dyDescent="0.3">
      <c r="A238">
        <v>237</v>
      </c>
      <c r="B238" t="s">
        <v>911</v>
      </c>
      <c r="C238" s="3">
        <v>43080</v>
      </c>
      <c r="D238" s="7" t="str">
        <f t="shared" si="6"/>
        <v>December</v>
      </c>
      <c r="E238" s="3">
        <f t="shared" si="7"/>
        <v>43100</v>
      </c>
      <c r="F238" s="3">
        <v>43201</v>
      </c>
      <c r="G238" t="s">
        <v>50</v>
      </c>
      <c r="H238" t="s">
        <v>912</v>
      </c>
      <c r="I238" t="s">
        <v>913</v>
      </c>
      <c r="J238" t="s">
        <v>41</v>
      </c>
      <c r="K238" t="s">
        <v>27</v>
      </c>
      <c r="L238" t="s">
        <v>914</v>
      </c>
      <c r="M238" t="s">
        <v>43</v>
      </c>
      <c r="N238">
        <v>95051</v>
      </c>
      <c r="O238" t="s">
        <v>44</v>
      </c>
      <c r="P238" t="s">
        <v>915</v>
      </c>
      <c r="Q238" t="s">
        <v>46</v>
      </c>
      <c r="R238" t="s">
        <v>90</v>
      </c>
      <c r="S238" t="s">
        <v>916</v>
      </c>
      <c r="T238" s="4">
        <v>10.56</v>
      </c>
      <c r="U238">
        <v>2</v>
      </c>
      <c r="V238">
        <v>0</v>
      </c>
      <c r="W238" s="4">
        <v>4.7519999999999998</v>
      </c>
    </row>
    <row r="239" spans="1:23" x14ac:dyDescent="0.3">
      <c r="A239">
        <v>238</v>
      </c>
      <c r="B239" t="s">
        <v>917</v>
      </c>
      <c r="C239" s="3">
        <v>42466</v>
      </c>
      <c r="D239" s="7" t="str">
        <f t="shared" si="6"/>
        <v>April</v>
      </c>
      <c r="E239" s="3">
        <f t="shared" si="7"/>
        <v>42490</v>
      </c>
      <c r="F239" s="3">
        <v>42619</v>
      </c>
      <c r="G239" t="s">
        <v>23</v>
      </c>
      <c r="H239" t="s">
        <v>918</v>
      </c>
      <c r="I239" t="s">
        <v>919</v>
      </c>
      <c r="J239" t="s">
        <v>26</v>
      </c>
      <c r="K239" t="s">
        <v>27</v>
      </c>
      <c r="L239" t="s">
        <v>303</v>
      </c>
      <c r="M239" t="s">
        <v>211</v>
      </c>
      <c r="N239">
        <v>60610</v>
      </c>
      <c r="O239" t="s">
        <v>105</v>
      </c>
      <c r="P239" t="s">
        <v>920</v>
      </c>
      <c r="Q239" t="s">
        <v>46</v>
      </c>
      <c r="R239" t="s">
        <v>90</v>
      </c>
      <c r="S239" t="s">
        <v>921</v>
      </c>
      <c r="T239" s="4">
        <v>25.92</v>
      </c>
      <c r="U239">
        <v>5</v>
      </c>
      <c r="V239">
        <v>0.2</v>
      </c>
      <c r="W239" s="4">
        <v>9.3960000000000008</v>
      </c>
    </row>
    <row r="240" spans="1:23" x14ac:dyDescent="0.3">
      <c r="A240">
        <v>239</v>
      </c>
      <c r="B240" t="s">
        <v>917</v>
      </c>
      <c r="C240" s="3">
        <v>42466</v>
      </c>
      <c r="D240" s="7" t="str">
        <f t="shared" si="6"/>
        <v>April</v>
      </c>
      <c r="E240" s="3">
        <f t="shared" si="7"/>
        <v>42490</v>
      </c>
      <c r="F240" s="3">
        <v>42619</v>
      </c>
      <c r="G240" t="s">
        <v>23</v>
      </c>
      <c r="H240" t="s">
        <v>918</v>
      </c>
      <c r="I240" t="s">
        <v>919</v>
      </c>
      <c r="J240" t="s">
        <v>26</v>
      </c>
      <c r="K240" t="s">
        <v>27</v>
      </c>
      <c r="L240" t="s">
        <v>303</v>
      </c>
      <c r="M240" t="s">
        <v>211</v>
      </c>
      <c r="N240">
        <v>60610</v>
      </c>
      <c r="O240" t="s">
        <v>105</v>
      </c>
      <c r="P240" t="s">
        <v>922</v>
      </c>
      <c r="Q240" t="s">
        <v>32</v>
      </c>
      <c r="R240" t="s">
        <v>65</v>
      </c>
      <c r="S240" t="s">
        <v>923</v>
      </c>
      <c r="T240" s="4">
        <v>419.68</v>
      </c>
      <c r="U240">
        <v>5</v>
      </c>
      <c r="V240">
        <v>0.6</v>
      </c>
      <c r="W240" s="4">
        <v>-356.72800000000001</v>
      </c>
    </row>
    <row r="241" spans="1:23" x14ac:dyDescent="0.3">
      <c r="A241">
        <v>240</v>
      </c>
      <c r="B241" t="s">
        <v>917</v>
      </c>
      <c r="C241" s="3">
        <v>42466</v>
      </c>
      <c r="D241" s="7" t="str">
        <f t="shared" si="6"/>
        <v>April</v>
      </c>
      <c r="E241" s="3">
        <f t="shared" si="7"/>
        <v>42490</v>
      </c>
      <c r="F241" s="3">
        <v>42619</v>
      </c>
      <c r="G241" t="s">
        <v>23</v>
      </c>
      <c r="H241" t="s">
        <v>918</v>
      </c>
      <c r="I241" t="s">
        <v>919</v>
      </c>
      <c r="J241" t="s">
        <v>26</v>
      </c>
      <c r="K241" t="s">
        <v>27</v>
      </c>
      <c r="L241" t="s">
        <v>303</v>
      </c>
      <c r="M241" t="s">
        <v>211</v>
      </c>
      <c r="N241">
        <v>60610</v>
      </c>
      <c r="O241" t="s">
        <v>105</v>
      </c>
      <c r="P241" t="s">
        <v>924</v>
      </c>
      <c r="Q241" t="s">
        <v>32</v>
      </c>
      <c r="R241" t="s">
        <v>65</v>
      </c>
      <c r="S241" t="s">
        <v>925</v>
      </c>
      <c r="T241" s="4">
        <v>11.688000000000001</v>
      </c>
      <c r="U241">
        <v>3</v>
      </c>
      <c r="V241">
        <v>0.6</v>
      </c>
      <c r="W241" s="4">
        <v>-4.6752000000000002</v>
      </c>
    </row>
    <row r="242" spans="1:23" x14ac:dyDescent="0.3">
      <c r="A242">
        <v>241</v>
      </c>
      <c r="B242" t="s">
        <v>917</v>
      </c>
      <c r="C242" s="3">
        <v>42466</v>
      </c>
      <c r="D242" s="7" t="str">
        <f t="shared" si="6"/>
        <v>April</v>
      </c>
      <c r="E242" s="3">
        <f t="shared" si="7"/>
        <v>42490</v>
      </c>
      <c r="F242" s="3">
        <v>42619</v>
      </c>
      <c r="G242" t="s">
        <v>23</v>
      </c>
      <c r="H242" t="s">
        <v>918</v>
      </c>
      <c r="I242" t="s">
        <v>919</v>
      </c>
      <c r="J242" t="s">
        <v>26</v>
      </c>
      <c r="K242" t="s">
        <v>27</v>
      </c>
      <c r="L242" t="s">
        <v>303</v>
      </c>
      <c r="M242" t="s">
        <v>211</v>
      </c>
      <c r="N242">
        <v>60610</v>
      </c>
      <c r="O242" t="s">
        <v>105</v>
      </c>
      <c r="P242" t="s">
        <v>926</v>
      </c>
      <c r="Q242" t="s">
        <v>71</v>
      </c>
      <c r="R242" t="s">
        <v>72</v>
      </c>
      <c r="S242" t="s">
        <v>927</v>
      </c>
      <c r="T242" s="4">
        <v>31.984000000000002</v>
      </c>
      <c r="U242">
        <v>2</v>
      </c>
      <c r="V242">
        <v>0.2</v>
      </c>
      <c r="W242" s="4">
        <v>11.1944</v>
      </c>
    </row>
    <row r="243" spans="1:23" x14ac:dyDescent="0.3">
      <c r="A243">
        <v>242</v>
      </c>
      <c r="B243" t="s">
        <v>917</v>
      </c>
      <c r="C243" s="3">
        <v>42466</v>
      </c>
      <c r="D243" s="7" t="str">
        <f t="shared" si="6"/>
        <v>April</v>
      </c>
      <c r="E243" s="3">
        <f t="shared" si="7"/>
        <v>42490</v>
      </c>
      <c r="F243" s="3">
        <v>42619</v>
      </c>
      <c r="G243" t="s">
        <v>23</v>
      </c>
      <c r="H243" t="s">
        <v>918</v>
      </c>
      <c r="I243" t="s">
        <v>919</v>
      </c>
      <c r="J243" t="s">
        <v>26</v>
      </c>
      <c r="K243" t="s">
        <v>27</v>
      </c>
      <c r="L243" t="s">
        <v>303</v>
      </c>
      <c r="M243" t="s">
        <v>211</v>
      </c>
      <c r="N243">
        <v>60610</v>
      </c>
      <c r="O243" t="s">
        <v>105</v>
      </c>
      <c r="P243" t="s">
        <v>928</v>
      </c>
      <c r="Q243" t="s">
        <v>32</v>
      </c>
      <c r="R243" t="s">
        <v>56</v>
      </c>
      <c r="S243" t="s">
        <v>929</v>
      </c>
      <c r="T243" s="4">
        <v>177.22499999999999</v>
      </c>
      <c r="U243">
        <v>5</v>
      </c>
      <c r="V243">
        <v>0.5</v>
      </c>
      <c r="W243" s="4">
        <v>-120.51300000000001</v>
      </c>
    </row>
    <row r="244" spans="1:23" x14ac:dyDescent="0.3">
      <c r="A244">
        <v>243</v>
      </c>
      <c r="B244" t="s">
        <v>917</v>
      </c>
      <c r="C244" s="3">
        <v>42466</v>
      </c>
      <c r="D244" s="7" t="str">
        <f t="shared" si="6"/>
        <v>April</v>
      </c>
      <c r="E244" s="3">
        <f t="shared" si="7"/>
        <v>42490</v>
      </c>
      <c r="F244" s="3">
        <v>42619</v>
      </c>
      <c r="G244" t="s">
        <v>23</v>
      </c>
      <c r="H244" t="s">
        <v>918</v>
      </c>
      <c r="I244" t="s">
        <v>919</v>
      </c>
      <c r="J244" t="s">
        <v>26</v>
      </c>
      <c r="K244" t="s">
        <v>27</v>
      </c>
      <c r="L244" t="s">
        <v>303</v>
      </c>
      <c r="M244" t="s">
        <v>211</v>
      </c>
      <c r="N244">
        <v>60610</v>
      </c>
      <c r="O244" t="s">
        <v>105</v>
      </c>
      <c r="P244" t="s">
        <v>930</v>
      </c>
      <c r="Q244" t="s">
        <v>32</v>
      </c>
      <c r="R244" t="s">
        <v>65</v>
      </c>
      <c r="S244" t="s">
        <v>931</v>
      </c>
      <c r="T244" s="4">
        <v>4.0439999999999996</v>
      </c>
      <c r="U244">
        <v>3</v>
      </c>
      <c r="V244">
        <v>0.6</v>
      </c>
      <c r="W244" s="4">
        <v>-2.8308</v>
      </c>
    </row>
    <row r="245" spans="1:23" x14ac:dyDescent="0.3">
      <c r="A245">
        <v>244</v>
      </c>
      <c r="B245" t="s">
        <v>917</v>
      </c>
      <c r="C245" s="3">
        <v>42466</v>
      </c>
      <c r="D245" s="7" t="str">
        <f t="shared" si="6"/>
        <v>April</v>
      </c>
      <c r="E245" s="3">
        <f t="shared" si="7"/>
        <v>42490</v>
      </c>
      <c r="F245" s="3">
        <v>42619</v>
      </c>
      <c r="G245" t="s">
        <v>23</v>
      </c>
      <c r="H245" t="s">
        <v>918</v>
      </c>
      <c r="I245" t="s">
        <v>919</v>
      </c>
      <c r="J245" t="s">
        <v>26</v>
      </c>
      <c r="K245" t="s">
        <v>27</v>
      </c>
      <c r="L245" t="s">
        <v>303</v>
      </c>
      <c r="M245" t="s">
        <v>211</v>
      </c>
      <c r="N245">
        <v>60610</v>
      </c>
      <c r="O245" t="s">
        <v>105</v>
      </c>
      <c r="P245" t="s">
        <v>782</v>
      </c>
      <c r="Q245" t="s">
        <v>46</v>
      </c>
      <c r="R245" t="s">
        <v>68</v>
      </c>
      <c r="S245" t="s">
        <v>783</v>
      </c>
      <c r="T245" s="4">
        <v>7.4080000000000004</v>
      </c>
      <c r="U245">
        <v>2</v>
      </c>
      <c r="V245">
        <v>0.2</v>
      </c>
      <c r="W245" s="4">
        <v>1.2038</v>
      </c>
    </row>
    <row r="246" spans="1:23" x14ac:dyDescent="0.3">
      <c r="A246">
        <v>245</v>
      </c>
      <c r="B246" t="s">
        <v>932</v>
      </c>
      <c r="C246" s="3">
        <v>41645</v>
      </c>
      <c r="D246" s="7" t="str">
        <f t="shared" si="6"/>
        <v>January</v>
      </c>
      <c r="E246" s="3">
        <f t="shared" si="7"/>
        <v>41670</v>
      </c>
      <c r="F246" s="3">
        <v>41796</v>
      </c>
      <c r="G246" t="s">
        <v>23</v>
      </c>
      <c r="H246" t="s">
        <v>933</v>
      </c>
      <c r="I246" t="s">
        <v>934</v>
      </c>
      <c r="J246" t="s">
        <v>102</v>
      </c>
      <c r="K246" t="s">
        <v>27</v>
      </c>
      <c r="L246" t="s">
        <v>935</v>
      </c>
      <c r="M246" t="s">
        <v>229</v>
      </c>
      <c r="N246">
        <v>55044</v>
      </c>
      <c r="O246" t="s">
        <v>105</v>
      </c>
      <c r="P246" t="s">
        <v>533</v>
      </c>
      <c r="Q246" t="s">
        <v>32</v>
      </c>
      <c r="R246" t="s">
        <v>36</v>
      </c>
      <c r="S246" t="s">
        <v>534</v>
      </c>
      <c r="T246" s="4">
        <v>2001.86</v>
      </c>
      <c r="U246">
        <v>7</v>
      </c>
      <c r="V246">
        <v>0</v>
      </c>
      <c r="W246" s="4">
        <v>580.5394</v>
      </c>
    </row>
    <row r="247" spans="1:23" x14ac:dyDescent="0.3">
      <c r="A247">
        <v>246</v>
      </c>
      <c r="B247" t="s">
        <v>932</v>
      </c>
      <c r="C247" s="3">
        <v>41645</v>
      </c>
      <c r="D247" s="7" t="str">
        <f t="shared" si="6"/>
        <v>January</v>
      </c>
      <c r="E247" s="3">
        <f t="shared" si="7"/>
        <v>41670</v>
      </c>
      <c r="F247" s="3">
        <v>41796</v>
      </c>
      <c r="G247" t="s">
        <v>23</v>
      </c>
      <c r="H247" t="s">
        <v>933</v>
      </c>
      <c r="I247" t="s">
        <v>934</v>
      </c>
      <c r="J247" t="s">
        <v>102</v>
      </c>
      <c r="K247" t="s">
        <v>27</v>
      </c>
      <c r="L247" t="s">
        <v>935</v>
      </c>
      <c r="M247" t="s">
        <v>229</v>
      </c>
      <c r="N247">
        <v>55044</v>
      </c>
      <c r="O247" t="s">
        <v>105</v>
      </c>
      <c r="P247" t="s">
        <v>936</v>
      </c>
      <c r="Q247" t="s">
        <v>46</v>
      </c>
      <c r="R247" t="s">
        <v>59</v>
      </c>
      <c r="S247" t="s">
        <v>937</v>
      </c>
      <c r="T247" s="4">
        <v>166.72</v>
      </c>
      <c r="U247">
        <v>2</v>
      </c>
      <c r="V247">
        <v>0</v>
      </c>
      <c r="W247" s="4">
        <v>41.68</v>
      </c>
    </row>
    <row r="248" spans="1:23" x14ac:dyDescent="0.3">
      <c r="A248">
        <v>247</v>
      </c>
      <c r="B248" t="s">
        <v>932</v>
      </c>
      <c r="C248" s="3">
        <v>41645</v>
      </c>
      <c r="D248" s="7" t="str">
        <f t="shared" si="6"/>
        <v>January</v>
      </c>
      <c r="E248" s="3">
        <f t="shared" si="7"/>
        <v>41670</v>
      </c>
      <c r="F248" s="3">
        <v>41796</v>
      </c>
      <c r="G248" t="s">
        <v>23</v>
      </c>
      <c r="H248" t="s">
        <v>933</v>
      </c>
      <c r="I248" t="s">
        <v>934</v>
      </c>
      <c r="J248" t="s">
        <v>102</v>
      </c>
      <c r="K248" t="s">
        <v>27</v>
      </c>
      <c r="L248" t="s">
        <v>935</v>
      </c>
      <c r="M248" t="s">
        <v>229</v>
      </c>
      <c r="N248">
        <v>55044</v>
      </c>
      <c r="O248" t="s">
        <v>105</v>
      </c>
      <c r="P248" t="s">
        <v>938</v>
      </c>
      <c r="Q248" t="s">
        <v>46</v>
      </c>
      <c r="R248" t="s">
        <v>90</v>
      </c>
      <c r="S248" t="s">
        <v>939</v>
      </c>
      <c r="T248" s="4">
        <v>47.88</v>
      </c>
      <c r="U248">
        <v>6</v>
      </c>
      <c r="V248">
        <v>0</v>
      </c>
      <c r="W248" s="4">
        <v>23.94</v>
      </c>
    </row>
    <row r="249" spans="1:23" x14ac:dyDescent="0.3">
      <c r="A249">
        <v>248</v>
      </c>
      <c r="B249" t="s">
        <v>932</v>
      </c>
      <c r="C249" s="3">
        <v>41645</v>
      </c>
      <c r="D249" s="7" t="str">
        <f t="shared" si="6"/>
        <v>January</v>
      </c>
      <c r="E249" s="3">
        <f t="shared" si="7"/>
        <v>41670</v>
      </c>
      <c r="F249" s="3">
        <v>41796</v>
      </c>
      <c r="G249" t="s">
        <v>23</v>
      </c>
      <c r="H249" t="s">
        <v>933</v>
      </c>
      <c r="I249" t="s">
        <v>934</v>
      </c>
      <c r="J249" t="s">
        <v>102</v>
      </c>
      <c r="K249" t="s">
        <v>27</v>
      </c>
      <c r="L249" t="s">
        <v>935</v>
      </c>
      <c r="M249" t="s">
        <v>229</v>
      </c>
      <c r="N249">
        <v>55044</v>
      </c>
      <c r="O249" t="s">
        <v>105</v>
      </c>
      <c r="P249" t="s">
        <v>940</v>
      </c>
      <c r="Q249" t="s">
        <v>46</v>
      </c>
      <c r="R249" t="s">
        <v>78</v>
      </c>
      <c r="S249" t="s">
        <v>941</v>
      </c>
      <c r="T249" s="4">
        <v>1503.25</v>
      </c>
      <c r="U249">
        <v>5</v>
      </c>
      <c r="V249">
        <v>0</v>
      </c>
      <c r="W249" s="4">
        <v>496.07249999999999</v>
      </c>
    </row>
    <row r="250" spans="1:23" x14ac:dyDescent="0.3">
      <c r="A250">
        <v>249</v>
      </c>
      <c r="B250" t="s">
        <v>932</v>
      </c>
      <c r="C250" s="3">
        <v>41645</v>
      </c>
      <c r="D250" s="7" t="str">
        <f t="shared" si="6"/>
        <v>January</v>
      </c>
      <c r="E250" s="3">
        <f t="shared" si="7"/>
        <v>41670</v>
      </c>
      <c r="F250" s="3">
        <v>41796</v>
      </c>
      <c r="G250" t="s">
        <v>23</v>
      </c>
      <c r="H250" t="s">
        <v>933</v>
      </c>
      <c r="I250" t="s">
        <v>934</v>
      </c>
      <c r="J250" t="s">
        <v>102</v>
      </c>
      <c r="K250" t="s">
        <v>27</v>
      </c>
      <c r="L250" t="s">
        <v>935</v>
      </c>
      <c r="M250" t="s">
        <v>229</v>
      </c>
      <c r="N250">
        <v>55044</v>
      </c>
      <c r="O250" t="s">
        <v>105</v>
      </c>
      <c r="P250" t="s">
        <v>770</v>
      </c>
      <c r="Q250" t="s">
        <v>46</v>
      </c>
      <c r="R250" t="s">
        <v>90</v>
      </c>
      <c r="S250" t="s">
        <v>771</v>
      </c>
      <c r="T250" s="4">
        <v>25.92</v>
      </c>
      <c r="U250">
        <v>4</v>
      </c>
      <c r="V250">
        <v>0</v>
      </c>
      <c r="W250" s="4">
        <v>12.441599999999999</v>
      </c>
    </row>
    <row r="251" spans="1:23" x14ac:dyDescent="0.3">
      <c r="A251">
        <v>250</v>
      </c>
      <c r="B251" t="s">
        <v>942</v>
      </c>
      <c r="C251" s="3">
        <v>42655</v>
      </c>
      <c r="D251" s="7" t="str">
        <f t="shared" si="6"/>
        <v>October</v>
      </c>
      <c r="E251" s="3">
        <f t="shared" si="7"/>
        <v>42674</v>
      </c>
      <c r="F251" s="3">
        <v>42806</v>
      </c>
      <c r="G251" t="s">
        <v>23</v>
      </c>
      <c r="H251" t="s">
        <v>943</v>
      </c>
      <c r="I251" t="s">
        <v>944</v>
      </c>
      <c r="J251" t="s">
        <v>26</v>
      </c>
      <c r="K251" t="s">
        <v>27</v>
      </c>
      <c r="L251" t="s">
        <v>127</v>
      </c>
      <c r="M251" t="s">
        <v>43</v>
      </c>
      <c r="N251">
        <v>94109</v>
      </c>
      <c r="O251" t="s">
        <v>44</v>
      </c>
      <c r="P251" t="s">
        <v>945</v>
      </c>
      <c r="Q251" t="s">
        <v>32</v>
      </c>
      <c r="R251" t="s">
        <v>36</v>
      </c>
      <c r="S251" t="s">
        <v>946</v>
      </c>
      <c r="T251" s="4">
        <v>321.56799999999998</v>
      </c>
      <c r="U251">
        <v>2</v>
      </c>
      <c r="V251">
        <v>0.2</v>
      </c>
      <c r="W251" s="4">
        <v>28.1372</v>
      </c>
    </row>
    <row r="252" spans="1:23" x14ac:dyDescent="0.3">
      <c r="A252">
        <v>251</v>
      </c>
      <c r="B252" t="s">
        <v>947</v>
      </c>
      <c r="C252" s="3">
        <v>42683</v>
      </c>
      <c r="D252" s="7" t="str">
        <f t="shared" si="6"/>
        <v>November</v>
      </c>
      <c r="E252" s="3">
        <f t="shared" si="7"/>
        <v>42704</v>
      </c>
      <c r="F252" s="3">
        <v>42864</v>
      </c>
      <c r="G252" t="s">
        <v>50</v>
      </c>
      <c r="H252" t="s">
        <v>948</v>
      </c>
      <c r="I252" t="s">
        <v>949</v>
      </c>
      <c r="J252" t="s">
        <v>26</v>
      </c>
      <c r="K252" t="s">
        <v>27</v>
      </c>
      <c r="L252" t="s">
        <v>950</v>
      </c>
      <c r="M252" t="s">
        <v>43</v>
      </c>
      <c r="N252">
        <v>92037</v>
      </c>
      <c r="O252" t="s">
        <v>44</v>
      </c>
      <c r="P252" t="s">
        <v>951</v>
      </c>
      <c r="Q252" t="s">
        <v>46</v>
      </c>
      <c r="R252" t="s">
        <v>90</v>
      </c>
      <c r="S252" t="s">
        <v>952</v>
      </c>
      <c r="T252" s="4">
        <v>7.61</v>
      </c>
      <c r="U252">
        <v>1</v>
      </c>
      <c r="V252">
        <v>0</v>
      </c>
      <c r="W252" s="4">
        <v>3.5767000000000002</v>
      </c>
    </row>
    <row r="253" spans="1:23" x14ac:dyDescent="0.3">
      <c r="A253">
        <v>252</v>
      </c>
      <c r="B253" t="s">
        <v>947</v>
      </c>
      <c r="C253" s="3">
        <v>42683</v>
      </c>
      <c r="D253" s="7" t="str">
        <f t="shared" si="6"/>
        <v>November</v>
      </c>
      <c r="E253" s="3">
        <f t="shared" si="7"/>
        <v>42704</v>
      </c>
      <c r="F253" s="3">
        <v>42864</v>
      </c>
      <c r="G253" t="s">
        <v>50</v>
      </c>
      <c r="H253" t="s">
        <v>948</v>
      </c>
      <c r="I253" t="s">
        <v>949</v>
      </c>
      <c r="J253" t="s">
        <v>26</v>
      </c>
      <c r="K253" t="s">
        <v>27</v>
      </c>
      <c r="L253" t="s">
        <v>950</v>
      </c>
      <c r="M253" t="s">
        <v>43</v>
      </c>
      <c r="N253">
        <v>92037</v>
      </c>
      <c r="O253" t="s">
        <v>44</v>
      </c>
      <c r="P253" t="s">
        <v>909</v>
      </c>
      <c r="Q253" t="s">
        <v>71</v>
      </c>
      <c r="R253" t="s">
        <v>161</v>
      </c>
      <c r="S253" t="s">
        <v>910</v>
      </c>
      <c r="T253" s="4">
        <v>3347.37</v>
      </c>
      <c r="U253">
        <v>13</v>
      </c>
      <c r="V253">
        <v>0</v>
      </c>
      <c r="W253" s="4">
        <v>636.00030000000004</v>
      </c>
    </row>
    <row r="254" spans="1:23" x14ac:dyDescent="0.3">
      <c r="A254">
        <v>253</v>
      </c>
      <c r="B254" t="s">
        <v>953</v>
      </c>
      <c r="C254" s="3">
        <v>42655</v>
      </c>
      <c r="D254" s="7" t="str">
        <f t="shared" si="6"/>
        <v>October</v>
      </c>
      <c r="E254" s="3">
        <f t="shared" si="7"/>
        <v>42674</v>
      </c>
      <c r="F254" s="3">
        <v>42747</v>
      </c>
      <c r="G254" t="s">
        <v>188</v>
      </c>
      <c r="H254" t="s">
        <v>954</v>
      </c>
      <c r="I254" t="s">
        <v>955</v>
      </c>
      <c r="J254" t="s">
        <v>26</v>
      </c>
      <c r="K254" t="s">
        <v>27</v>
      </c>
      <c r="L254" t="s">
        <v>266</v>
      </c>
      <c r="M254" t="s">
        <v>267</v>
      </c>
      <c r="N254">
        <v>10024</v>
      </c>
      <c r="O254" t="s">
        <v>148</v>
      </c>
      <c r="P254" t="s">
        <v>956</v>
      </c>
      <c r="Q254" t="s">
        <v>46</v>
      </c>
      <c r="R254" t="s">
        <v>59</v>
      </c>
      <c r="S254" t="s">
        <v>957</v>
      </c>
      <c r="T254" s="4">
        <v>80.58</v>
      </c>
      <c r="U254">
        <v>6</v>
      </c>
      <c r="V254">
        <v>0</v>
      </c>
      <c r="W254" s="4">
        <v>22.5624</v>
      </c>
    </row>
    <row r="255" spans="1:23" x14ac:dyDescent="0.3">
      <c r="A255">
        <v>254</v>
      </c>
      <c r="B255" t="s">
        <v>953</v>
      </c>
      <c r="C255" s="3">
        <v>42655</v>
      </c>
      <c r="D255" s="7" t="str">
        <f t="shared" si="6"/>
        <v>October</v>
      </c>
      <c r="E255" s="3">
        <f t="shared" si="7"/>
        <v>42674</v>
      </c>
      <c r="F255" s="3">
        <v>42747</v>
      </c>
      <c r="G255" t="s">
        <v>188</v>
      </c>
      <c r="H255" t="s">
        <v>954</v>
      </c>
      <c r="I255" t="s">
        <v>955</v>
      </c>
      <c r="J255" t="s">
        <v>26</v>
      </c>
      <c r="K255" t="s">
        <v>27</v>
      </c>
      <c r="L255" t="s">
        <v>266</v>
      </c>
      <c r="M255" t="s">
        <v>267</v>
      </c>
      <c r="N255">
        <v>10024</v>
      </c>
      <c r="O255" t="s">
        <v>148</v>
      </c>
      <c r="P255" t="s">
        <v>958</v>
      </c>
      <c r="Q255" t="s">
        <v>46</v>
      </c>
      <c r="R255" t="s">
        <v>173</v>
      </c>
      <c r="S255" t="s">
        <v>959</v>
      </c>
      <c r="T255" s="4">
        <v>361.92</v>
      </c>
      <c r="U255">
        <v>4</v>
      </c>
      <c r="V255">
        <v>0</v>
      </c>
      <c r="W255" s="4">
        <v>162.864</v>
      </c>
    </row>
    <row r="256" spans="1:23" x14ac:dyDescent="0.3">
      <c r="A256">
        <v>255</v>
      </c>
      <c r="B256" t="s">
        <v>960</v>
      </c>
      <c r="C256" s="3">
        <v>42836</v>
      </c>
      <c r="D256" s="7" t="str">
        <f t="shared" si="6"/>
        <v>April</v>
      </c>
      <c r="E256" s="3">
        <f t="shared" si="7"/>
        <v>42855</v>
      </c>
      <c r="F256" s="3">
        <v>42106</v>
      </c>
      <c r="G256" t="s">
        <v>50</v>
      </c>
      <c r="H256" t="s">
        <v>961</v>
      </c>
      <c r="I256" t="s">
        <v>962</v>
      </c>
      <c r="J256" t="s">
        <v>41</v>
      </c>
      <c r="K256" t="s">
        <v>27</v>
      </c>
      <c r="L256" t="s">
        <v>303</v>
      </c>
      <c r="M256" t="s">
        <v>211</v>
      </c>
      <c r="N256">
        <v>60623</v>
      </c>
      <c r="O256" t="s">
        <v>105</v>
      </c>
      <c r="P256" t="s">
        <v>930</v>
      </c>
      <c r="Q256" t="s">
        <v>32</v>
      </c>
      <c r="R256" t="s">
        <v>65</v>
      </c>
      <c r="S256" t="s">
        <v>931</v>
      </c>
      <c r="T256" s="4">
        <v>12.132</v>
      </c>
      <c r="U256">
        <v>9</v>
      </c>
      <c r="V256">
        <v>0.6</v>
      </c>
      <c r="W256" s="4">
        <v>-8.4923999999999999</v>
      </c>
    </row>
    <row r="257" spans="1:23" x14ac:dyDescent="0.3">
      <c r="A257">
        <v>256</v>
      </c>
      <c r="B257" t="s">
        <v>960</v>
      </c>
      <c r="C257" s="3">
        <v>42836</v>
      </c>
      <c r="D257" s="7" t="str">
        <f t="shared" si="6"/>
        <v>April</v>
      </c>
      <c r="E257" s="3">
        <f t="shared" si="7"/>
        <v>42855</v>
      </c>
      <c r="F257" s="3">
        <v>42106</v>
      </c>
      <c r="G257" t="s">
        <v>50</v>
      </c>
      <c r="H257" t="s">
        <v>961</v>
      </c>
      <c r="I257" t="s">
        <v>962</v>
      </c>
      <c r="J257" t="s">
        <v>41</v>
      </c>
      <c r="K257" t="s">
        <v>27</v>
      </c>
      <c r="L257" t="s">
        <v>303</v>
      </c>
      <c r="M257" t="s">
        <v>211</v>
      </c>
      <c r="N257">
        <v>60623</v>
      </c>
      <c r="O257" t="s">
        <v>105</v>
      </c>
      <c r="P257" t="s">
        <v>963</v>
      </c>
      <c r="Q257" t="s">
        <v>46</v>
      </c>
      <c r="R257" t="s">
        <v>59</v>
      </c>
      <c r="S257" t="s">
        <v>964</v>
      </c>
      <c r="T257" s="4">
        <v>82.367999999999995</v>
      </c>
      <c r="U257">
        <v>2</v>
      </c>
      <c r="V257">
        <v>0.2</v>
      </c>
      <c r="W257" s="4">
        <v>-19.5624</v>
      </c>
    </row>
    <row r="258" spans="1:23" x14ac:dyDescent="0.3">
      <c r="A258">
        <v>257</v>
      </c>
      <c r="B258" t="s">
        <v>960</v>
      </c>
      <c r="C258" s="3">
        <v>42836</v>
      </c>
      <c r="D258" s="7" t="str">
        <f t="shared" si="6"/>
        <v>April</v>
      </c>
      <c r="E258" s="3">
        <f t="shared" si="7"/>
        <v>42855</v>
      </c>
      <c r="F258" s="3">
        <v>42106</v>
      </c>
      <c r="G258" t="s">
        <v>50</v>
      </c>
      <c r="H258" t="s">
        <v>961</v>
      </c>
      <c r="I258" t="s">
        <v>962</v>
      </c>
      <c r="J258" t="s">
        <v>41</v>
      </c>
      <c r="K258" t="s">
        <v>27</v>
      </c>
      <c r="L258" t="s">
        <v>303</v>
      </c>
      <c r="M258" t="s">
        <v>211</v>
      </c>
      <c r="N258">
        <v>60623</v>
      </c>
      <c r="O258" t="s">
        <v>105</v>
      </c>
      <c r="P258" t="s">
        <v>636</v>
      </c>
      <c r="Q258" t="s">
        <v>46</v>
      </c>
      <c r="R258" t="s">
        <v>59</v>
      </c>
      <c r="S258" t="s">
        <v>637</v>
      </c>
      <c r="T258" s="4">
        <v>53.92</v>
      </c>
      <c r="U258">
        <v>5</v>
      </c>
      <c r="V258">
        <v>0.2</v>
      </c>
      <c r="W258" s="4">
        <v>4.0439999999999996</v>
      </c>
    </row>
    <row r="259" spans="1:23" x14ac:dyDescent="0.3">
      <c r="A259">
        <v>258</v>
      </c>
      <c r="B259" t="s">
        <v>960</v>
      </c>
      <c r="C259" s="3">
        <v>42836</v>
      </c>
      <c r="D259" s="7" t="str">
        <f t="shared" ref="D259:D322" si="8">TEXT(C259,"mmmm")</f>
        <v>April</v>
      </c>
      <c r="E259" s="3">
        <f t="shared" ref="E259:E322" si="9">EOMONTH(C259,0)</f>
        <v>42855</v>
      </c>
      <c r="F259" s="3">
        <v>42106</v>
      </c>
      <c r="G259" t="s">
        <v>50</v>
      </c>
      <c r="H259" t="s">
        <v>961</v>
      </c>
      <c r="I259" t="s">
        <v>962</v>
      </c>
      <c r="J259" t="s">
        <v>41</v>
      </c>
      <c r="K259" t="s">
        <v>27</v>
      </c>
      <c r="L259" t="s">
        <v>303</v>
      </c>
      <c r="M259" t="s">
        <v>211</v>
      </c>
      <c r="N259">
        <v>60623</v>
      </c>
      <c r="O259" t="s">
        <v>105</v>
      </c>
      <c r="P259" t="s">
        <v>965</v>
      </c>
      <c r="Q259" t="s">
        <v>71</v>
      </c>
      <c r="R259" t="s">
        <v>72</v>
      </c>
      <c r="S259" t="s">
        <v>966</v>
      </c>
      <c r="T259" s="4">
        <v>647.904</v>
      </c>
      <c r="U259">
        <v>6</v>
      </c>
      <c r="V259">
        <v>0.2</v>
      </c>
      <c r="W259" s="4">
        <v>56.691600000000001</v>
      </c>
    </row>
    <row r="260" spans="1:23" x14ac:dyDescent="0.3">
      <c r="A260">
        <v>259</v>
      </c>
      <c r="B260" t="s">
        <v>967</v>
      </c>
      <c r="C260" s="3">
        <v>42747</v>
      </c>
      <c r="D260" s="7" t="str">
        <f t="shared" si="8"/>
        <v>January</v>
      </c>
      <c r="E260" s="3">
        <f t="shared" si="9"/>
        <v>42766</v>
      </c>
      <c r="F260" s="3">
        <v>42806</v>
      </c>
      <c r="G260" t="s">
        <v>23</v>
      </c>
      <c r="H260" t="s">
        <v>968</v>
      </c>
      <c r="I260" t="s">
        <v>969</v>
      </c>
      <c r="J260" t="s">
        <v>26</v>
      </c>
      <c r="K260" t="s">
        <v>27</v>
      </c>
      <c r="L260" t="s">
        <v>266</v>
      </c>
      <c r="M260" t="s">
        <v>267</v>
      </c>
      <c r="N260">
        <v>10009</v>
      </c>
      <c r="O260" t="s">
        <v>148</v>
      </c>
      <c r="P260" t="s">
        <v>970</v>
      </c>
      <c r="Q260" t="s">
        <v>71</v>
      </c>
      <c r="R260" t="s">
        <v>161</v>
      </c>
      <c r="S260" t="s">
        <v>971</v>
      </c>
      <c r="T260" s="4">
        <v>20.37</v>
      </c>
      <c r="U260">
        <v>3</v>
      </c>
      <c r="V260">
        <v>0</v>
      </c>
      <c r="W260" s="4">
        <v>6.9257999999999997</v>
      </c>
    </row>
    <row r="261" spans="1:23" x14ac:dyDescent="0.3">
      <c r="A261">
        <v>260</v>
      </c>
      <c r="B261" t="s">
        <v>967</v>
      </c>
      <c r="C261" s="3">
        <v>42747</v>
      </c>
      <c r="D261" s="7" t="str">
        <f t="shared" si="8"/>
        <v>January</v>
      </c>
      <c r="E261" s="3">
        <f t="shared" si="9"/>
        <v>42766</v>
      </c>
      <c r="F261" s="3">
        <v>42806</v>
      </c>
      <c r="G261" t="s">
        <v>23</v>
      </c>
      <c r="H261" t="s">
        <v>968</v>
      </c>
      <c r="I261" t="s">
        <v>969</v>
      </c>
      <c r="J261" t="s">
        <v>26</v>
      </c>
      <c r="K261" t="s">
        <v>27</v>
      </c>
      <c r="L261" t="s">
        <v>266</v>
      </c>
      <c r="M261" t="s">
        <v>267</v>
      </c>
      <c r="N261">
        <v>10009</v>
      </c>
      <c r="O261" t="s">
        <v>148</v>
      </c>
      <c r="P261" t="s">
        <v>972</v>
      </c>
      <c r="Q261" t="s">
        <v>46</v>
      </c>
      <c r="R261" t="s">
        <v>59</v>
      </c>
      <c r="S261" t="s">
        <v>973</v>
      </c>
      <c r="T261" s="4">
        <v>221.55</v>
      </c>
      <c r="U261">
        <v>3</v>
      </c>
      <c r="V261">
        <v>0</v>
      </c>
      <c r="W261" s="4">
        <v>6.6464999999999996</v>
      </c>
    </row>
    <row r="262" spans="1:23" x14ac:dyDescent="0.3">
      <c r="A262">
        <v>261</v>
      </c>
      <c r="B262" t="s">
        <v>967</v>
      </c>
      <c r="C262" s="3">
        <v>42747</v>
      </c>
      <c r="D262" s="7" t="str">
        <f t="shared" si="8"/>
        <v>January</v>
      </c>
      <c r="E262" s="3">
        <f t="shared" si="9"/>
        <v>42766</v>
      </c>
      <c r="F262" s="3">
        <v>42806</v>
      </c>
      <c r="G262" t="s">
        <v>23</v>
      </c>
      <c r="H262" t="s">
        <v>968</v>
      </c>
      <c r="I262" t="s">
        <v>969</v>
      </c>
      <c r="J262" t="s">
        <v>26</v>
      </c>
      <c r="K262" t="s">
        <v>27</v>
      </c>
      <c r="L262" t="s">
        <v>266</v>
      </c>
      <c r="M262" t="s">
        <v>267</v>
      </c>
      <c r="N262">
        <v>10009</v>
      </c>
      <c r="O262" t="s">
        <v>148</v>
      </c>
      <c r="P262" t="s">
        <v>974</v>
      </c>
      <c r="Q262" t="s">
        <v>46</v>
      </c>
      <c r="R262" t="s">
        <v>75</v>
      </c>
      <c r="S262" t="s">
        <v>975</v>
      </c>
      <c r="T262" s="4">
        <v>17.52</v>
      </c>
      <c r="U262">
        <v>5</v>
      </c>
      <c r="V262">
        <v>0.2</v>
      </c>
      <c r="W262" s="4">
        <v>6.1319999999999997</v>
      </c>
    </row>
    <row r="263" spans="1:23" x14ac:dyDescent="0.3">
      <c r="A263">
        <v>262</v>
      </c>
      <c r="B263" t="s">
        <v>976</v>
      </c>
      <c r="C263" s="3">
        <v>42953</v>
      </c>
      <c r="D263" s="7" t="str">
        <f t="shared" si="8"/>
        <v>August</v>
      </c>
      <c r="E263" s="3">
        <f t="shared" si="9"/>
        <v>42978</v>
      </c>
      <c r="F263" s="3">
        <v>43075</v>
      </c>
      <c r="G263" t="s">
        <v>50</v>
      </c>
      <c r="H263" t="s">
        <v>977</v>
      </c>
      <c r="I263" t="s">
        <v>978</v>
      </c>
      <c r="J263" t="s">
        <v>41</v>
      </c>
      <c r="K263" t="s">
        <v>27</v>
      </c>
      <c r="L263" t="s">
        <v>603</v>
      </c>
      <c r="M263" t="s">
        <v>104</v>
      </c>
      <c r="N263">
        <v>77506</v>
      </c>
      <c r="O263" t="s">
        <v>105</v>
      </c>
      <c r="P263" t="s">
        <v>979</v>
      </c>
      <c r="Q263" t="s">
        <v>46</v>
      </c>
      <c r="R263" t="s">
        <v>78</v>
      </c>
      <c r="S263" t="s">
        <v>980</v>
      </c>
      <c r="T263" s="4">
        <v>1.6240000000000001</v>
      </c>
      <c r="U263">
        <v>2</v>
      </c>
      <c r="V263">
        <v>0.8</v>
      </c>
      <c r="W263" s="4">
        <v>-4.4660000000000002</v>
      </c>
    </row>
    <row r="264" spans="1:23" x14ac:dyDescent="0.3">
      <c r="A264">
        <v>263</v>
      </c>
      <c r="B264" t="s">
        <v>981</v>
      </c>
      <c r="C264" s="3">
        <v>42194</v>
      </c>
      <c r="D264" s="7" t="str">
        <f t="shared" si="8"/>
        <v>July</v>
      </c>
      <c r="E264" s="3">
        <f t="shared" si="9"/>
        <v>42216</v>
      </c>
      <c r="F264" s="3">
        <v>42256</v>
      </c>
      <c r="G264" t="s">
        <v>23</v>
      </c>
      <c r="H264" t="s">
        <v>982</v>
      </c>
      <c r="I264" t="s">
        <v>983</v>
      </c>
      <c r="J264" t="s">
        <v>41</v>
      </c>
      <c r="K264" t="s">
        <v>27</v>
      </c>
      <c r="L264" t="s">
        <v>184</v>
      </c>
      <c r="M264" t="s">
        <v>104</v>
      </c>
      <c r="N264">
        <v>77036</v>
      </c>
      <c r="O264" t="s">
        <v>105</v>
      </c>
      <c r="P264" t="s">
        <v>683</v>
      </c>
      <c r="Q264" t="s">
        <v>71</v>
      </c>
      <c r="R264" t="s">
        <v>684</v>
      </c>
      <c r="S264" t="s">
        <v>685</v>
      </c>
      <c r="T264" s="4">
        <v>3059.982</v>
      </c>
      <c r="U264">
        <v>3</v>
      </c>
      <c r="V264">
        <v>0.4</v>
      </c>
      <c r="W264" s="4">
        <v>-509.99700000000001</v>
      </c>
    </row>
    <row r="265" spans="1:23" x14ac:dyDescent="0.3">
      <c r="A265">
        <v>264</v>
      </c>
      <c r="B265" t="s">
        <v>981</v>
      </c>
      <c r="C265" s="3">
        <v>42194</v>
      </c>
      <c r="D265" s="7" t="str">
        <f t="shared" si="8"/>
        <v>July</v>
      </c>
      <c r="E265" s="3">
        <f t="shared" si="9"/>
        <v>42216</v>
      </c>
      <c r="F265" s="3">
        <v>42256</v>
      </c>
      <c r="G265" t="s">
        <v>23</v>
      </c>
      <c r="H265" t="s">
        <v>982</v>
      </c>
      <c r="I265" t="s">
        <v>983</v>
      </c>
      <c r="J265" t="s">
        <v>41</v>
      </c>
      <c r="K265" t="s">
        <v>27</v>
      </c>
      <c r="L265" t="s">
        <v>184</v>
      </c>
      <c r="M265" t="s">
        <v>104</v>
      </c>
      <c r="N265">
        <v>77036</v>
      </c>
      <c r="O265" t="s">
        <v>105</v>
      </c>
      <c r="P265" t="s">
        <v>984</v>
      </c>
      <c r="Q265" t="s">
        <v>71</v>
      </c>
      <c r="R265" t="s">
        <v>684</v>
      </c>
      <c r="S265" t="s">
        <v>985</v>
      </c>
      <c r="T265" s="4">
        <v>2519.9580000000001</v>
      </c>
      <c r="U265">
        <v>7</v>
      </c>
      <c r="V265">
        <v>0.4</v>
      </c>
      <c r="W265" s="4">
        <v>-251.9958</v>
      </c>
    </row>
    <row r="266" spans="1:23" x14ac:dyDescent="0.3">
      <c r="A266">
        <v>265</v>
      </c>
      <c r="B266" t="s">
        <v>986</v>
      </c>
      <c r="C266" s="3">
        <v>42527</v>
      </c>
      <c r="D266" s="7" t="str">
        <f t="shared" si="8"/>
        <v>June</v>
      </c>
      <c r="E266" s="3">
        <f t="shared" si="9"/>
        <v>42551</v>
      </c>
      <c r="F266" s="3">
        <v>42741</v>
      </c>
      <c r="G266" t="s">
        <v>50</v>
      </c>
      <c r="H266" t="s">
        <v>987</v>
      </c>
      <c r="I266" t="s">
        <v>988</v>
      </c>
      <c r="J266" t="s">
        <v>26</v>
      </c>
      <c r="K266" t="s">
        <v>27</v>
      </c>
      <c r="L266" t="s">
        <v>303</v>
      </c>
      <c r="M266" t="s">
        <v>211</v>
      </c>
      <c r="N266">
        <v>60610</v>
      </c>
      <c r="O266" t="s">
        <v>105</v>
      </c>
      <c r="P266" t="s">
        <v>989</v>
      </c>
      <c r="Q266" t="s">
        <v>71</v>
      </c>
      <c r="R266" t="s">
        <v>72</v>
      </c>
      <c r="S266" t="s">
        <v>990</v>
      </c>
      <c r="T266" s="4">
        <v>328.22399999999999</v>
      </c>
      <c r="U266">
        <v>4</v>
      </c>
      <c r="V266">
        <v>0.2</v>
      </c>
      <c r="W266" s="4">
        <v>28.7196</v>
      </c>
    </row>
    <row r="267" spans="1:23" x14ac:dyDescent="0.3">
      <c r="A267">
        <v>266</v>
      </c>
      <c r="B267" t="s">
        <v>991</v>
      </c>
      <c r="C267" s="3">
        <v>42288</v>
      </c>
      <c r="D267" s="7" t="str">
        <f t="shared" si="8"/>
        <v>October</v>
      </c>
      <c r="E267" s="3">
        <f t="shared" si="9"/>
        <v>42308</v>
      </c>
      <c r="F267" s="3">
        <v>42440</v>
      </c>
      <c r="G267" t="s">
        <v>50</v>
      </c>
      <c r="H267" t="s">
        <v>992</v>
      </c>
      <c r="I267" t="s">
        <v>993</v>
      </c>
      <c r="J267" t="s">
        <v>26</v>
      </c>
      <c r="K267" t="s">
        <v>27</v>
      </c>
      <c r="L267" t="s">
        <v>994</v>
      </c>
      <c r="M267" t="s">
        <v>43</v>
      </c>
      <c r="N267">
        <v>94513</v>
      </c>
      <c r="O267" t="s">
        <v>44</v>
      </c>
      <c r="P267" t="s">
        <v>995</v>
      </c>
      <c r="Q267" t="s">
        <v>71</v>
      </c>
      <c r="R267" t="s">
        <v>161</v>
      </c>
      <c r="S267" t="s">
        <v>996</v>
      </c>
      <c r="T267" s="4">
        <v>79.900000000000006</v>
      </c>
      <c r="U267">
        <v>2</v>
      </c>
      <c r="V267">
        <v>0</v>
      </c>
      <c r="W267" s="4">
        <v>35.155999999999999</v>
      </c>
    </row>
    <row r="268" spans="1:23" x14ac:dyDescent="0.3">
      <c r="A268">
        <v>267</v>
      </c>
      <c r="B268" t="s">
        <v>997</v>
      </c>
      <c r="C268" s="3">
        <v>43196</v>
      </c>
      <c r="D268" s="7" t="str">
        <f t="shared" si="8"/>
        <v>April</v>
      </c>
      <c r="E268" s="3">
        <f t="shared" si="9"/>
        <v>43220</v>
      </c>
      <c r="F268" s="3">
        <v>43318</v>
      </c>
      <c r="G268" t="s">
        <v>50</v>
      </c>
      <c r="H268" t="s">
        <v>998</v>
      </c>
      <c r="I268" t="s">
        <v>999</v>
      </c>
      <c r="J268" t="s">
        <v>41</v>
      </c>
      <c r="K268" t="s">
        <v>27</v>
      </c>
      <c r="L268" t="s">
        <v>1000</v>
      </c>
      <c r="M268" t="s">
        <v>88</v>
      </c>
      <c r="N268">
        <v>27514</v>
      </c>
      <c r="O268" t="s">
        <v>30</v>
      </c>
      <c r="P268" t="s">
        <v>1001</v>
      </c>
      <c r="Q268" t="s">
        <v>46</v>
      </c>
      <c r="R268" t="s">
        <v>68</v>
      </c>
      <c r="S268" t="s">
        <v>1002</v>
      </c>
      <c r="T268" s="4">
        <v>14.016</v>
      </c>
      <c r="U268">
        <v>3</v>
      </c>
      <c r="V268">
        <v>0.2</v>
      </c>
      <c r="W268" s="4">
        <v>4.7304000000000004</v>
      </c>
    </row>
    <row r="269" spans="1:23" x14ac:dyDescent="0.3">
      <c r="A269">
        <v>268</v>
      </c>
      <c r="B269" t="s">
        <v>1003</v>
      </c>
      <c r="C269" s="3">
        <v>43009</v>
      </c>
      <c r="D269" s="7" t="str">
        <f t="shared" si="8"/>
        <v>October</v>
      </c>
      <c r="E269" s="3">
        <f t="shared" si="9"/>
        <v>43039</v>
      </c>
      <c r="F269" s="3">
        <v>43191</v>
      </c>
      <c r="G269" t="s">
        <v>50</v>
      </c>
      <c r="H269" t="s">
        <v>387</v>
      </c>
      <c r="I269" t="s">
        <v>388</v>
      </c>
      <c r="J269" t="s">
        <v>26</v>
      </c>
      <c r="K269" t="s">
        <v>27</v>
      </c>
      <c r="L269" t="s">
        <v>1004</v>
      </c>
      <c r="M269" t="s">
        <v>790</v>
      </c>
      <c r="N269">
        <v>7960</v>
      </c>
      <c r="O269" t="s">
        <v>148</v>
      </c>
      <c r="P269" t="s">
        <v>1005</v>
      </c>
      <c r="Q269" t="s">
        <v>46</v>
      </c>
      <c r="R269" t="s">
        <v>269</v>
      </c>
      <c r="S269" t="s">
        <v>1006</v>
      </c>
      <c r="T269" s="4">
        <v>7.56</v>
      </c>
      <c r="U269">
        <v>6</v>
      </c>
      <c r="V269">
        <v>0</v>
      </c>
      <c r="W269" s="4">
        <v>0.3024</v>
      </c>
    </row>
    <row r="270" spans="1:23" x14ac:dyDescent="0.3">
      <c r="A270">
        <v>269</v>
      </c>
      <c r="B270" t="s">
        <v>1007</v>
      </c>
      <c r="C270" s="3">
        <v>42990</v>
      </c>
      <c r="D270" s="7" t="str">
        <f t="shared" si="8"/>
        <v>September</v>
      </c>
      <c r="E270" s="3">
        <f t="shared" si="9"/>
        <v>43008</v>
      </c>
      <c r="F270" s="3">
        <v>43112</v>
      </c>
      <c r="G270" t="s">
        <v>50</v>
      </c>
      <c r="H270" t="s">
        <v>1008</v>
      </c>
      <c r="I270" t="s">
        <v>1009</v>
      </c>
      <c r="J270" t="s">
        <v>41</v>
      </c>
      <c r="K270" t="s">
        <v>27</v>
      </c>
      <c r="L270" t="s">
        <v>1010</v>
      </c>
      <c r="M270" t="s">
        <v>498</v>
      </c>
      <c r="N270">
        <v>45231</v>
      </c>
      <c r="O270" t="s">
        <v>148</v>
      </c>
      <c r="P270" t="s">
        <v>1011</v>
      </c>
      <c r="Q270" t="s">
        <v>46</v>
      </c>
      <c r="R270" t="s">
        <v>59</v>
      </c>
      <c r="S270" t="s">
        <v>1012</v>
      </c>
      <c r="T270" s="4">
        <v>37.207999999999998</v>
      </c>
      <c r="U270">
        <v>1</v>
      </c>
      <c r="V270">
        <v>0.2</v>
      </c>
      <c r="W270" s="4">
        <v>-7.4416000000000002</v>
      </c>
    </row>
    <row r="271" spans="1:23" x14ac:dyDescent="0.3">
      <c r="A271">
        <v>270</v>
      </c>
      <c r="B271" t="s">
        <v>1007</v>
      </c>
      <c r="C271" s="3">
        <v>42990</v>
      </c>
      <c r="D271" s="7" t="str">
        <f t="shared" si="8"/>
        <v>September</v>
      </c>
      <c r="E271" s="3">
        <f t="shared" si="9"/>
        <v>43008</v>
      </c>
      <c r="F271" s="3">
        <v>43112</v>
      </c>
      <c r="G271" t="s">
        <v>50</v>
      </c>
      <c r="H271" t="s">
        <v>1008</v>
      </c>
      <c r="I271" t="s">
        <v>1009</v>
      </c>
      <c r="J271" t="s">
        <v>41</v>
      </c>
      <c r="K271" t="s">
        <v>27</v>
      </c>
      <c r="L271" t="s">
        <v>1010</v>
      </c>
      <c r="M271" t="s">
        <v>498</v>
      </c>
      <c r="N271">
        <v>45231</v>
      </c>
      <c r="O271" t="s">
        <v>148</v>
      </c>
      <c r="P271" t="s">
        <v>1013</v>
      </c>
      <c r="Q271" t="s">
        <v>46</v>
      </c>
      <c r="R271" t="s">
        <v>173</v>
      </c>
      <c r="S271" t="s">
        <v>1014</v>
      </c>
      <c r="T271" s="4">
        <v>57.576000000000001</v>
      </c>
      <c r="U271">
        <v>3</v>
      </c>
      <c r="V271">
        <v>0.2</v>
      </c>
      <c r="W271" s="4">
        <v>21.591000000000001</v>
      </c>
    </row>
    <row r="272" spans="1:23" x14ac:dyDescent="0.3">
      <c r="A272">
        <v>271</v>
      </c>
      <c r="B272" t="s">
        <v>1015</v>
      </c>
      <c r="C272" s="3">
        <v>43567</v>
      </c>
      <c r="D272" s="7" t="str">
        <f t="shared" si="8"/>
        <v>April</v>
      </c>
      <c r="E272" s="3">
        <f t="shared" si="9"/>
        <v>43585</v>
      </c>
      <c r="F272" s="3">
        <v>43132</v>
      </c>
      <c r="G272" t="s">
        <v>23</v>
      </c>
      <c r="H272" t="s">
        <v>1016</v>
      </c>
      <c r="I272" t="s">
        <v>1017</v>
      </c>
      <c r="J272" t="s">
        <v>41</v>
      </c>
      <c r="K272" t="s">
        <v>27</v>
      </c>
      <c r="L272" t="s">
        <v>127</v>
      </c>
      <c r="M272" t="s">
        <v>43</v>
      </c>
      <c r="N272">
        <v>94110</v>
      </c>
      <c r="O272" t="s">
        <v>44</v>
      </c>
      <c r="P272" t="s">
        <v>1018</v>
      </c>
      <c r="Q272" t="s">
        <v>46</v>
      </c>
      <c r="R272" t="s">
        <v>59</v>
      </c>
      <c r="S272" t="s">
        <v>1019</v>
      </c>
      <c r="T272" s="4">
        <v>725.84</v>
      </c>
      <c r="U272">
        <v>4</v>
      </c>
      <c r="V272">
        <v>0</v>
      </c>
      <c r="W272" s="4">
        <v>210.49359999999999</v>
      </c>
    </row>
    <row r="273" spans="1:23" x14ac:dyDescent="0.3">
      <c r="A273">
        <v>272</v>
      </c>
      <c r="B273" t="s">
        <v>1020</v>
      </c>
      <c r="C273" s="3">
        <v>42893</v>
      </c>
      <c r="D273" s="7" t="str">
        <f t="shared" si="8"/>
        <v>June</v>
      </c>
      <c r="E273" s="3">
        <f t="shared" si="9"/>
        <v>42916</v>
      </c>
      <c r="F273" s="3">
        <v>42923</v>
      </c>
      <c r="G273" t="s">
        <v>188</v>
      </c>
      <c r="H273" t="s">
        <v>601</v>
      </c>
      <c r="I273" t="s">
        <v>602</v>
      </c>
      <c r="J273" t="s">
        <v>26</v>
      </c>
      <c r="K273" t="s">
        <v>27</v>
      </c>
      <c r="L273" t="s">
        <v>127</v>
      </c>
      <c r="M273" t="s">
        <v>43</v>
      </c>
      <c r="N273">
        <v>94109</v>
      </c>
      <c r="O273" t="s">
        <v>44</v>
      </c>
      <c r="P273" t="s">
        <v>1021</v>
      </c>
      <c r="Q273" t="s">
        <v>71</v>
      </c>
      <c r="R273" t="s">
        <v>161</v>
      </c>
      <c r="S273" t="s">
        <v>1022</v>
      </c>
      <c r="T273" s="4">
        <v>209.93</v>
      </c>
      <c r="U273">
        <v>7</v>
      </c>
      <c r="V273">
        <v>0</v>
      </c>
      <c r="W273" s="4">
        <v>92.369200000000006</v>
      </c>
    </row>
    <row r="274" spans="1:23" x14ac:dyDescent="0.3">
      <c r="A274">
        <v>273</v>
      </c>
      <c r="B274" t="s">
        <v>1020</v>
      </c>
      <c r="C274" s="3">
        <v>42893</v>
      </c>
      <c r="D274" s="7" t="str">
        <f t="shared" si="8"/>
        <v>June</v>
      </c>
      <c r="E274" s="3">
        <f t="shared" si="9"/>
        <v>42916</v>
      </c>
      <c r="F274" s="3">
        <v>42923</v>
      </c>
      <c r="G274" t="s">
        <v>188</v>
      </c>
      <c r="H274" t="s">
        <v>601</v>
      </c>
      <c r="I274" t="s">
        <v>602</v>
      </c>
      <c r="J274" t="s">
        <v>26</v>
      </c>
      <c r="K274" t="s">
        <v>27</v>
      </c>
      <c r="L274" t="s">
        <v>127</v>
      </c>
      <c r="M274" t="s">
        <v>43</v>
      </c>
      <c r="N274">
        <v>94109</v>
      </c>
      <c r="O274" t="s">
        <v>44</v>
      </c>
      <c r="P274" t="s">
        <v>1023</v>
      </c>
      <c r="Q274" t="s">
        <v>32</v>
      </c>
      <c r="R274" t="s">
        <v>65</v>
      </c>
      <c r="S274" t="s">
        <v>1024</v>
      </c>
      <c r="T274" s="4">
        <v>5.28</v>
      </c>
      <c r="U274">
        <v>3</v>
      </c>
      <c r="V274">
        <v>0</v>
      </c>
      <c r="W274" s="4">
        <v>2.3231999999999999</v>
      </c>
    </row>
    <row r="275" spans="1:23" x14ac:dyDescent="0.3">
      <c r="A275">
        <v>274</v>
      </c>
      <c r="B275" t="s">
        <v>1020</v>
      </c>
      <c r="C275" s="3">
        <v>42893</v>
      </c>
      <c r="D275" s="7" t="str">
        <f t="shared" si="8"/>
        <v>June</v>
      </c>
      <c r="E275" s="3">
        <f t="shared" si="9"/>
        <v>42916</v>
      </c>
      <c r="F275" s="3">
        <v>42923</v>
      </c>
      <c r="G275" t="s">
        <v>188</v>
      </c>
      <c r="H275" t="s">
        <v>601</v>
      </c>
      <c r="I275" t="s">
        <v>602</v>
      </c>
      <c r="J275" t="s">
        <v>26</v>
      </c>
      <c r="K275" t="s">
        <v>27</v>
      </c>
      <c r="L275" t="s">
        <v>127</v>
      </c>
      <c r="M275" t="s">
        <v>43</v>
      </c>
      <c r="N275">
        <v>94109</v>
      </c>
      <c r="O275" t="s">
        <v>44</v>
      </c>
      <c r="P275" t="s">
        <v>1025</v>
      </c>
      <c r="Q275" t="s">
        <v>46</v>
      </c>
      <c r="R275" t="s">
        <v>75</v>
      </c>
      <c r="S275" t="s">
        <v>1026</v>
      </c>
      <c r="T275" s="4">
        <v>10.92</v>
      </c>
      <c r="U275">
        <v>3</v>
      </c>
      <c r="V275">
        <v>0.2</v>
      </c>
      <c r="W275" s="4">
        <v>4.0949999999999998</v>
      </c>
    </row>
    <row r="276" spans="1:23" x14ac:dyDescent="0.3">
      <c r="A276">
        <v>275</v>
      </c>
      <c r="B276" t="s">
        <v>1027</v>
      </c>
      <c r="C276" s="3">
        <v>43199</v>
      </c>
      <c r="D276" s="7" t="str">
        <f t="shared" si="8"/>
        <v>April</v>
      </c>
      <c r="E276" s="3">
        <f t="shared" si="9"/>
        <v>43220</v>
      </c>
      <c r="F276" s="3">
        <v>43229</v>
      </c>
      <c r="G276" t="s">
        <v>188</v>
      </c>
      <c r="H276" t="s">
        <v>1028</v>
      </c>
      <c r="I276" t="s">
        <v>1029</v>
      </c>
      <c r="J276" t="s">
        <v>41</v>
      </c>
      <c r="K276" t="s">
        <v>27</v>
      </c>
      <c r="L276" t="s">
        <v>1030</v>
      </c>
      <c r="M276" t="s">
        <v>43</v>
      </c>
      <c r="N276">
        <v>90301</v>
      </c>
      <c r="O276" t="s">
        <v>44</v>
      </c>
      <c r="P276" t="s">
        <v>1031</v>
      </c>
      <c r="Q276" t="s">
        <v>46</v>
      </c>
      <c r="R276" t="s">
        <v>90</v>
      </c>
      <c r="S276" t="s">
        <v>1032</v>
      </c>
      <c r="T276" s="4">
        <v>8.82</v>
      </c>
      <c r="U276">
        <v>2</v>
      </c>
      <c r="V276">
        <v>0</v>
      </c>
      <c r="W276" s="4">
        <v>4.0571999999999999</v>
      </c>
    </row>
    <row r="277" spans="1:23" x14ac:dyDescent="0.3">
      <c r="A277">
        <v>276</v>
      </c>
      <c r="B277" t="s">
        <v>1027</v>
      </c>
      <c r="C277" s="3">
        <v>43199</v>
      </c>
      <c r="D277" s="7" t="str">
        <f t="shared" si="8"/>
        <v>April</v>
      </c>
      <c r="E277" s="3">
        <f t="shared" si="9"/>
        <v>43220</v>
      </c>
      <c r="F277" s="3">
        <v>43229</v>
      </c>
      <c r="G277" t="s">
        <v>188</v>
      </c>
      <c r="H277" t="s">
        <v>1028</v>
      </c>
      <c r="I277" t="s">
        <v>1029</v>
      </c>
      <c r="J277" t="s">
        <v>41</v>
      </c>
      <c r="K277" t="s">
        <v>27</v>
      </c>
      <c r="L277" t="s">
        <v>1030</v>
      </c>
      <c r="M277" t="s">
        <v>43</v>
      </c>
      <c r="N277">
        <v>90301</v>
      </c>
      <c r="O277" t="s">
        <v>44</v>
      </c>
      <c r="P277" t="s">
        <v>1033</v>
      </c>
      <c r="Q277" t="s">
        <v>46</v>
      </c>
      <c r="R277" t="s">
        <v>68</v>
      </c>
      <c r="S277" t="s">
        <v>1034</v>
      </c>
      <c r="T277" s="4">
        <v>5.98</v>
      </c>
      <c r="U277">
        <v>1</v>
      </c>
      <c r="V277">
        <v>0</v>
      </c>
      <c r="W277" s="4">
        <v>1.5548</v>
      </c>
    </row>
    <row r="278" spans="1:23" x14ac:dyDescent="0.3">
      <c r="A278">
        <v>277</v>
      </c>
      <c r="B278" t="s">
        <v>1035</v>
      </c>
      <c r="C278" s="3">
        <v>43110</v>
      </c>
      <c r="D278" s="7" t="str">
        <f t="shared" si="8"/>
        <v>January</v>
      </c>
      <c r="E278" s="3">
        <f t="shared" si="9"/>
        <v>43131</v>
      </c>
      <c r="F278" s="3">
        <v>43230</v>
      </c>
      <c r="G278" t="s">
        <v>50</v>
      </c>
      <c r="H278" t="s">
        <v>1036</v>
      </c>
      <c r="I278" t="s">
        <v>1037</v>
      </c>
      <c r="J278" t="s">
        <v>41</v>
      </c>
      <c r="K278" t="s">
        <v>27</v>
      </c>
      <c r="L278" t="s">
        <v>146</v>
      </c>
      <c r="M278" t="s">
        <v>147</v>
      </c>
      <c r="N278">
        <v>19140</v>
      </c>
      <c r="O278" t="s">
        <v>148</v>
      </c>
      <c r="P278" t="s">
        <v>1038</v>
      </c>
      <c r="Q278" t="s">
        <v>46</v>
      </c>
      <c r="R278" t="s">
        <v>90</v>
      </c>
      <c r="S278" t="s">
        <v>1039</v>
      </c>
      <c r="T278" s="4">
        <v>11.648</v>
      </c>
      <c r="U278">
        <v>2</v>
      </c>
      <c r="V278">
        <v>0.2</v>
      </c>
      <c r="W278" s="4">
        <v>4.0768000000000004</v>
      </c>
    </row>
    <row r="279" spans="1:23" x14ac:dyDescent="0.3">
      <c r="A279">
        <v>278</v>
      </c>
      <c r="B279" t="s">
        <v>1035</v>
      </c>
      <c r="C279" s="3">
        <v>43110</v>
      </c>
      <c r="D279" s="7" t="str">
        <f t="shared" si="8"/>
        <v>January</v>
      </c>
      <c r="E279" s="3">
        <f t="shared" si="9"/>
        <v>43131</v>
      </c>
      <c r="F279" s="3">
        <v>43230</v>
      </c>
      <c r="G279" t="s">
        <v>50</v>
      </c>
      <c r="H279" t="s">
        <v>1036</v>
      </c>
      <c r="I279" t="s">
        <v>1037</v>
      </c>
      <c r="J279" t="s">
        <v>41</v>
      </c>
      <c r="K279" t="s">
        <v>27</v>
      </c>
      <c r="L279" t="s">
        <v>146</v>
      </c>
      <c r="M279" t="s">
        <v>147</v>
      </c>
      <c r="N279">
        <v>19140</v>
      </c>
      <c r="O279" t="s">
        <v>148</v>
      </c>
      <c r="P279" t="s">
        <v>1040</v>
      </c>
      <c r="Q279" t="s">
        <v>46</v>
      </c>
      <c r="R279" t="s">
        <v>90</v>
      </c>
      <c r="S279" t="s">
        <v>1041</v>
      </c>
      <c r="T279" s="4">
        <v>18.175999999999998</v>
      </c>
      <c r="U279">
        <v>4</v>
      </c>
      <c r="V279">
        <v>0.2</v>
      </c>
      <c r="W279" s="4">
        <v>5.9071999999999996</v>
      </c>
    </row>
    <row r="280" spans="1:23" x14ac:dyDescent="0.3">
      <c r="A280">
        <v>279</v>
      </c>
      <c r="B280" t="s">
        <v>1035</v>
      </c>
      <c r="C280" s="3">
        <v>43110</v>
      </c>
      <c r="D280" s="7" t="str">
        <f t="shared" si="8"/>
        <v>January</v>
      </c>
      <c r="E280" s="3">
        <f t="shared" si="9"/>
        <v>43131</v>
      </c>
      <c r="F280" s="3">
        <v>43230</v>
      </c>
      <c r="G280" t="s">
        <v>50</v>
      </c>
      <c r="H280" t="s">
        <v>1036</v>
      </c>
      <c r="I280" t="s">
        <v>1037</v>
      </c>
      <c r="J280" t="s">
        <v>41</v>
      </c>
      <c r="K280" t="s">
        <v>27</v>
      </c>
      <c r="L280" t="s">
        <v>146</v>
      </c>
      <c r="M280" t="s">
        <v>147</v>
      </c>
      <c r="N280">
        <v>19140</v>
      </c>
      <c r="O280" t="s">
        <v>148</v>
      </c>
      <c r="P280" t="s">
        <v>1042</v>
      </c>
      <c r="Q280" t="s">
        <v>46</v>
      </c>
      <c r="R280" t="s">
        <v>59</v>
      </c>
      <c r="S280" t="s">
        <v>1043</v>
      </c>
      <c r="T280" s="4">
        <v>59.712000000000003</v>
      </c>
      <c r="U280">
        <v>6</v>
      </c>
      <c r="V280">
        <v>0.2</v>
      </c>
      <c r="W280" s="4">
        <v>5.9711999999999996</v>
      </c>
    </row>
    <row r="281" spans="1:23" x14ac:dyDescent="0.3">
      <c r="A281">
        <v>280</v>
      </c>
      <c r="B281" t="s">
        <v>1035</v>
      </c>
      <c r="C281" s="3">
        <v>43110</v>
      </c>
      <c r="D281" s="7" t="str">
        <f t="shared" si="8"/>
        <v>January</v>
      </c>
      <c r="E281" s="3">
        <f t="shared" si="9"/>
        <v>43131</v>
      </c>
      <c r="F281" s="3">
        <v>43230</v>
      </c>
      <c r="G281" t="s">
        <v>50</v>
      </c>
      <c r="H281" t="s">
        <v>1036</v>
      </c>
      <c r="I281" t="s">
        <v>1037</v>
      </c>
      <c r="J281" t="s">
        <v>41</v>
      </c>
      <c r="K281" t="s">
        <v>27</v>
      </c>
      <c r="L281" t="s">
        <v>146</v>
      </c>
      <c r="M281" t="s">
        <v>147</v>
      </c>
      <c r="N281">
        <v>19140</v>
      </c>
      <c r="O281" t="s">
        <v>148</v>
      </c>
      <c r="P281" t="s">
        <v>1044</v>
      </c>
      <c r="Q281" t="s">
        <v>46</v>
      </c>
      <c r="R281" t="s">
        <v>47</v>
      </c>
      <c r="S281" t="s">
        <v>1045</v>
      </c>
      <c r="T281" s="4">
        <v>24.84</v>
      </c>
      <c r="U281">
        <v>3</v>
      </c>
      <c r="V281">
        <v>0.2</v>
      </c>
      <c r="W281" s="4">
        <v>8.6940000000000008</v>
      </c>
    </row>
    <row r="282" spans="1:23" x14ac:dyDescent="0.3">
      <c r="A282">
        <v>281</v>
      </c>
      <c r="B282" t="s">
        <v>1046</v>
      </c>
      <c r="C282" s="3">
        <v>42775</v>
      </c>
      <c r="D282" s="7" t="str">
        <f t="shared" si="8"/>
        <v>February</v>
      </c>
      <c r="E282" s="3">
        <f t="shared" si="9"/>
        <v>42794</v>
      </c>
      <c r="F282" s="3">
        <v>42834</v>
      </c>
      <c r="G282" t="s">
        <v>23</v>
      </c>
      <c r="H282" t="s">
        <v>519</v>
      </c>
      <c r="I282" t="s">
        <v>520</v>
      </c>
      <c r="J282" t="s">
        <v>26</v>
      </c>
      <c r="K282" t="s">
        <v>27</v>
      </c>
      <c r="L282" t="s">
        <v>184</v>
      </c>
      <c r="M282" t="s">
        <v>104</v>
      </c>
      <c r="N282">
        <v>77070</v>
      </c>
      <c r="O282" t="s">
        <v>105</v>
      </c>
      <c r="P282" t="s">
        <v>1047</v>
      </c>
      <c r="Q282" t="s">
        <v>46</v>
      </c>
      <c r="R282" t="s">
        <v>75</v>
      </c>
      <c r="S282" t="s">
        <v>1048</v>
      </c>
      <c r="T282" s="4">
        <v>2.08</v>
      </c>
      <c r="U282">
        <v>5</v>
      </c>
      <c r="V282">
        <v>0.8</v>
      </c>
      <c r="W282" s="4">
        <v>-3.4319999999999999</v>
      </c>
    </row>
    <row r="283" spans="1:23" x14ac:dyDescent="0.3">
      <c r="A283">
        <v>282</v>
      </c>
      <c r="B283" t="s">
        <v>1046</v>
      </c>
      <c r="C283" s="3">
        <v>42775</v>
      </c>
      <c r="D283" s="7" t="str">
        <f t="shared" si="8"/>
        <v>February</v>
      </c>
      <c r="E283" s="3">
        <f t="shared" si="9"/>
        <v>42794</v>
      </c>
      <c r="F283" s="3">
        <v>42834</v>
      </c>
      <c r="G283" t="s">
        <v>23</v>
      </c>
      <c r="H283" t="s">
        <v>519</v>
      </c>
      <c r="I283" t="s">
        <v>520</v>
      </c>
      <c r="J283" t="s">
        <v>26</v>
      </c>
      <c r="K283" t="s">
        <v>27</v>
      </c>
      <c r="L283" t="s">
        <v>184</v>
      </c>
      <c r="M283" t="s">
        <v>104</v>
      </c>
      <c r="N283">
        <v>77070</v>
      </c>
      <c r="O283" t="s">
        <v>105</v>
      </c>
      <c r="P283" t="s">
        <v>1049</v>
      </c>
      <c r="Q283" t="s">
        <v>71</v>
      </c>
      <c r="R283" t="s">
        <v>72</v>
      </c>
      <c r="S283" t="s">
        <v>1050</v>
      </c>
      <c r="T283" s="4">
        <v>1114.4000000000001</v>
      </c>
      <c r="U283">
        <v>7</v>
      </c>
      <c r="V283">
        <v>0.2</v>
      </c>
      <c r="W283" s="4">
        <v>376.11</v>
      </c>
    </row>
    <row r="284" spans="1:23" x14ac:dyDescent="0.3">
      <c r="A284">
        <v>283</v>
      </c>
      <c r="B284" t="s">
        <v>1051</v>
      </c>
      <c r="C284" s="3">
        <v>42046</v>
      </c>
      <c r="D284" s="7" t="str">
        <f t="shared" si="8"/>
        <v>February</v>
      </c>
      <c r="E284" s="3">
        <f t="shared" si="9"/>
        <v>42063</v>
      </c>
      <c r="F284" s="3">
        <v>42166</v>
      </c>
      <c r="G284" t="s">
        <v>50</v>
      </c>
      <c r="H284" t="s">
        <v>1052</v>
      </c>
      <c r="I284" t="s">
        <v>1053</v>
      </c>
      <c r="J284" t="s">
        <v>26</v>
      </c>
      <c r="K284" t="s">
        <v>27</v>
      </c>
      <c r="L284" t="s">
        <v>42</v>
      </c>
      <c r="M284" t="s">
        <v>43</v>
      </c>
      <c r="N284">
        <v>90004</v>
      </c>
      <c r="O284" t="s">
        <v>44</v>
      </c>
      <c r="P284" t="s">
        <v>1054</v>
      </c>
      <c r="Q284" t="s">
        <v>32</v>
      </c>
      <c r="R284" t="s">
        <v>56</v>
      </c>
      <c r="S284" t="s">
        <v>1055</v>
      </c>
      <c r="T284" s="4">
        <v>1038.8399999999999</v>
      </c>
      <c r="U284">
        <v>5</v>
      </c>
      <c r="V284">
        <v>0.2</v>
      </c>
      <c r="W284" s="4">
        <v>51.942</v>
      </c>
    </row>
    <row r="285" spans="1:23" x14ac:dyDescent="0.3">
      <c r="A285">
        <v>284</v>
      </c>
      <c r="B285" t="s">
        <v>1056</v>
      </c>
      <c r="C285" s="3">
        <v>42775</v>
      </c>
      <c r="D285" s="7" t="str">
        <f t="shared" si="8"/>
        <v>February</v>
      </c>
      <c r="E285" s="3">
        <f t="shared" si="9"/>
        <v>42794</v>
      </c>
      <c r="F285" s="3">
        <v>42045</v>
      </c>
      <c r="G285" t="s">
        <v>50</v>
      </c>
      <c r="H285" t="s">
        <v>164</v>
      </c>
      <c r="I285" t="s">
        <v>165</v>
      </c>
      <c r="J285" t="s">
        <v>26</v>
      </c>
      <c r="K285" t="s">
        <v>27</v>
      </c>
      <c r="L285" t="s">
        <v>419</v>
      </c>
      <c r="M285" t="s">
        <v>420</v>
      </c>
      <c r="N285">
        <v>97206</v>
      </c>
      <c r="O285" t="s">
        <v>44</v>
      </c>
      <c r="P285" t="s">
        <v>1057</v>
      </c>
      <c r="Q285" t="s">
        <v>46</v>
      </c>
      <c r="R285" t="s">
        <v>90</v>
      </c>
      <c r="S285" t="s">
        <v>186</v>
      </c>
      <c r="T285" s="4">
        <v>141.76</v>
      </c>
      <c r="U285">
        <v>5</v>
      </c>
      <c r="V285">
        <v>0.2</v>
      </c>
      <c r="W285" s="4">
        <v>47.844000000000001</v>
      </c>
    </row>
    <row r="286" spans="1:23" x14ac:dyDescent="0.3">
      <c r="A286">
        <v>285</v>
      </c>
      <c r="B286" t="s">
        <v>1056</v>
      </c>
      <c r="C286" s="3">
        <v>42775</v>
      </c>
      <c r="D286" s="7" t="str">
        <f t="shared" si="8"/>
        <v>February</v>
      </c>
      <c r="E286" s="3">
        <f t="shared" si="9"/>
        <v>42794</v>
      </c>
      <c r="F286" s="3">
        <v>42045</v>
      </c>
      <c r="G286" t="s">
        <v>50</v>
      </c>
      <c r="H286" t="s">
        <v>164</v>
      </c>
      <c r="I286" t="s">
        <v>165</v>
      </c>
      <c r="J286" t="s">
        <v>26</v>
      </c>
      <c r="K286" t="s">
        <v>27</v>
      </c>
      <c r="L286" t="s">
        <v>419</v>
      </c>
      <c r="M286" t="s">
        <v>420</v>
      </c>
      <c r="N286">
        <v>97206</v>
      </c>
      <c r="O286" t="s">
        <v>44</v>
      </c>
      <c r="P286" t="s">
        <v>1058</v>
      </c>
      <c r="Q286" t="s">
        <v>71</v>
      </c>
      <c r="R286" t="s">
        <v>161</v>
      </c>
      <c r="S286" t="s">
        <v>1059</v>
      </c>
      <c r="T286" s="4">
        <v>239.8</v>
      </c>
      <c r="U286">
        <v>5</v>
      </c>
      <c r="V286">
        <v>0.2</v>
      </c>
      <c r="W286" s="4">
        <v>47.96</v>
      </c>
    </row>
    <row r="287" spans="1:23" x14ac:dyDescent="0.3">
      <c r="A287">
        <v>286</v>
      </c>
      <c r="B287" t="s">
        <v>1056</v>
      </c>
      <c r="C287" s="3">
        <v>42775</v>
      </c>
      <c r="D287" s="7" t="str">
        <f t="shared" si="8"/>
        <v>February</v>
      </c>
      <c r="E287" s="3">
        <f t="shared" si="9"/>
        <v>42794</v>
      </c>
      <c r="F287" s="3">
        <v>42045</v>
      </c>
      <c r="G287" t="s">
        <v>50</v>
      </c>
      <c r="H287" t="s">
        <v>164</v>
      </c>
      <c r="I287" t="s">
        <v>165</v>
      </c>
      <c r="J287" t="s">
        <v>26</v>
      </c>
      <c r="K287" t="s">
        <v>27</v>
      </c>
      <c r="L287" t="s">
        <v>419</v>
      </c>
      <c r="M287" t="s">
        <v>420</v>
      </c>
      <c r="N287">
        <v>97206</v>
      </c>
      <c r="O287" t="s">
        <v>44</v>
      </c>
      <c r="P287" t="s">
        <v>1060</v>
      </c>
      <c r="Q287" t="s">
        <v>46</v>
      </c>
      <c r="R287" t="s">
        <v>90</v>
      </c>
      <c r="S287" t="s">
        <v>1061</v>
      </c>
      <c r="T287" s="4">
        <v>31.103999999999999</v>
      </c>
      <c r="U287">
        <v>6</v>
      </c>
      <c r="V287">
        <v>0.2</v>
      </c>
      <c r="W287" s="4">
        <v>10.8864</v>
      </c>
    </row>
    <row r="288" spans="1:23" x14ac:dyDescent="0.3">
      <c r="A288">
        <v>287</v>
      </c>
      <c r="B288" t="s">
        <v>1062</v>
      </c>
      <c r="C288" s="3">
        <v>42898</v>
      </c>
      <c r="D288" s="7" t="str">
        <f t="shared" si="8"/>
        <v>June</v>
      </c>
      <c r="E288" s="3">
        <f t="shared" si="9"/>
        <v>42916</v>
      </c>
      <c r="F288" s="3">
        <v>42959</v>
      </c>
      <c r="G288" t="s">
        <v>23</v>
      </c>
      <c r="H288" t="s">
        <v>1063</v>
      </c>
      <c r="I288" t="s">
        <v>1064</v>
      </c>
      <c r="J288" t="s">
        <v>41</v>
      </c>
      <c r="K288" t="s">
        <v>27</v>
      </c>
      <c r="L288" t="s">
        <v>1065</v>
      </c>
      <c r="M288" t="s">
        <v>54</v>
      </c>
      <c r="N288">
        <v>33319</v>
      </c>
      <c r="O288" t="s">
        <v>30</v>
      </c>
      <c r="P288" t="s">
        <v>1066</v>
      </c>
      <c r="Q288" t="s">
        <v>46</v>
      </c>
      <c r="R288" t="s">
        <v>75</v>
      </c>
      <c r="S288" t="s">
        <v>1067</v>
      </c>
      <c r="T288" s="4">
        <v>254.05799999999999</v>
      </c>
      <c r="U288">
        <v>7</v>
      </c>
      <c r="V288">
        <v>0.7</v>
      </c>
      <c r="W288" s="4">
        <v>-169.37200000000001</v>
      </c>
    </row>
    <row r="289" spans="1:23" x14ac:dyDescent="0.3">
      <c r="A289">
        <v>288</v>
      </c>
      <c r="B289" t="s">
        <v>1062</v>
      </c>
      <c r="C289" s="3">
        <v>42898</v>
      </c>
      <c r="D289" s="7" t="str">
        <f t="shared" si="8"/>
        <v>June</v>
      </c>
      <c r="E289" s="3">
        <f t="shared" si="9"/>
        <v>42916</v>
      </c>
      <c r="F289" s="3">
        <v>42959</v>
      </c>
      <c r="G289" t="s">
        <v>23</v>
      </c>
      <c r="H289" t="s">
        <v>1063</v>
      </c>
      <c r="I289" t="s">
        <v>1064</v>
      </c>
      <c r="J289" t="s">
        <v>41</v>
      </c>
      <c r="K289" t="s">
        <v>27</v>
      </c>
      <c r="L289" t="s">
        <v>1065</v>
      </c>
      <c r="M289" t="s">
        <v>54</v>
      </c>
      <c r="N289">
        <v>33319</v>
      </c>
      <c r="O289" t="s">
        <v>30</v>
      </c>
      <c r="P289" t="s">
        <v>715</v>
      </c>
      <c r="Q289" t="s">
        <v>46</v>
      </c>
      <c r="R289" t="s">
        <v>78</v>
      </c>
      <c r="S289" t="s">
        <v>716</v>
      </c>
      <c r="T289" s="4">
        <v>194.52799999999999</v>
      </c>
      <c r="U289">
        <v>2</v>
      </c>
      <c r="V289">
        <v>0.2</v>
      </c>
      <c r="W289" s="4">
        <v>24.315999999999999</v>
      </c>
    </row>
    <row r="290" spans="1:23" x14ac:dyDescent="0.3">
      <c r="A290">
        <v>289</v>
      </c>
      <c r="B290" t="s">
        <v>1062</v>
      </c>
      <c r="C290" s="3">
        <v>42898</v>
      </c>
      <c r="D290" s="7" t="str">
        <f t="shared" si="8"/>
        <v>June</v>
      </c>
      <c r="E290" s="3">
        <f t="shared" si="9"/>
        <v>42916</v>
      </c>
      <c r="F290" s="3">
        <v>42959</v>
      </c>
      <c r="G290" t="s">
        <v>23</v>
      </c>
      <c r="H290" t="s">
        <v>1063</v>
      </c>
      <c r="I290" t="s">
        <v>1064</v>
      </c>
      <c r="J290" t="s">
        <v>41</v>
      </c>
      <c r="K290" t="s">
        <v>27</v>
      </c>
      <c r="L290" t="s">
        <v>1065</v>
      </c>
      <c r="M290" t="s">
        <v>54</v>
      </c>
      <c r="N290">
        <v>33319</v>
      </c>
      <c r="O290" t="s">
        <v>30</v>
      </c>
      <c r="P290" t="s">
        <v>1068</v>
      </c>
      <c r="Q290" t="s">
        <v>46</v>
      </c>
      <c r="R290" t="s">
        <v>579</v>
      </c>
      <c r="S290" t="s">
        <v>1069</v>
      </c>
      <c r="T290" s="4">
        <v>961.48</v>
      </c>
      <c r="U290">
        <v>5</v>
      </c>
      <c r="V290">
        <v>0.2</v>
      </c>
      <c r="W290" s="4">
        <v>-204.31450000000001</v>
      </c>
    </row>
    <row r="291" spans="1:23" x14ac:dyDescent="0.3">
      <c r="A291">
        <v>290</v>
      </c>
      <c r="B291" t="s">
        <v>1070</v>
      </c>
      <c r="C291" s="3">
        <v>42958</v>
      </c>
      <c r="D291" s="7" t="str">
        <f t="shared" si="8"/>
        <v>August</v>
      </c>
      <c r="E291" s="3">
        <f t="shared" si="9"/>
        <v>42978</v>
      </c>
      <c r="F291" s="3">
        <v>43080</v>
      </c>
      <c r="G291" t="s">
        <v>23</v>
      </c>
      <c r="H291" t="s">
        <v>1071</v>
      </c>
      <c r="I291" t="s">
        <v>1072</v>
      </c>
      <c r="J291" t="s">
        <v>102</v>
      </c>
      <c r="K291" t="s">
        <v>27</v>
      </c>
      <c r="L291" t="s">
        <v>497</v>
      </c>
      <c r="M291" t="s">
        <v>498</v>
      </c>
      <c r="N291">
        <v>43229</v>
      </c>
      <c r="O291" t="s">
        <v>148</v>
      </c>
      <c r="P291" t="s">
        <v>1073</v>
      </c>
      <c r="Q291" t="s">
        <v>46</v>
      </c>
      <c r="R291" t="s">
        <v>269</v>
      </c>
      <c r="S291" t="s">
        <v>1074</v>
      </c>
      <c r="T291" s="4">
        <v>19.096</v>
      </c>
      <c r="U291">
        <v>7</v>
      </c>
      <c r="V291">
        <v>0.2</v>
      </c>
      <c r="W291" s="4">
        <v>6.6836000000000002</v>
      </c>
    </row>
    <row r="292" spans="1:23" x14ac:dyDescent="0.3">
      <c r="A292">
        <v>291</v>
      </c>
      <c r="B292" t="s">
        <v>1070</v>
      </c>
      <c r="C292" s="3">
        <v>42958</v>
      </c>
      <c r="D292" s="7" t="str">
        <f t="shared" si="8"/>
        <v>August</v>
      </c>
      <c r="E292" s="3">
        <f t="shared" si="9"/>
        <v>42978</v>
      </c>
      <c r="F292" s="3">
        <v>43080</v>
      </c>
      <c r="G292" t="s">
        <v>23</v>
      </c>
      <c r="H292" t="s">
        <v>1071</v>
      </c>
      <c r="I292" t="s">
        <v>1072</v>
      </c>
      <c r="J292" t="s">
        <v>102</v>
      </c>
      <c r="K292" t="s">
        <v>27</v>
      </c>
      <c r="L292" t="s">
        <v>497</v>
      </c>
      <c r="M292" t="s">
        <v>498</v>
      </c>
      <c r="N292">
        <v>43229</v>
      </c>
      <c r="O292" t="s">
        <v>148</v>
      </c>
      <c r="P292" t="s">
        <v>1075</v>
      </c>
      <c r="Q292" t="s">
        <v>46</v>
      </c>
      <c r="R292" t="s">
        <v>47</v>
      </c>
      <c r="S292" t="s">
        <v>1076</v>
      </c>
      <c r="T292" s="4">
        <v>18.495999999999999</v>
      </c>
      <c r="U292">
        <v>8</v>
      </c>
      <c r="V292">
        <v>0.2</v>
      </c>
      <c r="W292" s="4">
        <v>6.2423999999999999</v>
      </c>
    </row>
    <row r="293" spans="1:23" x14ac:dyDescent="0.3">
      <c r="A293">
        <v>292</v>
      </c>
      <c r="B293" t="s">
        <v>1070</v>
      </c>
      <c r="C293" s="3">
        <v>42958</v>
      </c>
      <c r="D293" s="7" t="str">
        <f t="shared" si="8"/>
        <v>August</v>
      </c>
      <c r="E293" s="3">
        <f t="shared" si="9"/>
        <v>42978</v>
      </c>
      <c r="F293" s="3">
        <v>43080</v>
      </c>
      <c r="G293" t="s">
        <v>23</v>
      </c>
      <c r="H293" t="s">
        <v>1071</v>
      </c>
      <c r="I293" t="s">
        <v>1072</v>
      </c>
      <c r="J293" t="s">
        <v>102</v>
      </c>
      <c r="K293" t="s">
        <v>27</v>
      </c>
      <c r="L293" t="s">
        <v>497</v>
      </c>
      <c r="M293" t="s">
        <v>498</v>
      </c>
      <c r="N293">
        <v>43229</v>
      </c>
      <c r="O293" t="s">
        <v>148</v>
      </c>
      <c r="P293" t="s">
        <v>1077</v>
      </c>
      <c r="Q293" t="s">
        <v>71</v>
      </c>
      <c r="R293" t="s">
        <v>161</v>
      </c>
      <c r="S293" t="s">
        <v>1078</v>
      </c>
      <c r="T293" s="4">
        <v>255.98400000000001</v>
      </c>
      <c r="U293">
        <v>2</v>
      </c>
      <c r="V293">
        <v>0.2</v>
      </c>
      <c r="W293" s="4">
        <v>54.396599999999999</v>
      </c>
    </row>
    <row r="294" spans="1:23" x14ac:dyDescent="0.3">
      <c r="A294">
        <v>293</v>
      </c>
      <c r="B294" t="s">
        <v>1070</v>
      </c>
      <c r="C294" s="3">
        <v>42958</v>
      </c>
      <c r="D294" s="7" t="str">
        <f t="shared" si="8"/>
        <v>August</v>
      </c>
      <c r="E294" s="3">
        <f t="shared" si="9"/>
        <v>42978</v>
      </c>
      <c r="F294" s="3">
        <v>43080</v>
      </c>
      <c r="G294" t="s">
        <v>23</v>
      </c>
      <c r="H294" t="s">
        <v>1071</v>
      </c>
      <c r="I294" t="s">
        <v>1072</v>
      </c>
      <c r="J294" t="s">
        <v>102</v>
      </c>
      <c r="K294" t="s">
        <v>27</v>
      </c>
      <c r="L294" t="s">
        <v>497</v>
      </c>
      <c r="M294" t="s">
        <v>498</v>
      </c>
      <c r="N294">
        <v>43229</v>
      </c>
      <c r="O294" t="s">
        <v>148</v>
      </c>
      <c r="P294" t="s">
        <v>1079</v>
      </c>
      <c r="Q294" t="s">
        <v>32</v>
      </c>
      <c r="R294" t="s">
        <v>33</v>
      </c>
      <c r="S294" t="s">
        <v>1080</v>
      </c>
      <c r="T294" s="4">
        <v>86.97</v>
      </c>
      <c r="U294">
        <v>3</v>
      </c>
      <c r="V294">
        <v>0.5</v>
      </c>
      <c r="W294" s="4">
        <v>-48.703200000000002</v>
      </c>
    </row>
    <row r="295" spans="1:23" x14ac:dyDescent="0.3">
      <c r="A295">
        <v>294</v>
      </c>
      <c r="B295" t="s">
        <v>1081</v>
      </c>
      <c r="C295" s="3">
        <v>42412</v>
      </c>
      <c r="D295" s="7" t="str">
        <f t="shared" si="8"/>
        <v>February</v>
      </c>
      <c r="E295" s="3">
        <f t="shared" si="9"/>
        <v>42429</v>
      </c>
      <c r="F295" s="3">
        <v>42472</v>
      </c>
      <c r="G295" t="s">
        <v>188</v>
      </c>
      <c r="H295" t="s">
        <v>1082</v>
      </c>
      <c r="I295" t="s">
        <v>1083</v>
      </c>
      <c r="J295" t="s">
        <v>41</v>
      </c>
      <c r="K295" t="s">
        <v>27</v>
      </c>
      <c r="L295" t="s">
        <v>1084</v>
      </c>
      <c r="M295" t="s">
        <v>457</v>
      </c>
      <c r="N295">
        <v>80906</v>
      </c>
      <c r="O295" t="s">
        <v>44</v>
      </c>
      <c r="P295" t="s">
        <v>1085</v>
      </c>
      <c r="Q295" t="s">
        <v>32</v>
      </c>
      <c r="R295" t="s">
        <v>65</v>
      </c>
      <c r="S295" t="s">
        <v>1086</v>
      </c>
      <c r="T295" s="4">
        <v>300.416</v>
      </c>
      <c r="U295">
        <v>8</v>
      </c>
      <c r="V295">
        <v>0.2</v>
      </c>
      <c r="W295" s="4">
        <v>78.859200000000001</v>
      </c>
    </row>
    <row r="296" spans="1:23" x14ac:dyDescent="0.3">
      <c r="A296">
        <v>295</v>
      </c>
      <c r="B296" t="s">
        <v>1081</v>
      </c>
      <c r="C296" s="3">
        <v>42412</v>
      </c>
      <c r="D296" s="7" t="str">
        <f t="shared" si="8"/>
        <v>February</v>
      </c>
      <c r="E296" s="3">
        <f t="shared" si="9"/>
        <v>42429</v>
      </c>
      <c r="F296" s="3">
        <v>42472</v>
      </c>
      <c r="G296" t="s">
        <v>188</v>
      </c>
      <c r="H296" t="s">
        <v>1082</v>
      </c>
      <c r="I296" t="s">
        <v>1083</v>
      </c>
      <c r="J296" t="s">
        <v>41</v>
      </c>
      <c r="K296" t="s">
        <v>27</v>
      </c>
      <c r="L296" t="s">
        <v>1084</v>
      </c>
      <c r="M296" t="s">
        <v>457</v>
      </c>
      <c r="N296">
        <v>80906</v>
      </c>
      <c r="O296" t="s">
        <v>44</v>
      </c>
      <c r="P296" t="s">
        <v>1087</v>
      </c>
      <c r="Q296" t="s">
        <v>32</v>
      </c>
      <c r="R296" t="s">
        <v>36</v>
      </c>
      <c r="S296" t="s">
        <v>1088</v>
      </c>
      <c r="T296" s="4">
        <v>230.352</v>
      </c>
      <c r="U296">
        <v>3</v>
      </c>
      <c r="V296">
        <v>0.2</v>
      </c>
      <c r="W296" s="4">
        <v>20.155799999999999</v>
      </c>
    </row>
    <row r="297" spans="1:23" x14ac:dyDescent="0.3">
      <c r="A297">
        <v>296</v>
      </c>
      <c r="B297" t="s">
        <v>1081</v>
      </c>
      <c r="C297" s="3">
        <v>42412</v>
      </c>
      <c r="D297" s="7" t="str">
        <f t="shared" si="8"/>
        <v>February</v>
      </c>
      <c r="E297" s="3">
        <f t="shared" si="9"/>
        <v>42429</v>
      </c>
      <c r="F297" s="3">
        <v>42472</v>
      </c>
      <c r="G297" t="s">
        <v>188</v>
      </c>
      <c r="H297" t="s">
        <v>1082</v>
      </c>
      <c r="I297" t="s">
        <v>1083</v>
      </c>
      <c r="J297" t="s">
        <v>41</v>
      </c>
      <c r="K297" t="s">
        <v>27</v>
      </c>
      <c r="L297" t="s">
        <v>1084</v>
      </c>
      <c r="M297" t="s">
        <v>457</v>
      </c>
      <c r="N297">
        <v>80906</v>
      </c>
      <c r="O297" t="s">
        <v>44</v>
      </c>
      <c r="P297" t="s">
        <v>1089</v>
      </c>
      <c r="Q297" t="s">
        <v>32</v>
      </c>
      <c r="R297" t="s">
        <v>65</v>
      </c>
      <c r="S297" t="s">
        <v>1090</v>
      </c>
      <c r="T297" s="4">
        <v>218.352</v>
      </c>
      <c r="U297">
        <v>3</v>
      </c>
      <c r="V297">
        <v>0.2</v>
      </c>
      <c r="W297" s="4">
        <v>-24.564599999999999</v>
      </c>
    </row>
    <row r="298" spans="1:23" x14ac:dyDescent="0.3">
      <c r="A298">
        <v>297</v>
      </c>
      <c r="B298" t="s">
        <v>1081</v>
      </c>
      <c r="C298" s="3">
        <v>42412</v>
      </c>
      <c r="D298" s="7" t="str">
        <f t="shared" si="8"/>
        <v>February</v>
      </c>
      <c r="E298" s="3">
        <f t="shared" si="9"/>
        <v>42429</v>
      </c>
      <c r="F298" s="3">
        <v>42472</v>
      </c>
      <c r="G298" t="s">
        <v>188</v>
      </c>
      <c r="H298" t="s">
        <v>1082</v>
      </c>
      <c r="I298" t="s">
        <v>1083</v>
      </c>
      <c r="J298" t="s">
        <v>41</v>
      </c>
      <c r="K298" t="s">
        <v>27</v>
      </c>
      <c r="L298" t="s">
        <v>1084</v>
      </c>
      <c r="M298" t="s">
        <v>457</v>
      </c>
      <c r="N298">
        <v>80906</v>
      </c>
      <c r="O298" t="s">
        <v>44</v>
      </c>
      <c r="P298" t="s">
        <v>1091</v>
      </c>
      <c r="Q298" t="s">
        <v>46</v>
      </c>
      <c r="R298" t="s">
        <v>75</v>
      </c>
      <c r="S298" t="s">
        <v>1092</v>
      </c>
      <c r="T298" s="4">
        <v>78.599999999999994</v>
      </c>
      <c r="U298">
        <v>5</v>
      </c>
      <c r="V298">
        <v>0.7</v>
      </c>
      <c r="W298" s="4">
        <v>-62.88</v>
      </c>
    </row>
    <row r="299" spans="1:23" x14ac:dyDescent="0.3">
      <c r="A299">
        <v>298</v>
      </c>
      <c r="B299" t="s">
        <v>1081</v>
      </c>
      <c r="C299" s="3">
        <v>42412</v>
      </c>
      <c r="D299" s="7" t="str">
        <f t="shared" si="8"/>
        <v>February</v>
      </c>
      <c r="E299" s="3">
        <f t="shared" si="9"/>
        <v>42429</v>
      </c>
      <c r="F299" s="3">
        <v>42472</v>
      </c>
      <c r="G299" t="s">
        <v>188</v>
      </c>
      <c r="H299" t="s">
        <v>1082</v>
      </c>
      <c r="I299" t="s">
        <v>1083</v>
      </c>
      <c r="J299" t="s">
        <v>41</v>
      </c>
      <c r="K299" t="s">
        <v>27</v>
      </c>
      <c r="L299" t="s">
        <v>1084</v>
      </c>
      <c r="M299" t="s">
        <v>457</v>
      </c>
      <c r="N299">
        <v>80906</v>
      </c>
      <c r="O299" t="s">
        <v>44</v>
      </c>
      <c r="P299" t="s">
        <v>1093</v>
      </c>
      <c r="Q299" t="s">
        <v>46</v>
      </c>
      <c r="R299" t="s">
        <v>269</v>
      </c>
      <c r="S299" t="s">
        <v>1094</v>
      </c>
      <c r="T299" s="4">
        <v>27.552</v>
      </c>
      <c r="U299">
        <v>3</v>
      </c>
      <c r="V299">
        <v>0.2</v>
      </c>
      <c r="W299" s="4">
        <v>9.2988</v>
      </c>
    </row>
    <row r="300" spans="1:23" x14ac:dyDescent="0.3">
      <c r="A300">
        <v>299</v>
      </c>
      <c r="B300" t="s">
        <v>1095</v>
      </c>
      <c r="C300" s="3">
        <v>43200</v>
      </c>
      <c r="D300" s="7" t="str">
        <f t="shared" si="8"/>
        <v>April</v>
      </c>
      <c r="E300" s="3">
        <f t="shared" si="9"/>
        <v>43220</v>
      </c>
      <c r="F300" s="3">
        <v>42440</v>
      </c>
      <c r="G300" t="s">
        <v>50</v>
      </c>
      <c r="H300" t="s">
        <v>582</v>
      </c>
      <c r="I300" t="s">
        <v>583</v>
      </c>
      <c r="J300" t="s">
        <v>41</v>
      </c>
      <c r="K300" t="s">
        <v>27</v>
      </c>
      <c r="L300" t="s">
        <v>1096</v>
      </c>
      <c r="M300" t="s">
        <v>790</v>
      </c>
      <c r="N300">
        <v>7109</v>
      </c>
      <c r="O300" t="s">
        <v>148</v>
      </c>
      <c r="P300" t="s">
        <v>1097</v>
      </c>
      <c r="Q300" t="s">
        <v>46</v>
      </c>
      <c r="R300" t="s">
        <v>90</v>
      </c>
      <c r="S300" t="s">
        <v>1098</v>
      </c>
      <c r="T300" s="4">
        <v>32.4</v>
      </c>
      <c r="U300">
        <v>5</v>
      </c>
      <c r="V300">
        <v>0</v>
      </c>
      <c r="W300" s="4">
        <v>15.552</v>
      </c>
    </row>
    <row r="301" spans="1:23" x14ac:dyDescent="0.3">
      <c r="A301">
        <v>300</v>
      </c>
      <c r="B301" t="s">
        <v>1095</v>
      </c>
      <c r="C301" s="3">
        <v>43200</v>
      </c>
      <c r="D301" s="7" t="str">
        <f t="shared" si="8"/>
        <v>April</v>
      </c>
      <c r="E301" s="3">
        <f t="shared" si="9"/>
        <v>43220</v>
      </c>
      <c r="F301" s="3">
        <v>42440</v>
      </c>
      <c r="G301" t="s">
        <v>50</v>
      </c>
      <c r="H301" t="s">
        <v>582</v>
      </c>
      <c r="I301" t="s">
        <v>583</v>
      </c>
      <c r="J301" t="s">
        <v>41</v>
      </c>
      <c r="K301" t="s">
        <v>27</v>
      </c>
      <c r="L301" t="s">
        <v>1096</v>
      </c>
      <c r="M301" t="s">
        <v>790</v>
      </c>
      <c r="N301">
        <v>7109</v>
      </c>
      <c r="O301" t="s">
        <v>148</v>
      </c>
      <c r="P301" t="s">
        <v>1099</v>
      </c>
      <c r="Q301" t="s">
        <v>46</v>
      </c>
      <c r="R301" t="s">
        <v>59</v>
      </c>
      <c r="S301" t="s">
        <v>1100</v>
      </c>
      <c r="T301" s="4">
        <v>1082.48</v>
      </c>
      <c r="U301">
        <v>8</v>
      </c>
      <c r="V301">
        <v>0</v>
      </c>
      <c r="W301" s="4">
        <v>10.8248</v>
      </c>
    </row>
    <row r="302" spans="1:23" x14ac:dyDescent="0.3">
      <c r="A302">
        <v>301</v>
      </c>
      <c r="B302" t="s">
        <v>1095</v>
      </c>
      <c r="C302" s="3">
        <v>43200</v>
      </c>
      <c r="D302" s="7" t="str">
        <f t="shared" si="8"/>
        <v>April</v>
      </c>
      <c r="E302" s="3">
        <f t="shared" si="9"/>
        <v>43220</v>
      </c>
      <c r="F302" s="3">
        <v>42440</v>
      </c>
      <c r="G302" t="s">
        <v>50</v>
      </c>
      <c r="H302" t="s">
        <v>582</v>
      </c>
      <c r="I302" t="s">
        <v>583</v>
      </c>
      <c r="J302" t="s">
        <v>41</v>
      </c>
      <c r="K302" t="s">
        <v>27</v>
      </c>
      <c r="L302" t="s">
        <v>1096</v>
      </c>
      <c r="M302" t="s">
        <v>790</v>
      </c>
      <c r="N302">
        <v>7109</v>
      </c>
      <c r="O302" t="s">
        <v>148</v>
      </c>
      <c r="P302" t="s">
        <v>1101</v>
      </c>
      <c r="Q302" t="s">
        <v>46</v>
      </c>
      <c r="R302" t="s">
        <v>90</v>
      </c>
      <c r="S302" t="s">
        <v>1102</v>
      </c>
      <c r="T302" s="4">
        <v>56.91</v>
      </c>
      <c r="U302">
        <v>3</v>
      </c>
      <c r="V302">
        <v>0</v>
      </c>
      <c r="W302" s="4">
        <v>27.316800000000001</v>
      </c>
    </row>
    <row r="303" spans="1:23" x14ac:dyDescent="0.3">
      <c r="A303">
        <v>302</v>
      </c>
      <c r="B303" t="s">
        <v>1095</v>
      </c>
      <c r="C303" s="3">
        <v>43200</v>
      </c>
      <c r="D303" s="7" t="str">
        <f t="shared" si="8"/>
        <v>April</v>
      </c>
      <c r="E303" s="3">
        <f t="shared" si="9"/>
        <v>43220</v>
      </c>
      <c r="F303" s="3">
        <v>42440</v>
      </c>
      <c r="G303" t="s">
        <v>50</v>
      </c>
      <c r="H303" t="s">
        <v>582</v>
      </c>
      <c r="I303" t="s">
        <v>583</v>
      </c>
      <c r="J303" t="s">
        <v>41</v>
      </c>
      <c r="K303" t="s">
        <v>27</v>
      </c>
      <c r="L303" t="s">
        <v>1096</v>
      </c>
      <c r="M303" t="s">
        <v>790</v>
      </c>
      <c r="N303">
        <v>7109</v>
      </c>
      <c r="O303" t="s">
        <v>148</v>
      </c>
      <c r="P303" t="s">
        <v>1103</v>
      </c>
      <c r="Q303" t="s">
        <v>32</v>
      </c>
      <c r="R303" t="s">
        <v>65</v>
      </c>
      <c r="S303" t="s">
        <v>1104</v>
      </c>
      <c r="T303" s="4">
        <v>77.599999999999994</v>
      </c>
      <c r="U303">
        <v>4</v>
      </c>
      <c r="V303">
        <v>0</v>
      </c>
      <c r="W303" s="4">
        <v>38.024000000000001</v>
      </c>
    </row>
    <row r="304" spans="1:23" x14ac:dyDescent="0.3">
      <c r="A304">
        <v>303</v>
      </c>
      <c r="B304" t="s">
        <v>1095</v>
      </c>
      <c r="C304" s="3">
        <v>43200</v>
      </c>
      <c r="D304" s="7" t="str">
        <f t="shared" si="8"/>
        <v>April</v>
      </c>
      <c r="E304" s="3">
        <f t="shared" si="9"/>
        <v>43220</v>
      </c>
      <c r="F304" s="3">
        <v>42440</v>
      </c>
      <c r="G304" t="s">
        <v>50</v>
      </c>
      <c r="H304" t="s">
        <v>582</v>
      </c>
      <c r="I304" t="s">
        <v>583</v>
      </c>
      <c r="J304" t="s">
        <v>41</v>
      </c>
      <c r="K304" t="s">
        <v>27</v>
      </c>
      <c r="L304" t="s">
        <v>1096</v>
      </c>
      <c r="M304" t="s">
        <v>790</v>
      </c>
      <c r="N304">
        <v>7109</v>
      </c>
      <c r="O304" t="s">
        <v>148</v>
      </c>
      <c r="P304" t="s">
        <v>1105</v>
      </c>
      <c r="Q304" t="s">
        <v>46</v>
      </c>
      <c r="R304" t="s">
        <v>75</v>
      </c>
      <c r="S304" t="s">
        <v>1106</v>
      </c>
      <c r="T304" s="4">
        <v>14.28</v>
      </c>
      <c r="U304">
        <v>1</v>
      </c>
      <c r="V304">
        <v>0</v>
      </c>
      <c r="W304" s="4">
        <v>6.5688000000000004</v>
      </c>
    </row>
    <row r="305" spans="1:23" x14ac:dyDescent="0.3">
      <c r="A305">
        <v>304</v>
      </c>
      <c r="B305" t="s">
        <v>1107</v>
      </c>
      <c r="C305" s="3">
        <v>43292</v>
      </c>
      <c r="D305" s="7" t="str">
        <f t="shared" si="8"/>
        <v>July</v>
      </c>
      <c r="E305" s="3">
        <f t="shared" si="9"/>
        <v>43312</v>
      </c>
      <c r="F305" s="3">
        <v>43415</v>
      </c>
      <c r="G305" t="s">
        <v>50</v>
      </c>
      <c r="H305" t="s">
        <v>861</v>
      </c>
      <c r="I305" t="s">
        <v>862</v>
      </c>
      <c r="J305" t="s">
        <v>26</v>
      </c>
      <c r="K305" t="s">
        <v>27</v>
      </c>
      <c r="L305" t="s">
        <v>303</v>
      </c>
      <c r="M305" t="s">
        <v>211</v>
      </c>
      <c r="N305">
        <v>60623</v>
      </c>
      <c r="O305" t="s">
        <v>105</v>
      </c>
      <c r="P305" t="s">
        <v>1108</v>
      </c>
      <c r="Q305" t="s">
        <v>32</v>
      </c>
      <c r="R305" t="s">
        <v>56</v>
      </c>
      <c r="S305" t="s">
        <v>1109</v>
      </c>
      <c r="T305" s="4">
        <v>219.07499999999999</v>
      </c>
      <c r="U305">
        <v>3</v>
      </c>
      <c r="V305">
        <v>0.5</v>
      </c>
      <c r="W305" s="4">
        <v>-131.44499999999999</v>
      </c>
    </row>
    <row r="306" spans="1:23" x14ac:dyDescent="0.3">
      <c r="A306">
        <v>305</v>
      </c>
      <c r="B306" t="s">
        <v>1110</v>
      </c>
      <c r="C306" s="3">
        <v>42099</v>
      </c>
      <c r="D306" s="7" t="str">
        <f t="shared" si="8"/>
        <v>April</v>
      </c>
      <c r="E306" s="3">
        <f t="shared" si="9"/>
        <v>42124</v>
      </c>
      <c r="F306" s="3">
        <v>42252</v>
      </c>
      <c r="G306" t="s">
        <v>23</v>
      </c>
      <c r="H306" t="s">
        <v>1111</v>
      </c>
      <c r="I306" t="s">
        <v>1112</v>
      </c>
      <c r="J306" t="s">
        <v>41</v>
      </c>
      <c r="K306" t="s">
        <v>27</v>
      </c>
      <c r="L306" t="s">
        <v>266</v>
      </c>
      <c r="M306" t="s">
        <v>267</v>
      </c>
      <c r="N306">
        <v>10024</v>
      </c>
      <c r="O306" t="s">
        <v>148</v>
      </c>
      <c r="P306" t="s">
        <v>1113</v>
      </c>
      <c r="Q306" t="s">
        <v>32</v>
      </c>
      <c r="R306" t="s">
        <v>65</v>
      </c>
      <c r="S306" t="s">
        <v>1114</v>
      </c>
      <c r="T306" s="4">
        <v>26.8</v>
      </c>
      <c r="U306">
        <v>2</v>
      </c>
      <c r="V306">
        <v>0</v>
      </c>
      <c r="W306" s="4">
        <v>12.864000000000001</v>
      </c>
    </row>
    <row r="307" spans="1:23" x14ac:dyDescent="0.3">
      <c r="A307">
        <v>306</v>
      </c>
      <c r="B307" t="s">
        <v>1115</v>
      </c>
      <c r="C307" s="3">
        <v>42533</v>
      </c>
      <c r="D307" s="7" t="str">
        <f t="shared" si="8"/>
        <v>June</v>
      </c>
      <c r="E307" s="3">
        <f t="shared" si="9"/>
        <v>42551</v>
      </c>
      <c r="F307" s="3">
        <v>42095</v>
      </c>
      <c r="G307" t="s">
        <v>50</v>
      </c>
      <c r="H307" t="s">
        <v>343</v>
      </c>
      <c r="I307" t="s">
        <v>344</v>
      </c>
      <c r="J307" t="s">
        <v>41</v>
      </c>
      <c r="K307" t="s">
        <v>27</v>
      </c>
      <c r="L307" t="s">
        <v>1116</v>
      </c>
      <c r="M307" t="s">
        <v>238</v>
      </c>
      <c r="N307">
        <v>48180</v>
      </c>
      <c r="O307" t="s">
        <v>105</v>
      </c>
      <c r="P307" t="s">
        <v>1117</v>
      </c>
      <c r="Q307" t="s">
        <v>46</v>
      </c>
      <c r="R307" t="s">
        <v>68</v>
      </c>
      <c r="S307" t="s">
        <v>1118</v>
      </c>
      <c r="T307" s="4">
        <v>9.84</v>
      </c>
      <c r="U307">
        <v>3</v>
      </c>
      <c r="V307">
        <v>0</v>
      </c>
      <c r="W307" s="4">
        <v>2.8536000000000001</v>
      </c>
    </row>
    <row r="308" spans="1:23" x14ac:dyDescent="0.3">
      <c r="A308">
        <v>307</v>
      </c>
      <c r="B308" t="s">
        <v>1119</v>
      </c>
      <c r="C308" s="3">
        <v>41645</v>
      </c>
      <c r="D308" s="7" t="str">
        <f t="shared" si="8"/>
        <v>January</v>
      </c>
      <c r="E308" s="3">
        <f t="shared" si="9"/>
        <v>41670</v>
      </c>
      <c r="F308" s="3">
        <v>41796</v>
      </c>
      <c r="G308" t="s">
        <v>50</v>
      </c>
      <c r="H308" t="s">
        <v>1120</v>
      </c>
      <c r="I308" t="s">
        <v>1121</v>
      </c>
      <c r="J308" t="s">
        <v>102</v>
      </c>
      <c r="K308" t="s">
        <v>27</v>
      </c>
      <c r="L308" t="s">
        <v>1122</v>
      </c>
      <c r="M308" t="s">
        <v>790</v>
      </c>
      <c r="N308">
        <v>8701</v>
      </c>
      <c r="O308" t="s">
        <v>148</v>
      </c>
      <c r="P308" t="s">
        <v>1123</v>
      </c>
      <c r="Q308" t="s">
        <v>46</v>
      </c>
      <c r="R308" t="s">
        <v>75</v>
      </c>
      <c r="S308" t="s">
        <v>1124</v>
      </c>
      <c r="T308" s="4">
        <v>45.48</v>
      </c>
      <c r="U308">
        <v>3</v>
      </c>
      <c r="V308">
        <v>0</v>
      </c>
      <c r="W308" s="4">
        <v>20.9208</v>
      </c>
    </row>
    <row r="309" spans="1:23" x14ac:dyDescent="0.3">
      <c r="A309">
        <v>308</v>
      </c>
      <c r="B309" t="s">
        <v>1119</v>
      </c>
      <c r="C309" s="3">
        <v>41645</v>
      </c>
      <c r="D309" s="7" t="str">
        <f t="shared" si="8"/>
        <v>January</v>
      </c>
      <c r="E309" s="3">
        <f t="shared" si="9"/>
        <v>41670</v>
      </c>
      <c r="F309" s="3">
        <v>41796</v>
      </c>
      <c r="G309" t="s">
        <v>50</v>
      </c>
      <c r="H309" t="s">
        <v>1120</v>
      </c>
      <c r="I309" t="s">
        <v>1121</v>
      </c>
      <c r="J309" t="s">
        <v>102</v>
      </c>
      <c r="K309" t="s">
        <v>27</v>
      </c>
      <c r="L309" t="s">
        <v>1122</v>
      </c>
      <c r="M309" t="s">
        <v>790</v>
      </c>
      <c r="N309">
        <v>8701</v>
      </c>
      <c r="O309" t="s">
        <v>148</v>
      </c>
      <c r="P309" t="s">
        <v>1125</v>
      </c>
      <c r="Q309" t="s">
        <v>46</v>
      </c>
      <c r="R309" t="s">
        <v>68</v>
      </c>
      <c r="S309" t="s">
        <v>1126</v>
      </c>
      <c r="T309" s="4">
        <v>289.2</v>
      </c>
      <c r="U309">
        <v>6</v>
      </c>
      <c r="V309">
        <v>0</v>
      </c>
      <c r="W309" s="4">
        <v>83.867999999999995</v>
      </c>
    </row>
    <row r="310" spans="1:23" x14ac:dyDescent="0.3">
      <c r="A310">
        <v>309</v>
      </c>
      <c r="B310" t="s">
        <v>1127</v>
      </c>
      <c r="C310" s="3">
        <v>43163</v>
      </c>
      <c r="D310" s="7" t="str">
        <f t="shared" si="8"/>
        <v>March</v>
      </c>
      <c r="E310" s="3">
        <f t="shared" si="9"/>
        <v>43190</v>
      </c>
      <c r="F310" s="3">
        <v>43224</v>
      </c>
      <c r="G310" t="s">
        <v>188</v>
      </c>
      <c r="H310" t="s">
        <v>1128</v>
      </c>
      <c r="I310" t="s">
        <v>1129</v>
      </c>
      <c r="J310" t="s">
        <v>26</v>
      </c>
      <c r="K310" t="s">
        <v>27</v>
      </c>
      <c r="L310" t="s">
        <v>1130</v>
      </c>
      <c r="M310" t="s">
        <v>319</v>
      </c>
      <c r="N310">
        <v>22204</v>
      </c>
      <c r="O310" t="s">
        <v>30</v>
      </c>
      <c r="P310" t="s">
        <v>1131</v>
      </c>
      <c r="Q310" t="s">
        <v>46</v>
      </c>
      <c r="R310" t="s">
        <v>68</v>
      </c>
      <c r="S310" t="s">
        <v>1132</v>
      </c>
      <c r="T310" s="4">
        <v>4.8899999999999997</v>
      </c>
      <c r="U310">
        <v>1</v>
      </c>
      <c r="V310">
        <v>0</v>
      </c>
      <c r="W310" s="4">
        <v>2.0049000000000001</v>
      </c>
    </row>
    <row r="311" spans="1:23" x14ac:dyDescent="0.3">
      <c r="A311">
        <v>310</v>
      </c>
      <c r="B311" t="s">
        <v>1133</v>
      </c>
      <c r="C311" s="3">
        <v>42713</v>
      </c>
      <c r="D311" s="7" t="str">
        <f t="shared" si="8"/>
        <v>December</v>
      </c>
      <c r="E311" s="3">
        <f t="shared" si="9"/>
        <v>42735</v>
      </c>
      <c r="F311" s="3">
        <v>42775</v>
      </c>
      <c r="G311" t="s">
        <v>23</v>
      </c>
      <c r="H311" t="s">
        <v>1134</v>
      </c>
      <c r="I311" t="s">
        <v>1135</v>
      </c>
      <c r="J311" t="s">
        <v>41</v>
      </c>
      <c r="K311" t="s">
        <v>27</v>
      </c>
      <c r="L311" t="s">
        <v>1136</v>
      </c>
      <c r="M311" t="s">
        <v>457</v>
      </c>
      <c r="N311">
        <v>80004</v>
      </c>
      <c r="O311" t="s">
        <v>44</v>
      </c>
      <c r="P311" t="s">
        <v>1137</v>
      </c>
      <c r="Q311" t="s">
        <v>32</v>
      </c>
      <c r="R311" t="s">
        <v>65</v>
      </c>
      <c r="S311" t="s">
        <v>1138</v>
      </c>
      <c r="T311" s="4">
        <v>15.135999999999999</v>
      </c>
      <c r="U311">
        <v>4</v>
      </c>
      <c r="V311">
        <v>0.2</v>
      </c>
      <c r="W311" s="4">
        <v>3.5948000000000002</v>
      </c>
    </row>
    <row r="312" spans="1:23" x14ac:dyDescent="0.3">
      <c r="A312">
        <v>311</v>
      </c>
      <c r="B312" t="s">
        <v>1133</v>
      </c>
      <c r="C312" s="3">
        <v>42713</v>
      </c>
      <c r="D312" s="7" t="str">
        <f t="shared" si="8"/>
        <v>December</v>
      </c>
      <c r="E312" s="3">
        <f t="shared" si="9"/>
        <v>42735</v>
      </c>
      <c r="F312" s="3">
        <v>42775</v>
      </c>
      <c r="G312" t="s">
        <v>23</v>
      </c>
      <c r="H312" t="s">
        <v>1134</v>
      </c>
      <c r="I312" t="s">
        <v>1135</v>
      </c>
      <c r="J312" t="s">
        <v>41</v>
      </c>
      <c r="K312" t="s">
        <v>27</v>
      </c>
      <c r="L312" t="s">
        <v>1136</v>
      </c>
      <c r="M312" t="s">
        <v>457</v>
      </c>
      <c r="N312">
        <v>80004</v>
      </c>
      <c r="O312" t="s">
        <v>44</v>
      </c>
      <c r="P312" t="s">
        <v>1139</v>
      </c>
      <c r="Q312" t="s">
        <v>32</v>
      </c>
      <c r="R312" t="s">
        <v>36</v>
      </c>
      <c r="S312" t="s">
        <v>1140</v>
      </c>
      <c r="T312" s="4">
        <v>466.76799999999997</v>
      </c>
      <c r="U312">
        <v>2</v>
      </c>
      <c r="V312">
        <v>0.2</v>
      </c>
      <c r="W312" s="4">
        <v>52.511400000000002</v>
      </c>
    </row>
    <row r="313" spans="1:23" x14ac:dyDescent="0.3">
      <c r="A313">
        <v>312</v>
      </c>
      <c r="B313" t="s">
        <v>1133</v>
      </c>
      <c r="C313" s="3">
        <v>42713</v>
      </c>
      <c r="D313" s="7" t="str">
        <f t="shared" si="8"/>
        <v>December</v>
      </c>
      <c r="E313" s="3">
        <f t="shared" si="9"/>
        <v>42735</v>
      </c>
      <c r="F313" s="3">
        <v>42775</v>
      </c>
      <c r="G313" t="s">
        <v>23</v>
      </c>
      <c r="H313" t="s">
        <v>1134</v>
      </c>
      <c r="I313" t="s">
        <v>1135</v>
      </c>
      <c r="J313" t="s">
        <v>41</v>
      </c>
      <c r="K313" t="s">
        <v>27</v>
      </c>
      <c r="L313" t="s">
        <v>1136</v>
      </c>
      <c r="M313" t="s">
        <v>457</v>
      </c>
      <c r="N313">
        <v>80004</v>
      </c>
      <c r="O313" t="s">
        <v>44</v>
      </c>
      <c r="P313" t="s">
        <v>1141</v>
      </c>
      <c r="Q313" t="s">
        <v>32</v>
      </c>
      <c r="R313" t="s">
        <v>65</v>
      </c>
      <c r="S313" t="s">
        <v>1142</v>
      </c>
      <c r="T313" s="4">
        <v>15.231999999999999</v>
      </c>
      <c r="U313">
        <v>1</v>
      </c>
      <c r="V313">
        <v>0.2</v>
      </c>
      <c r="W313" s="4">
        <v>1.7136</v>
      </c>
    </row>
    <row r="314" spans="1:23" x14ac:dyDescent="0.3">
      <c r="A314">
        <v>313</v>
      </c>
      <c r="B314" t="s">
        <v>1133</v>
      </c>
      <c r="C314" s="3">
        <v>42713</v>
      </c>
      <c r="D314" s="7" t="str">
        <f t="shared" si="8"/>
        <v>December</v>
      </c>
      <c r="E314" s="3">
        <f t="shared" si="9"/>
        <v>42735</v>
      </c>
      <c r="F314" s="3">
        <v>42775</v>
      </c>
      <c r="G314" t="s">
        <v>23</v>
      </c>
      <c r="H314" t="s">
        <v>1134</v>
      </c>
      <c r="I314" t="s">
        <v>1135</v>
      </c>
      <c r="J314" t="s">
        <v>41</v>
      </c>
      <c r="K314" t="s">
        <v>27</v>
      </c>
      <c r="L314" t="s">
        <v>1136</v>
      </c>
      <c r="M314" t="s">
        <v>457</v>
      </c>
      <c r="N314">
        <v>80004</v>
      </c>
      <c r="O314" t="s">
        <v>44</v>
      </c>
      <c r="P314" t="s">
        <v>1143</v>
      </c>
      <c r="Q314" t="s">
        <v>46</v>
      </c>
      <c r="R314" t="s">
        <v>47</v>
      </c>
      <c r="S314" t="s">
        <v>1144</v>
      </c>
      <c r="T314" s="4">
        <v>6.2640000000000002</v>
      </c>
      <c r="U314">
        <v>3</v>
      </c>
      <c r="V314">
        <v>0.2</v>
      </c>
      <c r="W314" s="4">
        <v>2.0358000000000001</v>
      </c>
    </row>
    <row r="315" spans="1:23" x14ac:dyDescent="0.3">
      <c r="A315">
        <v>314</v>
      </c>
      <c r="B315" t="s">
        <v>1145</v>
      </c>
      <c r="C315" s="3">
        <v>42438</v>
      </c>
      <c r="D315" s="7" t="str">
        <f t="shared" si="8"/>
        <v>March</v>
      </c>
      <c r="E315" s="3">
        <f t="shared" si="9"/>
        <v>42460</v>
      </c>
      <c r="F315" s="3">
        <v>41708</v>
      </c>
      <c r="G315" t="s">
        <v>50</v>
      </c>
      <c r="H315" t="s">
        <v>1146</v>
      </c>
      <c r="I315" t="s">
        <v>1147</v>
      </c>
      <c r="J315" t="s">
        <v>41</v>
      </c>
      <c r="K315" t="s">
        <v>27</v>
      </c>
      <c r="L315" t="s">
        <v>1148</v>
      </c>
      <c r="M315" t="s">
        <v>790</v>
      </c>
      <c r="N315">
        <v>7601</v>
      </c>
      <c r="O315" t="s">
        <v>148</v>
      </c>
      <c r="P315" t="s">
        <v>1149</v>
      </c>
      <c r="Q315" t="s">
        <v>32</v>
      </c>
      <c r="R315" t="s">
        <v>65</v>
      </c>
      <c r="S315" t="s">
        <v>1150</v>
      </c>
      <c r="T315" s="4">
        <v>87.54</v>
      </c>
      <c r="U315">
        <v>3</v>
      </c>
      <c r="V315">
        <v>0</v>
      </c>
      <c r="W315" s="4">
        <v>37.642200000000003</v>
      </c>
    </row>
    <row r="316" spans="1:23" x14ac:dyDescent="0.3">
      <c r="A316">
        <v>315</v>
      </c>
      <c r="B316" t="s">
        <v>1151</v>
      </c>
      <c r="C316" s="3">
        <v>41890</v>
      </c>
      <c r="D316" s="7" t="str">
        <f t="shared" si="8"/>
        <v>September</v>
      </c>
      <c r="E316" s="3">
        <f t="shared" si="9"/>
        <v>41912</v>
      </c>
      <c r="F316" s="3">
        <v>42102</v>
      </c>
      <c r="G316" t="s">
        <v>50</v>
      </c>
      <c r="H316" t="s">
        <v>1152</v>
      </c>
      <c r="I316" t="s">
        <v>1153</v>
      </c>
      <c r="J316" t="s">
        <v>41</v>
      </c>
      <c r="K316" t="s">
        <v>27</v>
      </c>
      <c r="L316" t="s">
        <v>1154</v>
      </c>
      <c r="M316" t="s">
        <v>54</v>
      </c>
      <c r="N316">
        <v>33710</v>
      </c>
      <c r="O316" t="s">
        <v>30</v>
      </c>
      <c r="P316" t="s">
        <v>1155</v>
      </c>
      <c r="Q316" t="s">
        <v>71</v>
      </c>
      <c r="R316" t="s">
        <v>72</v>
      </c>
      <c r="S316" t="s">
        <v>1156</v>
      </c>
      <c r="T316" s="4">
        <v>178.38399999999999</v>
      </c>
      <c r="U316">
        <v>2</v>
      </c>
      <c r="V316">
        <v>0.2</v>
      </c>
      <c r="W316" s="4">
        <v>22.297999999999998</v>
      </c>
    </row>
    <row r="317" spans="1:23" x14ac:dyDescent="0.3">
      <c r="A317">
        <v>316</v>
      </c>
      <c r="B317" t="s">
        <v>1151</v>
      </c>
      <c r="C317" s="3">
        <v>41890</v>
      </c>
      <c r="D317" s="7" t="str">
        <f t="shared" si="8"/>
        <v>September</v>
      </c>
      <c r="E317" s="3">
        <f t="shared" si="9"/>
        <v>41912</v>
      </c>
      <c r="F317" s="3">
        <v>42102</v>
      </c>
      <c r="G317" t="s">
        <v>50</v>
      </c>
      <c r="H317" t="s">
        <v>1152</v>
      </c>
      <c r="I317" t="s">
        <v>1153</v>
      </c>
      <c r="J317" t="s">
        <v>41</v>
      </c>
      <c r="K317" t="s">
        <v>27</v>
      </c>
      <c r="L317" t="s">
        <v>1154</v>
      </c>
      <c r="M317" t="s">
        <v>54</v>
      </c>
      <c r="N317">
        <v>33710</v>
      </c>
      <c r="O317" t="s">
        <v>30</v>
      </c>
      <c r="P317" t="s">
        <v>1157</v>
      </c>
      <c r="Q317" t="s">
        <v>46</v>
      </c>
      <c r="R317" t="s">
        <v>90</v>
      </c>
      <c r="S317" t="s">
        <v>1158</v>
      </c>
      <c r="T317" s="4">
        <v>15.552</v>
      </c>
      <c r="U317">
        <v>3</v>
      </c>
      <c r="V317">
        <v>0.2</v>
      </c>
      <c r="W317" s="4">
        <v>5.4432</v>
      </c>
    </row>
    <row r="318" spans="1:23" x14ac:dyDescent="0.3">
      <c r="A318">
        <v>317</v>
      </c>
      <c r="B318" t="s">
        <v>1159</v>
      </c>
      <c r="C318" s="3">
        <v>42472</v>
      </c>
      <c r="D318" s="7" t="str">
        <f t="shared" si="8"/>
        <v>April</v>
      </c>
      <c r="E318" s="3">
        <f t="shared" si="9"/>
        <v>42490</v>
      </c>
      <c r="F318" s="3">
        <v>42533</v>
      </c>
      <c r="G318" t="s">
        <v>188</v>
      </c>
      <c r="H318" t="s">
        <v>1160</v>
      </c>
      <c r="I318" t="s">
        <v>1161</v>
      </c>
      <c r="J318" t="s">
        <v>41</v>
      </c>
      <c r="K318" t="s">
        <v>27</v>
      </c>
      <c r="L318" t="s">
        <v>146</v>
      </c>
      <c r="M318" t="s">
        <v>147</v>
      </c>
      <c r="N318">
        <v>19143</v>
      </c>
      <c r="O318" t="s">
        <v>148</v>
      </c>
      <c r="P318" t="s">
        <v>1162</v>
      </c>
      <c r="Q318" t="s">
        <v>46</v>
      </c>
      <c r="R318" t="s">
        <v>68</v>
      </c>
      <c r="S318" t="s">
        <v>1163</v>
      </c>
      <c r="T318" s="4">
        <v>99.135999999999996</v>
      </c>
      <c r="U318">
        <v>4</v>
      </c>
      <c r="V318">
        <v>0.2</v>
      </c>
      <c r="W318" s="4">
        <v>8.6744000000000003</v>
      </c>
    </row>
    <row r="319" spans="1:23" x14ac:dyDescent="0.3">
      <c r="A319">
        <v>318</v>
      </c>
      <c r="B319" t="s">
        <v>1164</v>
      </c>
      <c r="C319" s="3">
        <v>41740</v>
      </c>
      <c r="D319" s="7" t="str">
        <f t="shared" si="8"/>
        <v>April</v>
      </c>
      <c r="E319" s="3">
        <f t="shared" si="9"/>
        <v>41759</v>
      </c>
      <c r="F319" s="3">
        <v>41893</v>
      </c>
      <c r="G319" t="s">
        <v>50</v>
      </c>
      <c r="H319" t="s">
        <v>1165</v>
      </c>
      <c r="I319" t="s">
        <v>1166</v>
      </c>
      <c r="J319" t="s">
        <v>102</v>
      </c>
      <c r="K319" t="s">
        <v>27</v>
      </c>
      <c r="L319" t="s">
        <v>266</v>
      </c>
      <c r="M319" t="s">
        <v>267</v>
      </c>
      <c r="N319">
        <v>10024</v>
      </c>
      <c r="O319" t="s">
        <v>148</v>
      </c>
      <c r="P319" t="s">
        <v>1167</v>
      </c>
      <c r="Q319" t="s">
        <v>32</v>
      </c>
      <c r="R319" t="s">
        <v>36</v>
      </c>
      <c r="S319" t="s">
        <v>1168</v>
      </c>
      <c r="T319" s="4">
        <v>135.88200000000001</v>
      </c>
      <c r="U319">
        <v>1</v>
      </c>
      <c r="V319">
        <v>0.1</v>
      </c>
      <c r="W319" s="4">
        <v>24.1568</v>
      </c>
    </row>
    <row r="320" spans="1:23" x14ac:dyDescent="0.3">
      <c r="A320">
        <v>319</v>
      </c>
      <c r="B320" t="s">
        <v>1164</v>
      </c>
      <c r="C320" s="3">
        <v>41740</v>
      </c>
      <c r="D320" s="7" t="str">
        <f t="shared" si="8"/>
        <v>April</v>
      </c>
      <c r="E320" s="3">
        <f t="shared" si="9"/>
        <v>41759</v>
      </c>
      <c r="F320" s="3">
        <v>41893</v>
      </c>
      <c r="G320" t="s">
        <v>50</v>
      </c>
      <c r="H320" t="s">
        <v>1165</v>
      </c>
      <c r="I320" t="s">
        <v>1166</v>
      </c>
      <c r="J320" t="s">
        <v>102</v>
      </c>
      <c r="K320" t="s">
        <v>27</v>
      </c>
      <c r="L320" t="s">
        <v>266</v>
      </c>
      <c r="M320" t="s">
        <v>267</v>
      </c>
      <c r="N320">
        <v>10024</v>
      </c>
      <c r="O320" t="s">
        <v>148</v>
      </c>
      <c r="P320" t="s">
        <v>1169</v>
      </c>
      <c r="Q320" t="s">
        <v>71</v>
      </c>
      <c r="R320" t="s">
        <v>684</v>
      </c>
      <c r="S320" t="s">
        <v>1170</v>
      </c>
      <c r="T320" s="4">
        <v>3991.98</v>
      </c>
      <c r="U320">
        <v>2</v>
      </c>
      <c r="V320">
        <v>0</v>
      </c>
      <c r="W320" s="4">
        <v>1995.99</v>
      </c>
    </row>
    <row r="321" spans="1:23" x14ac:dyDescent="0.3">
      <c r="A321">
        <v>320</v>
      </c>
      <c r="B321" t="s">
        <v>1164</v>
      </c>
      <c r="C321" s="3">
        <v>41740</v>
      </c>
      <c r="D321" s="7" t="str">
        <f t="shared" si="8"/>
        <v>April</v>
      </c>
      <c r="E321" s="3">
        <f t="shared" si="9"/>
        <v>41759</v>
      </c>
      <c r="F321" s="3">
        <v>41893</v>
      </c>
      <c r="G321" t="s">
        <v>50</v>
      </c>
      <c r="H321" t="s">
        <v>1165</v>
      </c>
      <c r="I321" t="s">
        <v>1166</v>
      </c>
      <c r="J321" t="s">
        <v>102</v>
      </c>
      <c r="K321" t="s">
        <v>27</v>
      </c>
      <c r="L321" t="s">
        <v>266</v>
      </c>
      <c r="M321" t="s">
        <v>267</v>
      </c>
      <c r="N321">
        <v>10024</v>
      </c>
      <c r="O321" t="s">
        <v>148</v>
      </c>
      <c r="P321" t="s">
        <v>212</v>
      </c>
      <c r="Q321" t="s">
        <v>71</v>
      </c>
      <c r="R321" t="s">
        <v>72</v>
      </c>
      <c r="S321" t="s">
        <v>213</v>
      </c>
      <c r="T321" s="4">
        <v>275.94</v>
      </c>
      <c r="U321">
        <v>6</v>
      </c>
      <c r="V321">
        <v>0</v>
      </c>
      <c r="W321" s="4">
        <v>80.022599999999997</v>
      </c>
    </row>
    <row r="322" spans="1:23" x14ac:dyDescent="0.3">
      <c r="A322">
        <v>321</v>
      </c>
      <c r="B322" t="s">
        <v>1164</v>
      </c>
      <c r="C322" s="3">
        <v>41740</v>
      </c>
      <c r="D322" s="7" t="str">
        <f t="shared" si="8"/>
        <v>April</v>
      </c>
      <c r="E322" s="3">
        <f t="shared" si="9"/>
        <v>41759</v>
      </c>
      <c r="F322" s="3">
        <v>41893</v>
      </c>
      <c r="G322" t="s">
        <v>50</v>
      </c>
      <c r="H322" t="s">
        <v>1165</v>
      </c>
      <c r="I322" t="s">
        <v>1166</v>
      </c>
      <c r="J322" t="s">
        <v>102</v>
      </c>
      <c r="K322" t="s">
        <v>27</v>
      </c>
      <c r="L322" t="s">
        <v>266</v>
      </c>
      <c r="M322" t="s">
        <v>267</v>
      </c>
      <c r="N322">
        <v>10024</v>
      </c>
      <c r="O322" t="s">
        <v>148</v>
      </c>
      <c r="P322" t="s">
        <v>1171</v>
      </c>
      <c r="Q322" t="s">
        <v>71</v>
      </c>
      <c r="R322" t="s">
        <v>161</v>
      </c>
      <c r="S322" t="s">
        <v>1172</v>
      </c>
      <c r="T322" s="4">
        <v>360</v>
      </c>
      <c r="U322">
        <v>4</v>
      </c>
      <c r="V322">
        <v>0</v>
      </c>
      <c r="W322" s="4">
        <v>129.6</v>
      </c>
    </row>
    <row r="323" spans="1:23" x14ac:dyDescent="0.3">
      <c r="A323">
        <v>322</v>
      </c>
      <c r="B323" t="s">
        <v>1164</v>
      </c>
      <c r="C323" s="3">
        <v>41740</v>
      </c>
      <c r="D323" s="7" t="str">
        <f t="shared" ref="D323:D386" si="10">TEXT(C323,"mmmm")</f>
        <v>April</v>
      </c>
      <c r="E323" s="3">
        <f t="shared" ref="E323:E386" si="11">EOMONTH(C323,0)</f>
        <v>41759</v>
      </c>
      <c r="F323" s="3">
        <v>41893</v>
      </c>
      <c r="G323" t="s">
        <v>50</v>
      </c>
      <c r="H323" t="s">
        <v>1165</v>
      </c>
      <c r="I323" t="s">
        <v>1166</v>
      </c>
      <c r="J323" t="s">
        <v>102</v>
      </c>
      <c r="K323" t="s">
        <v>27</v>
      </c>
      <c r="L323" t="s">
        <v>266</v>
      </c>
      <c r="M323" t="s">
        <v>267</v>
      </c>
      <c r="N323">
        <v>10024</v>
      </c>
      <c r="O323" t="s">
        <v>148</v>
      </c>
      <c r="P323" t="s">
        <v>547</v>
      </c>
      <c r="Q323" t="s">
        <v>46</v>
      </c>
      <c r="R323" t="s">
        <v>59</v>
      </c>
      <c r="S323" t="s">
        <v>548</v>
      </c>
      <c r="T323" s="4">
        <v>43.57</v>
      </c>
      <c r="U323">
        <v>1</v>
      </c>
      <c r="V323">
        <v>0</v>
      </c>
      <c r="W323" s="4">
        <v>13.071</v>
      </c>
    </row>
    <row r="324" spans="1:23" x14ac:dyDescent="0.3">
      <c r="A324">
        <v>323</v>
      </c>
      <c r="B324" t="s">
        <v>1173</v>
      </c>
      <c r="C324" s="3">
        <v>42194</v>
      </c>
      <c r="D324" s="7" t="str">
        <f t="shared" si="10"/>
        <v>July</v>
      </c>
      <c r="E324" s="3">
        <f t="shared" si="11"/>
        <v>42216</v>
      </c>
      <c r="F324" s="3">
        <v>42347</v>
      </c>
      <c r="G324" t="s">
        <v>50</v>
      </c>
      <c r="H324" t="s">
        <v>1174</v>
      </c>
      <c r="I324" t="s">
        <v>1175</v>
      </c>
      <c r="J324" t="s">
        <v>41</v>
      </c>
      <c r="K324" t="s">
        <v>27</v>
      </c>
      <c r="L324" t="s">
        <v>1176</v>
      </c>
      <c r="M324" t="s">
        <v>43</v>
      </c>
      <c r="N324">
        <v>90805</v>
      </c>
      <c r="O324" t="s">
        <v>44</v>
      </c>
      <c r="P324" t="s">
        <v>1177</v>
      </c>
      <c r="Q324" t="s">
        <v>46</v>
      </c>
      <c r="R324" t="s">
        <v>269</v>
      </c>
      <c r="S324" t="s">
        <v>1178</v>
      </c>
      <c r="T324" s="4">
        <v>7.16</v>
      </c>
      <c r="U324">
        <v>2</v>
      </c>
      <c r="V324">
        <v>0</v>
      </c>
      <c r="W324" s="4">
        <v>3.58</v>
      </c>
    </row>
    <row r="325" spans="1:23" x14ac:dyDescent="0.3">
      <c r="A325">
        <v>324</v>
      </c>
      <c r="B325" t="s">
        <v>1179</v>
      </c>
      <c r="C325" s="3">
        <v>43043</v>
      </c>
      <c r="D325" s="7" t="str">
        <f t="shared" si="10"/>
        <v>November</v>
      </c>
      <c r="E325" s="3">
        <f t="shared" si="11"/>
        <v>43069</v>
      </c>
      <c r="F325" s="3">
        <v>43163</v>
      </c>
      <c r="G325" t="s">
        <v>50</v>
      </c>
      <c r="H325" t="s">
        <v>1180</v>
      </c>
      <c r="I325" t="s">
        <v>1181</v>
      </c>
      <c r="J325" t="s">
        <v>41</v>
      </c>
      <c r="K325" t="s">
        <v>27</v>
      </c>
      <c r="L325" t="s">
        <v>1182</v>
      </c>
      <c r="M325" t="s">
        <v>43</v>
      </c>
      <c r="N325">
        <v>92345</v>
      </c>
      <c r="O325" t="s">
        <v>44</v>
      </c>
      <c r="P325" t="s">
        <v>1091</v>
      </c>
      <c r="Q325" t="s">
        <v>46</v>
      </c>
      <c r="R325" t="s">
        <v>75</v>
      </c>
      <c r="S325" t="s">
        <v>1092</v>
      </c>
      <c r="T325" s="4">
        <v>251.52</v>
      </c>
      <c r="U325">
        <v>6</v>
      </c>
      <c r="V325">
        <v>0.2</v>
      </c>
      <c r="W325" s="4">
        <v>81.744</v>
      </c>
    </row>
    <row r="326" spans="1:23" x14ac:dyDescent="0.3">
      <c r="A326">
        <v>325</v>
      </c>
      <c r="B326" t="s">
        <v>1179</v>
      </c>
      <c r="C326" s="3">
        <v>43043</v>
      </c>
      <c r="D326" s="7" t="str">
        <f t="shared" si="10"/>
        <v>November</v>
      </c>
      <c r="E326" s="3">
        <f t="shared" si="11"/>
        <v>43069</v>
      </c>
      <c r="F326" s="3">
        <v>43163</v>
      </c>
      <c r="G326" t="s">
        <v>50</v>
      </c>
      <c r="H326" t="s">
        <v>1180</v>
      </c>
      <c r="I326" t="s">
        <v>1181</v>
      </c>
      <c r="J326" t="s">
        <v>41</v>
      </c>
      <c r="K326" t="s">
        <v>27</v>
      </c>
      <c r="L326" t="s">
        <v>1182</v>
      </c>
      <c r="M326" t="s">
        <v>43</v>
      </c>
      <c r="N326">
        <v>92345</v>
      </c>
      <c r="O326" t="s">
        <v>44</v>
      </c>
      <c r="P326" t="s">
        <v>1183</v>
      </c>
      <c r="Q326" t="s">
        <v>71</v>
      </c>
      <c r="R326" t="s">
        <v>161</v>
      </c>
      <c r="S326" t="s">
        <v>1184</v>
      </c>
      <c r="T326" s="4">
        <v>99.99</v>
      </c>
      <c r="U326">
        <v>1</v>
      </c>
      <c r="V326">
        <v>0</v>
      </c>
      <c r="W326" s="4">
        <v>34.996499999999997</v>
      </c>
    </row>
    <row r="327" spans="1:23" x14ac:dyDescent="0.3">
      <c r="A327">
        <v>326</v>
      </c>
      <c r="B327" t="s">
        <v>1185</v>
      </c>
      <c r="C327" s="3">
        <v>42805</v>
      </c>
      <c r="D327" s="7" t="str">
        <f t="shared" si="10"/>
        <v>March</v>
      </c>
      <c r="E327" s="3">
        <f t="shared" si="11"/>
        <v>42825</v>
      </c>
      <c r="F327" s="3">
        <v>42866</v>
      </c>
      <c r="G327" t="s">
        <v>23</v>
      </c>
      <c r="H327" t="s">
        <v>1186</v>
      </c>
      <c r="I327" t="s">
        <v>1187</v>
      </c>
      <c r="J327" t="s">
        <v>41</v>
      </c>
      <c r="K327" t="s">
        <v>27</v>
      </c>
      <c r="L327" t="s">
        <v>1188</v>
      </c>
      <c r="M327" t="s">
        <v>335</v>
      </c>
      <c r="N327">
        <v>37130</v>
      </c>
      <c r="O327" t="s">
        <v>30</v>
      </c>
      <c r="P327" t="s">
        <v>1189</v>
      </c>
      <c r="Q327" t="s">
        <v>32</v>
      </c>
      <c r="R327" t="s">
        <v>65</v>
      </c>
      <c r="S327" t="s">
        <v>1190</v>
      </c>
      <c r="T327" s="4">
        <v>15.992000000000001</v>
      </c>
      <c r="U327">
        <v>1</v>
      </c>
      <c r="V327">
        <v>0.2</v>
      </c>
      <c r="W327" s="4">
        <v>0.99950000000000006</v>
      </c>
    </row>
    <row r="328" spans="1:23" x14ac:dyDescent="0.3">
      <c r="A328">
        <v>327</v>
      </c>
      <c r="B328" t="s">
        <v>1191</v>
      </c>
      <c r="C328" s="3">
        <v>43259</v>
      </c>
      <c r="D328" s="7" t="str">
        <f t="shared" si="10"/>
        <v>June</v>
      </c>
      <c r="E328" s="3">
        <f t="shared" si="11"/>
        <v>43281</v>
      </c>
      <c r="F328" s="3">
        <v>42378</v>
      </c>
      <c r="G328" t="s">
        <v>188</v>
      </c>
      <c r="H328" t="s">
        <v>1192</v>
      </c>
      <c r="I328" t="s">
        <v>1193</v>
      </c>
      <c r="J328" t="s">
        <v>26</v>
      </c>
      <c r="K328" t="s">
        <v>27</v>
      </c>
      <c r="L328" t="s">
        <v>146</v>
      </c>
      <c r="M328" t="s">
        <v>147</v>
      </c>
      <c r="N328">
        <v>19143</v>
      </c>
      <c r="O328" t="s">
        <v>148</v>
      </c>
      <c r="P328" t="s">
        <v>1194</v>
      </c>
      <c r="Q328" t="s">
        <v>71</v>
      </c>
      <c r="R328" t="s">
        <v>72</v>
      </c>
      <c r="S328" t="s">
        <v>1195</v>
      </c>
      <c r="T328" s="4">
        <v>290.89800000000002</v>
      </c>
      <c r="U328">
        <v>3</v>
      </c>
      <c r="V328">
        <v>0.4</v>
      </c>
      <c r="W328" s="4">
        <v>-67.876199999999997</v>
      </c>
    </row>
    <row r="329" spans="1:23" x14ac:dyDescent="0.3">
      <c r="A329">
        <v>328</v>
      </c>
      <c r="B329" t="s">
        <v>1191</v>
      </c>
      <c r="C329" s="3">
        <v>43259</v>
      </c>
      <c r="D329" s="7" t="str">
        <f t="shared" si="10"/>
        <v>June</v>
      </c>
      <c r="E329" s="3">
        <f t="shared" si="11"/>
        <v>43281</v>
      </c>
      <c r="F329" s="3">
        <v>42378</v>
      </c>
      <c r="G329" t="s">
        <v>188</v>
      </c>
      <c r="H329" t="s">
        <v>1192</v>
      </c>
      <c r="I329" t="s">
        <v>1193</v>
      </c>
      <c r="J329" t="s">
        <v>26</v>
      </c>
      <c r="K329" t="s">
        <v>27</v>
      </c>
      <c r="L329" t="s">
        <v>146</v>
      </c>
      <c r="M329" t="s">
        <v>147</v>
      </c>
      <c r="N329">
        <v>19143</v>
      </c>
      <c r="O329" t="s">
        <v>148</v>
      </c>
      <c r="P329" t="s">
        <v>1196</v>
      </c>
      <c r="Q329" t="s">
        <v>46</v>
      </c>
      <c r="R329" t="s">
        <v>59</v>
      </c>
      <c r="S329" t="s">
        <v>1197</v>
      </c>
      <c r="T329" s="4">
        <v>54.223999999999997</v>
      </c>
      <c r="U329">
        <v>2</v>
      </c>
      <c r="V329">
        <v>0.2</v>
      </c>
      <c r="W329" s="4">
        <v>3.3889999999999998</v>
      </c>
    </row>
    <row r="330" spans="1:23" x14ac:dyDescent="0.3">
      <c r="A330">
        <v>329</v>
      </c>
      <c r="B330" t="s">
        <v>1191</v>
      </c>
      <c r="C330" s="3">
        <v>43259</v>
      </c>
      <c r="D330" s="7" t="str">
        <f t="shared" si="10"/>
        <v>June</v>
      </c>
      <c r="E330" s="3">
        <f t="shared" si="11"/>
        <v>43281</v>
      </c>
      <c r="F330" s="3">
        <v>42378</v>
      </c>
      <c r="G330" t="s">
        <v>188</v>
      </c>
      <c r="H330" t="s">
        <v>1192</v>
      </c>
      <c r="I330" t="s">
        <v>1193</v>
      </c>
      <c r="J330" t="s">
        <v>26</v>
      </c>
      <c r="K330" t="s">
        <v>27</v>
      </c>
      <c r="L330" t="s">
        <v>146</v>
      </c>
      <c r="M330" t="s">
        <v>147</v>
      </c>
      <c r="N330">
        <v>19143</v>
      </c>
      <c r="O330" t="s">
        <v>148</v>
      </c>
      <c r="P330" t="s">
        <v>1198</v>
      </c>
      <c r="Q330" t="s">
        <v>32</v>
      </c>
      <c r="R330" t="s">
        <v>36</v>
      </c>
      <c r="S330" t="s">
        <v>1199</v>
      </c>
      <c r="T330" s="4">
        <v>786.74400000000003</v>
      </c>
      <c r="U330">
        <v>4</v>
      </c>
      <c r="V330">
        <v>0.3</v>
      </c>
      <c r="W330" s="4">
        <v>-258.5016</v>
      </c>
    </row>
    <row r="331" spans="1:23" x14ac:dyDescent="0.3">
      <c r="A331">
        <v>330</v>
      </c>
      <c r="B331" t="s">
        <v>1191</v>
      </c>
      <c r="C331" s="3">
        <v>43259</v>
      </c>
      <c r="D331" s="7" t="str">
        <f t="shared" si="10"/>
        <v>June</v>
      </c>
      <c r="E331" s="3">
        <f t="shared" si="11"/>
        <v>43281</v>
      </c>
      <c r="F331" s="3">
        <v>42378</v>
      </c>
      <c r="G331" t="s">
        <v>188</v>
      </c>
      <c r="H331" t="s">
        <v>1192</v>
      </c>
      <c r="I331" t="s">
        <v>1193</v>
      </c>
      <c r="J331" t="s">
        <v>26</v>
      </c>
      <c r="K331" t="s">
        <v>27</v>
      </c>
      <c r="L331" t="s">
        <v>146</v>
      </c>
      <c r="M331" t="s">
        <v>147</v>
      </c>
      <c r="N331">
        <v>19143</v>
      </c>
      <c r="O331" t="s">
        <v>148</v>
      </c>
      <c r="P331" t="s">
        <v>1200</v>
      </c>
      <c r="Q331" t="s">
        <v>46</v>
      </c>
      <c r="R331" t="s">
        <v>47</v>
      </c>
      <c r="S331" t="s">
        <v>1201</v>
      </c>
      <c r="T331" s="4">
        <v>100.24</v>
      </c>
      <c r="U331">
        <v>10</v>
      </c>
      <c r="V331">
        <v>0.2</v>
      </c>
      <c r="W331" s="4">
        <v>33.831000000000003</v>
      </c>
    </row>
    <row r="332" spans="1:23" x14ac:dyDescent="0.3">
      <c r="A332">
        <v>331</v>
      </c>
      <c r="B332" t="s">
        <v>1191</v>
      </c>
      <c r="C332" s="3">
        <v>43259</v>
      </c>
      <c r="D332" s="7" t="str">
        <f t="shared" si="10"/>
        <v>June</v>
      </c>
      <c r="E332" s="3">
        <f t="shared" si="11"/>
        <v>43281</v>
      </c>
      <c r="F332" s="3">
        <v>42378</v>
      </c>
      <c r="G332" t="s">
        <v>188</v>
      </c>
      <c r="H332" t="s">
        <v>1192</v>
      </c>
      <c r="I332" t="s">
        <v>1193</v>
      </c>
      <c r="J332" t="s">
        <v>26</v>
      </c>
      <c r="K332" t="s">
        <v>27</v>
      </c>
      <c r="L332" t="s">
        <v>146</v>
      </c>
      <c r="M332" t="s">
        <v>147</v>
      </c>
      <c r="N332">
        <v>19143</v>
      </c>
      <c r="O332" t="s">
        <v>148</v>
      </c>
      <c r="P332" t="s">
        <v>1202</v>
      </c>
      <c r="Q332" t="s">
        <v>46</v>
      </c>
      <c r="R332" t="s">
        <v>75</v>
      </c>
      <c r="S332" t="s">
        <v>1203</v>
      </c>
      <c r="T332" s="4">
        <v>37.764000000000003</v>
      </c>
      <c r="U332">
        <v>6</v>
      </c>
      <c r="V332">
        <v>0.7</v>
      </c>
      <c r="W332" s="4">
        <v>-27.6936</v>
      </c>
    </row>
    <row r="333" spans="1:23" x14ac:dyDescent="0.3">
      <c r="A333">
        <v>332</v>
      </c>
      <c r="B333" t="s">
        <v>1204</v>
      </c>
      <c r="C333" s="3">
        <v>43104</v>
      </c>
      <c r="D333" s="7" t="str">
        <f t="shared" si="10"/>
        <v>January</v>
      </c>
      <c r="E333" s="3">
        <f t="shared" si="11"/>
        <v>43131</v>
      </c>
      <c r="F333" s="3">
        <v>43224</v>
      </c>
      <c r="G333" t="s">
        <v>23</v>
      </c>
      <c r="H333" t="s">
        <v>1205</v>
      </c>
      <c r="I333" t="s">
        <v>1206</v>
      </c>
      <c r="J333" t="s">
        <v>26</v>
      </c>
      <c r="K333" t="s">
        <v>27</v>
      </c>
      <c r="L333" t="s">
        <v>146</v>
      </c>
      <c r="M333" t="s">
        <v>147</v>
      </c>
      <c r="N333">
        <v>19134</v>
      </c>
      <c r="O333" t="s">
        <v>148</v>
      </c>
      <c r="P333" t="s">
        <v>1207</v>
      </c>
      <c r="Q333" t="s">
        <v>71</v>
      </c>
      <c r="R333" t="s">
        <v>72</v>
      </c>
      <c r="S333" t="s">
        <v>1208</v>
      </c>
      <c r="T333" s="4">
        <v>82.8</v>
      </c>
      <c r="U333">
        <v>2</v>
      </c>
      <c r="V333">
        <v>0.4</v>
      </c>
      <c r="W333" s="4">
        <v>-20.7</v>
      </c>
    </row>
    <row r="334" spans="1:23" x14ac:dyDescent="0.3">
      <c r="A334">
        <v>333</v>
      </c>
      <c r="B334" t="s">
        <v>1204</v>
      </c>
      <c r="C334" s="3">
        <v>43104</v>
      </c>
      <c r="D334" s="7" t="str">
        <f t="shared" si="10"/>
        <v>January</v>
      </c>
      <c r="E334" s="3">
        <f t="shared" si="11"/>
        <v>43131</v>
      </c>
      <c r="F334" s="3">
        <v>43224</v>
      </c>
      <c r="G334" t="s">
        <v>23</v>
      </c>
      <c r="H334" t="s">
        <v>1205</v>
      </c>
      <c r="I334" t="s">
        <v>1206</v>
      </c>
      <c r="J334" t="s">
        <v>26</v>
      </c>
      <c r="K334" t="s">
        <v>27</v>
      </c>
      <c r="L334" t="s">
        <v>146</v>
      </c>
      <c r="M334" t="s">
        <v>147</v>
      </c>
      <c r="N334">
        <v>19134</v>
      </c>
      <c r="O334" t="s">
        <v>148</v>
      </c>
      <c r="P334" t="s">
        <v>1209</v>
      </c>
      <c r="Q334" t="s">
        <v>46</v>
      </c>
      <c r="R334" t="s">
        <v>75</v>
      </c>
      <c r="S334" t="s">
        <v>1210</v>
      </c>
      <c r="T334" s="4">
        <v>20.724</v>
      </c>
      <c r="U334">
        <v>2</v>
      </c>
      <c r="V334">
        <v>0.7</v>
      </c>
      <c r="W334" s="4">
        <v>-13.816000000000001</v>
      </c>
    </row>
    <row r="335" spans="1:23" x14ac:dyDescent="0.3">
      <c r="A335">
        <v>334</v>
      </c>
      <c r="B335" t="s">
        <v>1204</v>
      </c>
      <c r="C335" s="3">
        <v>43104</v>
      </c>
      <c r="D335" s="7" t="str">
        <f t="shared" si="10"/>
        <v>January</v>
      </c>
      <c r="E335" s="3">
        <f t="shared" si="11"/>
        <v>43131</v>
      </c>
      <c r="F335" s="3">
        <v>43224</v>
      </c>
      <c r="G335" t="s">
        <v>23</v>
      </c>
      <c r="H335" t="s">
        <v>1205</v>
      </c>
      <c r="I335" t="s">
        <v>1206</v>
      </c>
      <c r="J335" t="s">
        <v>26</v>
      </c>
      <c r="K335" t="s">
        <v>27</v>
      </c>
      <c r="L335" t="s">
        <v>146</v>
      </c>
      <c r="M335" t="s">
        <v>147</v>
      </c>
      <c r="N335">
        <v>19134</v>
      </c>
      <c r="O335" t="s">
        <v>148</v>
      </c>
      <c r="P335" t="s">
        <v>1211</v>
      </c>
      <c r="Q335" t="s">
        <v>46</v>
      </c>
      <c r="R335" t="s">
        <v>75</v>
      </c>
      <c r="S335" t="s">
        <v>1212</v>
      </c>
      <c r="T335" s="4">
        <v>4.8959999999999999</v>
      </c>
      <c r="U335">
        <v>3</v>
      </c>
      <c r="V335">
        <v>0.7</v>
      </c>
      <c r="W335" s="4">
        <v>-3.4272</v>
      </c>
    </row>
    <row r="336" spans="1:23" x14ac:dyDescent="0.3">
      <c r="A336">
        <v>335</v>
      </c>
      <c r="B336" t="s">
        <v>1213</v>
      </c>
      <c r="C336" s="3">
        <v>42013</v>
      </c>
      <c r="D336" s="7" t="str">
        <f t="shared" si="10"/>
        <v>January</v>
      </c>
      <c r="E336" s="3">
        <f t="shared" si="11"/>
        <v>42035</v>
      </c>
      <c r="F336" s="3">
        <v>42103</v>
      </c>
      <c r="G336" t="s">
        <v>23</v>
      </c>
      <c r="H336" t="s">
        <v>1214</v>
      </c>
      <c r="I336" t="s">
        <v>1215</v>
      </c>
      <c r="J336" t="s">
        <v>26</v>
      </c>
      <c r="K336" t="s">
        <v>27</v>
      </c>
      <c r="L336" t="s">
        <v>42</v>
      </c>
      <c r="M336" t="s">
        <v>43</v>
      </c>
      <c r="N336">
        <v>90045</v>
      </c>
      <c r="O336" t="s">
        <v>44</v>
      </c>
      <c r="P336" t="s">
        <v>1216</v>
      </c>
      <c r="Q336" t="s">
        <v>46</v>
      </c>
      <c r="R336" t="s">
        <v>75</v>
      </c>
      <c r="S336" t="s">
        <v>1217</v>
      </c>
      <c r="T336" s="4">
        <v>4.7519999999999998</v>
      </c>
      <c r="U336">
        <v>1</v>
      </c>
      <c r="V336">
        <v>0.2</v>
      </c>
      <c r="W336" s="4">
        <v>1.6037999999999999</v>
      </c>
    </row>
    <row r="337" spans="1:23" x14ac:dyDescent="0.3">
      <c r="A337">
        <v>336</v>
      </c>
      <c r="B337" t="s">
        <v>1213</v>
      </c>
      <c r="C337" s="3">
        <v>42013</v>
      </c>
      <c r="D337" s="7" t="str">
        <f t="shared" si="10"/>
        <v>January</v>
      </c>
      <c r="E337" s="3">
        <f t="shared" si="11"/>
        <v>42035</v>
      </c>
      <c r="F337" s="3">
        <v>42103</v>
      </c>
      <c r="G337" t="s">
        <v>23</v>
      </c>
      <c r="H337" t="s">
        <v>1214</v>
      </c>
      <c r="I337" t="s">
        <v>1215</v>
      </c>
      <c r="J337" t="s">
        <v>26</v>
      </c>
      <c r="K337" t="s">
        <v>27</v>
      </c>
      <c r="L337" t="s">
        <v>42</v>
      </c>
      <c r="M337" t="s">
        <v>43</v>
      </c>
      <c r="N337">
        <v>90045</v>
      </c>
      <c r="O337" t="s">
        <v>44</v>
      </c>
      <c r="P337" t="s">
        <v>1218</v>
      </c>
      <c r="Q337" t="s">
        <v>71</v>
      </c>
      <c r="R337" t="s">
        <v>1219</v>
      </c>
      <c r="S337" t="s">
        <v>1220</v>
      </c>
      <c r="T337" s="4">
        <v>959.98400000000004</v>
      </c>
      <c r="U337">
        <v>2</v>
      </c>
      <c r="V337">
        <v>0.2</v>
      </c>
      <c r="W337" s="4">
        <v>335.99439999999998</v>
      </c>
    </row>
    <row r="338" spans="1:23" x14ac:dyDescent="0.3">
      <c r="A338">
        <v>337</v>
      </c>
      <c r="B338" t="s">
        <v>1213</v>
      </c>
      <c r="C338" s="3">
        <v>42013</v>
      </c>
      <c r="D338" s="7" t="str">
        <f t="shared" si="10"/>
        <v>January</v>
      </c>
      <c r="E338" s="3">
        <f t="shared" si="11"/>
        <v>42035</v>
      </c>
      <c r="F338" s="3">
        <v>42103</v>
      </c>
      <c r="G338" t="s">
        <v>23</v>
      </c>
      <c r="H338" t="s">
        <v>1214</v>
      </c>
      <c r="I338" t="s">
        <v>1215</v>
      </c>
      <c r="J338" t="s">
        <v>26</v>
      </c>
      <c r="K338" t="s">
        <v>27</v>
      </c>
      <c r="L338" t="s">
        <v>42</v>
      </c>
      <c r="M338" t="s">
        <v>43</v>
      </c>
      <c r="N338">
        <v>90045</v>
      </c>
      <c r="O338" t="s">
        <v>44</v>
      </c>
      <c r="P338" t="s">
        <v>1221</v>
      </c>
      <c r="Q338" t="s">
        <v>46</v>
      </c>
      <c r="R338" t="s">
        <v>75</v>
      </c>
      <c r="S338" t="s">
        <v>1222</v>
      </c>
      <c r="T338" s="4">
        <v>14.368</v>
      </c>
      <c r="U338">
        <v>4</v>
      </c>
      <c r="V338">
        <v>0.2</v>
      </c>
      <c r="W338" s="4">
        <v>4.49</v>
      </c>
    </row>
    <row r="339" spans="1:23" x14ac:dyDescent="0.3">
      <c r="A339">
        <v>338</v>
      </c>
      <c r="B339" t="s">
        <v>1223</v>
      </c>
      <c r="C339" s="3">
        <v>41980</v>
      </c>
      <c r="D339" s="7" t="str">
        <f t="shared" si="10"/>
        <v>December</v>
      </c>
      <c r="E339" s="3">
        <f t="shared" si="11"/>
        <v>42004</v>
      </c>
      <c r="F339" s="3">
        <v>42131</v>
      </c>
      <c r="G339" t="s">
        <v>50</v>
      </c>
      <c r="H339" t="s">
        <v>1224</v>
      </c>
      <c r="I339" t="s">
        <v>1225</v>
      </c>
      <c r="J339" t="s">
        <v>41</v>
      </c>
      <c r="K339" t="s">
        <v>27</v>
      </c>
      <c r="L339" t="s">
        <v>127</v>
      </c>
      <c r="M339" t="s">
        <v>43</v>
      </c>
      <c r="N339">
        <v>94122</v>
      </c>
      <c r="O339" t="s">
        <v>44</v>
      </c>
      <c r="P339" t="s">
        <v>1226</v>
      </c>
      <c r="Q339" t="s">
        <v>46</v>
      </c>
      <c r="R339" t="s">
        <v>75</v>
      </c>
      <c r="S339" t="s">
        <v>1227</v>
      </c>
      <c r="T339" s="4">
        <v>7.7119999999999997</v>
      </c>
      <c r="U339">
        <v>2</v>
      </c>
      <c r="V339">
        <v>0.2</v>
      </c>
      <c r="W339" s="4">
        <v>2.7955999999999999</v>
      </c>
    </row>
    <row r="340" spans="1:23" x14ac:dyDescent="0.3">
      <c r="A340">
        <v>339</v>
      </c>
      <c r="B340" t="s">
        <v>1223</v>
      </c>
      <c r="C340" s="3">
        <v>41980</v>
      </c>
      <c r="D340" s="7" t="str">
        <f t="shared" si="10"/>
        <v>December</v>
      </c>
      <c r="E340" s="3">
        <f t="shared" si="11"/>
        <v>42004</v>
      </c>
      <c r="F340" s="3">
        <v>42131</v>
      </c>
      <c r="G340" t="s">
        <v>50</v>
      </c>
      <c r="H340" t="s">
        <v>1224</v>
      </c>
      <c r="I340" t="s">
        <v>1225</v>
      </c>
      <c r="J340" t="s">
        <v>41</v>
      </c>
      <c r="K340" t="s">
        <v>27</v>
      </c>
      <c r="L340" t="s">
        <v>127</v>
      </c>
      <c r="M340" t="s">
        <v>43</v>
      </c>
      <c r="N340">
        <v>94122</v>
      </c>
      <c r="O340" t="s">
        <v>44</v>
      </c>
      <c r="P340" t="s">
        <v>1228</v>
      </c>
      <c r="Q340" t="s">
        <v>32</v>
      </c>
      <c r="R340" t="s">
        <v>56</v>
      </c>
      <c r="S340" t="s">
        <v>1229</v>
      </c>
      <c r="T340" s="4">
        <v>698.35199999999998</v>
      </c>
      <c r="U340">
        <v>3</v>
      </c>
      <c r="V340">
        <v>0.2</v>
      </c>
      <c r="W340" s="4">
        <v>-17.4588</v>
      </c>
    </row>
    <row r="341" spans="1:23" x14ac:dyDescent="0.3">
      <c r="A341">
        <v>340</v>
      </c>
      <c r="B341" t="s">
        <v>1230</v>
      </c>
      <c r="C341" s="3">
        <v>42649</v>
      </c>
      <c r="D341" s="7" t="str">
        <f t="shared" si="10"/>
        <v>October</v>
      </c>
      <c r="E341" s="3">
        <f t="shared" si="11"/>
        <v>42674</v>
      </c>
      <c r="F341" s="3">
        <v>42772</v>
      </c>
      <c r="G341" t="s">
        <v>23</v>
      </c>
      <c r="H341" t="s">
        <v>918</v>
      </c>
      <c r="I341" t="s">
        <v>919</v>
      </c>
      <c r="J341" t="s">
        <v>26</v>
      </c>
      <c r="K341" t="s">
        <v>27</v>
      </c>
      <c r="L341" t="s">
        <v>1231</v>
      </c>
      <c r="M341" t="s">
        <v>121</v>
      </c>
      <c r="N341">
        <v>84041</v>
      </c>
      <c r="O341" t="s">
        <v>44</v>
      </c>
      <c r="P341" t="s">
        <v>1232</v>
      </c>
      <c r="Q341" t="s">
        <v>46</v>
      </c>
      <c r="R341" t="s">
        <v>269</v>
      </c>
      <c r="S341" t="s">
        <v>1233</v>
      </c>
      <c r="T341" s="4">
        <v>4.96</v>
      </c>
      <c r="U341">
        <v>4</v>
      </c>
      <c r="V341">
        <v>0</v>
      </c>
      <c r="W341" s="4">
        <v>2.3311999999999999</v>
      </c>
    </row>
    <row r="342" spans="1:23" x14ac:dyDescent="0.3">
      <c r="A342">
        <v>341</v>
      </c>
      <c r="B342" t="s">
        <v>1234</v>
      </c>
      <c r="C342" s="3">
        <v>42008</v>
      </c>
      <c r="D342" s="7" t="str">
        <f t="shared" si="10"/>
        <v>January</v>
      </c>
      <c r="E342" s="3">
        <f t="shared" si="11"/>
        <v>42035</v>
      </c>
      <c r="F342" s="3">
        <v>42128</v>
      </c>
      <c r="G342" t="s">
        <v>23</v>
      </c>
      <c r="H342" t="s">
        <v>582</v>
      </c>
      <c r="I342" t="s">
        <v>583</v>
      </c>
      <c r="J342" t="s">
        <v>41</v>
      </c>
      <c r="K342" t="s">
        <v>27</v>
      </c>
      <c r="L342" t="s">
        <v>146</v>
      </c>
      <c r="M342" t="s">
        <v>147</v>
      </c>
      <c r="N342">
        <v>19140</v>
      </c>
      <c r="O342" t="s">
        <v>148</v>
      </c>
      <c r="P342" t="s">
        <v>1235</v>
      </c>
      <c r="Q342" t="s">
        <v>46</v>
      </c>
      <c r="R342" t="s">
        <v>68</v>
      </c>
      <c r="S342" t="s">
        <v>1236</v>
      </c>
      <c r="T342" s="4">
        <v>17.856000000000002</v>
      </c>
      <c r="U342">
        <v>4</v>
      </c>
      <c r="V342">
        <v>0.2</v>
      </c>
      <c r="W342" s="4">
        <v>1.1160000000000001</v>
      </c>
    </row>
    <row r="343" spans="1:23" x14ac:dyDescent="0.3">
      <c r="A343">
        <v>342</v>
      </c>
      <c r="B343" t="s">
        <v>1234</v>
      </c>
      <c r="C343" s="3">
        <v>42008</v>
      </c>
      <c r="D343" s="7" t="str">
        <f t="shared" si="10"/>
        <v>January</v>
      </c>
      <c r="E343" s="3">
        <f t="shared" si="11"/>
        <v>42035</v>
      </c>
      <c r="F343" s="3">
        <v>42128</v>
      </c>
      <c r="G343" t="s">
        <v>23</v>
      </c>
      <c r="H343" t="s">
        <v>582</v>
      </c>
      <c r="I343" t="s">
        <v>583</v>
      </c>
      <c r="J343" t="s">
        <v>41</v>
      </c>
      <c r="K343" t="s">
        <v>27</v>
      </c>
      <c r="L343" t="s">
        <v>146</v>
      </c>
      <c r="M343" t="s">
        <v>147</v>
      </c>
      <c r="N343">
        <v>19140</v>
      </c>
      <c r="O343" t="s">
        <v>148</v>
      </c>
      <c r="P343" t="s">
        <v>97</v>
      </c>
      <c r="Q343" t="s">
        <v>46</v>
      </c>
      <c r="R343" t="s">
        <v>75</v>
      </c>
      <c r="S343" t="s">
        <v>98</v>
      </c>
      <c r="T343" s="4">
        <v>509.97</v>
      </c>
      <c r="U343">
        <v>10</v>
      </c>
      <c r="V343">
        <v>0.7</v>
      </c>
      <c r="W343" s="4">
        <v>-407.976</v>
      </c>
    </row>
    <row r="344" spans="1:23" x14ac:dyDescent="0.3">
      <c r="A344">
        <v>343</v>
      </c>
      <c r="B344" t="s">
        <v>1234</v>
      </c>
      <c r="C344" s="3">
        <v>42008</v>
      </c>
      <c r="D344" s="7" t="str">
        <f t="shared" si="10"/>
        <v>January</v>
      </c>
      <c r="E344" s="3">
        <f t="shared" si="11"/>
        <v>42035</v>
      </c>
      <c r="F344" s="3">
        <v>42128</v>
      </c>
      <c r="G344" t="s">
        <v>23</v>
      </c>
      <c r="H344" t="s">
        <v>582</v>
      </c>
      <c r="I344" t="s">
        <v>583</v>
      </c>
      <c r="J344" t="s">
        <v>41</v>
      </c>
      <c r="K344" t="s">
        <v>27</v>
      </c>
      <c r="L344" t="s">
        <v>146</v>
      </c>
      <c r="M344" t="s">
        <v>147</v>
      </c>
      <c r="N344">
        <v>19140</v>
      </c>
      <c r="O344" t="s">
        <v>148</v>
      </c>
      <c r="P344" t="s">
        <v>562</v>
      </c>
      <c r="Q344" t="s">
        <v>46</v>
      </c>
      <c r="R344" t="s">
        <v>269</v>
      </c>
      <c r="S344" t="s">
        <v>563</v>
      </c>
      <c r="T344" s="4">
        <v>30.992000000000001</v>
      </c>
      <c r="U344">
        <v>13</v>
      </c>
      <c r="V344">
        <v>0.2</v>
      </c>
      <c r="W344" s="4">
        <v>10.0724</v>
      </c>
    </row>
    <row r="345" spans="1:23" x14ac:dyDescent="0.3">
      <c r="A345">
        <v>344</v>
      </c>
      <c r="B345" t="s">
        <v>1234</v>
      </c>
      <c r="C345" s="3">
        <v>42008</v>
      </c>
      <c r="D345" s="7" t="str">
        <f t="shared" si="10"/>
        <v>January</v>
      </c>
      <c r="E345" s="3">
        <f t="shared" si="11"/>
        <v>42035</v>
      </c>
      <c r="F345" s="3">
        <v>42128</v>
      </c>
      <c r="G345" t="s">
        <v>23</v>
      </c>
      <c r="H345" t="s">
        <v>582</v>
      </c>
      <c r="I345" t="s">
        <v>583</v>
      </c>
      <c r="J345" t="s">
        <v>41</v>
      </c>
      <c r="K345" t="s">
        <v>27</v>
      </c>
      <c r="L345" t="s">
        <v>146</v>
      </c>
      <c r="M345" t="s">
        <v>147</v>
      </c>
      <c r="N345">
        <v>19140</v>
      </c>
      <c r="O345" t="s">
        <v>148</v>
      </c>
      <c r="P345" t="s">
        <v>1237</v>
      </c>
      <c r="Q345" t="s">
        <v>71</v>
      </c>
      <c r="R345" t="s">
        <v>72</v>
      </c>
      <c r="S345" t="s">
        <v>1238</v>
      </c>
      <c r="T345" s="4">
        <v>71.927999999999997</v>
      </c>
      <c r="U345">
        <v>12</v>
      </c>
      <c r="V345">
        <v>0.4</v>
      </c>
      <c r="W345" s="4">
        <v>8.3916000000000004</v>
      </c>
    </row>
    <row r="346" spans="1:23" x14ac:dyDescent="0.3">
      <c r="A346">
        <v>345</v>
      </c>
      <c r="B346" t="s">
        <v>1239</v>
      </c>
      <c r="C346" s="3">
        <v>42594</v>
      </c>
      <c r="D346" s="7" t="str">
        <f t="shared" si="10"/>
        <v>August</v>
      </c>
      <c r="E346" s="3">
        <f t="shared" si="11"/>
        <v>42613</v>
      </c>
      <c r="F346" s="3">
        <v>42716</v>
      </c>
      <c r="G346" t="s">
        <v>50</v>
      </c>
      <c r="H346" t="s">
        <v>697</v>
      </c>
      <c r="I346" t="s">
        <v>698</v>
      </c>
      <c r="J346" t="s">
        <v>26</v>
      </c>
      <c r="K346" t="s">
        <v>27</v>
      </c>
      <c r="L346" t="s">
        <v>1240</v>
      </c>
      <c r="M346" t="s">
        <v>104</v>
      </c>
      <c r="N346">
        <v>78745</v>
      </c>
      <c r="O346" t="s">
        <v>105</v>
      </c>
      <c r="P346" t="s">
        <v>122</v>
      </c>
      <c r="Q346" t="s">
        <v>46</v>
      </c>
      <c r="R346" t="s">
        <v>59</v>
      </c>
      <c r="S346" t="s">
        <v>123</v>
      </c>
      <c r="T346" s="4">
        <v>88.8</v>
      </c>
      <c r="U346">
        <v>4</v>
      </c>
      <c r="V346">
        <v>0.2</v>
      </c>
      <c r="W346" s="4">
        <v>-2.2200000000000002</v>
      </c>
    </row>
    <row r="347" spans="1:23" x14ac:dyDescent="0.3">
      <c r="A347">
        <v>346</v>
      </c>
      <c r="B347" t="s">
        <v>1241</v>
      </c>
      <c r="C347" s="3">
        <v>43165</v>
      </c>
      <c r="D347" s="7" t="str">
        <f t="shared" si="10"/>
        <v>March</v>
      </c>
      <c r="E347" s="3">
        <f t="shared" si="11"/>
        <v>43190</v>
      </c>
      <c r="F347" s="3">
        <v>43287</v>
      </c>
      <c r="G347" t="s">
        <v>50</v>
      </c>
      <c r="H347" t="s">
        <v>1242</v>
      </c>
      <c r="I347" t="s">
        <v>1243</v>
      </c>
      <c r="J347" t="s">
        <v>26</v>
      </c>
      <c r="K347" t="s">
        <v>27</v>
      </c>
      <c r="L347" t="s">
        <v>127</v>
      </c>
      <c r="M347" t="s">
        <v>43</v>
      </c>
      <c r="N347">
        <v>94122</v>
      </c>
      <c r="O347" t="s">
        <v>44</v>
      </c>
      <c r="P347" t="s">
        <v>558</v>
      </c>
      <c r="Q347" t="s">
        <v>71</v>
      </c>
      <c r="R347" t="s">
        <v>72</v>
      </c>
      <c r="S347" t="s">
        <v>559</v>
      </c>
      <c r="T347" s="4">
        <v>47.975999999999999</v>
      </c>
      <c r="U347">
        <v>3</v>
      </c>
      <c r="V347">
        <v>0.2</v>
      </c>
      <c r="W347" s="4">
        <v>4.7976000000000001</v>
      </c>
    </row>
    <row r="348" spans="1:23" x14ac:dyDescent="0.3">
      <c r="A348">
        <v>347</v>
      </c>
      <c r="B348" t="s">
        <v>1244</v>
      </c>
      <c r="C348" s="3">
        <v>42954</v>
      </c>
      <c r="D348" s="7" t="str">
        <f t="shared" si="10"/>
        <v>August</v>
      </c>
      <c r="E348" s="3">
        <f t="shared" si="11"/>
        <v>42978</v>
      </c>
      <c r="F348" s="3">
        <v>43076</v>
      </c>
      <c r="G348" t="s">
        <v>50</v>
      </c>
      <c r="H348" t="s">
        <v>1245</v>
      </c>
      <c r="I348" t="s">
        <v>1246</v>
      </c>
      <c r="J348" t="s">
        <v>26</v>
      </c>
      <c r="K348" t="s">
        <v>27</v>
      </c>
      <c r="L348" t="s">
        <v>1247</v>
      </c>
      <c r="M348" t="s">
        <v>1248</v>
      </c>
      <c r="N348">
        <v>1852</v>
      </c>
      <c r="O348" t="s">
        <v>148</v>
      </c>
      <c r="P348" t="s">
        <v>784</v>
      </c>
      <c r="Q348" t="s">
        <v>46</v>
      </c>
      <c r="R348" t="s">
        <v>68</v>
      </c>
      <c r="S348" t="s">
        <v>785</v>
      </c>
      <c r="T348" s="4">
        <v>7.56</v>
      </c>
      <c r="U348">
        <v>3</v>
      </c>
      <c r="V348">
        <v>0</v>
      </c>
      <c r="W348" s="4">
        <v>3.0996000000000001</v>
      </c>
    </row>
    <row r="349" spans="1:23" x14ac:dyDescent="0.3">
      <c r="A349">
        <v>348</v>
      </c>
      <c r="B349" t="s">
        <v>1244</v>
      </c>
      <c r="C349" s="3">
        <v>42954</v>
      </c>
      <c r="D349" s="7" t="str">
        <f t="shared" si="10"/>
        <v>August</v>
      </c>
      <c r="E349" s="3">
        <f t="shared" si="11"/>
        <v>42978</v>
      </c>
      <c r="F349" s="3">
        <v>43076</v>
      </c>
      <c r="G349" t="s">
        <v>50</v>
      </c>
      <c r="H349" t="s">
        <v>1245</v>
      </c>
      <c r="I349" t="s">
        <v>1246</v>
      </c>
      <c r="J349" t="s">
        <v>26</v>
      </c>
      <c r="K349" t="s">
        <v>27</v>
      </c>
      <c r="L349" t="s">
        <v>1247</v>
      </c>
      <c r="M349" t="s">
        <v>1248</v>
      </c>
      <c r="N349">
        <v>1852</v>
      </c>
      <c r="O349" t="s">
        <v>148</v>
      </c>
      <c r="P349" t="s">
        <v>185</v>
      </c>
      <c r="Q349" t="s">
        <v>46</v>
      </c>
      <c r="R349" t="s">
        <v>90</v>
      </c>
      <c r="S349" t="s">
        <v>186</v>
      </c>
      <c r="T349" s="4">
        <v>24.56</v>
      </c>
      <c r="U349">
        <v>2</v>
      </c>
      <c r="V349">
        <v>0</v>
      </c>
      <c r="W349" s="4">
        <v>11.543200000000001</v>
      </c>
    </row>
    <row r="350" spans="1:23" x14ac:dyDescent="0.3">
      <c r="A350">
        <v>349</v>
      </c>
      <c r="B350" t="s">
        <v>1244</v>
      </c>
      <c r="C350" s="3">
        <v>42954</v>
      </c>
      <c r="D350" s="7" t="str">
        <f t="shared" si="10"/>
        <v>August</v>
      </c>
      <c r="E350" s="3">
        <f t="shared" si="11"/>
        <v>42978</v>
      </c>
      <c r="F350" s="3">
        <v>43076</v>
      </c>
      <c r="G350" t="s">
        <v>50</v>
      </c>
      <c r="H350" t="s">
        <v>1245</v>
      </c>
      <c r="I350" t="s">
        <v>1246</v>
      </c>
      <c r="J350" t="s">
        <v>26</v>
      </c>
      <c r="K350" t="s">
        <v>27</v>
      </c>
      <c r="L350" t="s">
        <v>1247</v>
      </c>
      <c r="M350" t="s">
        <v>1248</v>
      </c>
      <c r="N350">
        <v>1852</v>
      </c>
      <c r="O350" t="s">
        <v>148</v>
      </c>
      <c r="P350" t="s">
        <v>1249</v>
      </c>
      <c r="Q350" t="s">
        <v>46</v>
      </c>
      <c r="R350" t="s">
        <v>68</v>
      </c>
      <c r="S350" t="s">
        <v>1250</v>
      </c>
      <c r="T350" s="4">
        <v>12.96</v>
      </c>
      <c r="U350">
        <v>2</v>
      </c>
      <c r="V350">
        <v>0</v>
      </c>
      <c r="W350" s="4">
        <v>4.1471999999999998</v>
      </c>
    </row>
    <row r="351" spans="1:23" x14ac:dyDescent="0.3">
      <c r="A351">
        <v>350</v>
      </c>
      <c r="B351" t="s">
        <v>1251</v>
      </c>
      <c r="C351" s="3">
        <v>42378</v>
      </c>
      <c r="D351" s="7" t="str">
        <f t="shared" si="10"/>
        <v>January</v>
      </c>
      <c r="E351" s="3">
        <f t="shared" si="11"/>
        <v>42400</v>
      </c>
      <c r="F351" s="3">
        <v>42438</v>
      </c>
      <c r="G351" t="s">
        <v>188</v>
      </c>
      <c r="H351" t="s">
        <v>1252</v>
      </c>
      <c r="I351" t="s">
        <v>1253</v>
      </c>
      <c r="J351" t="s">
        <v>102</v>
      </c>
      <c r="K351" t="s">
        <v>27</v>
      </c>
      <c r="L351" t="s">
        <v>266</v>
      </c>
      <c r="M351" t="s">
        <v>267</v>
      </c>
      <c r="N351">
        <v>10009</v>
      </c>
      <c r="O351" t="s">
        <v>148</v>
      </c>
      <c r="P351" t="s">
        <v>970</v>
      </c>
      <c r="Q351" t="s">
        <v>71</v>
      </c>
      <c r="R351" t="s">
        <v>161</v>
      </c>
      <c r="S351" t="s">
        <v>971</v>
      </c>
      <c r="T351" s="4">
        <v>6.79</v>
      </c>
      <c r="U351">
        <v>1</v>
      </c>
      <c r="V351">
        <v>0</v>
      </c>
      <c r="W351" s="4">
        <v>2.3086000000000002</v>
      </c>
    </row>
    <row r="352" spans="1:23" x14ac:dyDescent="0.3">
      <c r="A352">
        <v>351</v>
      </c>
      <c r="B352" t="s">
        <v>1251</v>
      </c>
      <c r="C352" s="3">
        <v>42378</v>
      </c>
      <c r="D352" s="7" t="str">
        <f t="shared" si="10"/>
        <v>January</v>
      </c>
      <c r="E352" s="3">
        <f t="shared" si="11"/>
        <v>42400</v>
      </c>
      <c r="F352" s="3">
        <v>42438</v>
      </c>
      <c r="G352" t="s">
        <v>188</v>
      </c>
      <c r="H352" t="s">
        <v>1252</v>
      </c>
      <c r="I352" t="s">
        <v>1253</v>
      </c>
      <c r="J352" t="s">
        <v>102</v>
      </c>
      <c r="K352" t="s">
        <v>27</v>
      </c>
      <c r="L352" t="s">
        <v>266</v>
      </c>
      <c r="M352" t="s">
        <v>267</v>
      </c>
      <c r="N352">
        <v>10009</v>
      </c>
      <c r="O352" t="s">
        <v>148</v>
      </c>
      <c r="P352" t="s">
        <v>1254</v>
      </c>
      <c r="Q352" t="s">
        <v>46</v>
      </c>
      <c r="R352" t="s">
        <v>90</v>
      </c>
      <c r="S352" t="s">
        <v>1255</v>
      </c>
      <c r="T352" s="4">
        <v>24.56</v>
      </c>
      <c r="U352">
        <v>2</v>
      </c>
      <c r="V352">
        <v>0</v>
      </c>
      <c r="W352" s="4">
        <v>11.543200000000001</v>
      </c>
    </row>
    <row r="353" spans="1:23" x14ac:dyDescent="0.3">
      <c r="A353">
        <v>352</v>
      </c>
      <c r="B353" t="s">
        <v>1251</v>
      </c>
      <c r="C353" s="3">
        <v>42378</v>
      </c>
      <c r="D353" s="7" t="str">
        <f t="shared" si="10"/>
        <v>January</v>
      </c>
      <c r="E353" s="3">
        <f t="shared" si="11"/>
        <v>42400</v>
      </c>
      <c r="F353" s="3">
        <v>42438</v>
      </c>
      <c r="G353" t="s">
        <v>188</v>
      </c>
      <c r="H353" t="s">
        <v>1252</v>
      </c>
      <c r="I353" t="s">
        <v>1253</v>
      </c>
      <c r="J353" t="s">
        <v>102</v>
      </c>
      <c r="K353" t="s">
        <v>27</v>
      </c>
      <c r="L353" t="s">
        <v>266</v>
      </c>
      <c r="M353" t="s">
        <v>267</v>
      </c>
      <c r="N353">
        <v>10009</v>
      </c>
      <c r="O353" t="s">
        <v>148</v>
      </c>
      <c r="P353" t="s">
        <v>1256</v>
      </c>
      <c r="Q353" t="s">
        <v>46</v>
      </c>
      <c r="R353" t="s">
        <v>75</v>
      </c>
      <c r="S353" t="s">
        <v>1257</v>
      </c>
      <c r="T353" s="4">
        <v>3.048</v>
      </c>
      <c r="U353">
        <v>1</v>
      </c>
      <c r="V353">
        <v>0.2</v>
      </c>
      <c r="W353" s="4">
        <v>1.0668</v>
      </c>
    </row>
    <row r="354" spans="1:23" x14ac:dyDescent="0.3">
      <c r="A354">
        <v>353</v>
      </c>
      <c r="B354" t="s">
        <v>1251</v>
      </c>
      <c r="C354" s="3">
        <v>42378</v>
      </c>
      <c r="D354" s="7" t="str">
        <f t="shared" si="10"/>
        <v>January</v>
      </c>
      <c r="E354" s="3">
        <f t="shared" si="11"/>
        <v>42400</v>
      </c>
      <c r="F354" s="3">
        <v>42438</v>
      </c>
      <c r="G354" t="s">
        <v>188</v>
      </c>
      <c r="H354" t="s">
        <v>1252</v>
      </c>
      <c r="I354" t="s">
        <v>1253</v>
      </c>
      <c r="J354" t="s">
        <v>102</v>
      </c>
      <c r="K354" t="s">
        <v>27</v>
      </c>
      <c r="L354" t="s">
        <v>266</v>
      </c>
      <c r="M354" t="s">
        <v>267</v>
      </c>
      <c r="N354">
        <v>10009</v>
      </c>
      <c r="O354" t="s">
        <v>148</v>
      </c>
      <c r="P354" t="s">
        <v>1254</v>
      </c>
      <c r="Q354" t="s">
        <v>46</v>
      </c>
      <c r="R354" t="s">
        <v>90</v>
      </c>
      <c r="S354" t="s">
        <v>1255</v>
      </c>
      <c r="T354" s="4">
        <v>49.12</v>
      </c>
      <c r="U354">
        <v>4</v>
      </c>
      <c r="V354">
        <v>0</v>
      </c>
      <c r="W354" s="4">
        <v>23.086400000000001</v>
      </c>
    </row>
    <row r="355" spans="1:23" x14ac:dyDescent="0.3">
      <c r="A355">
        <v>354</v>
      </c>
      <c r="B355" t="s">
        <v>1251</v>
      </c>
      <c r="C355" s="3">
        <v>42378</v>
      </c>
      <c r="D355" s="7" t="str">
        <f t="shared" si="10"/>
        <v>January</v>
      </c>
      <c r="E355" s="3">
        <f t="shared" si="11"/>
        <v>42400</v>
      </c>
      <c r="F355" s="3">
        <v>42438</v>
      </c>
      <c r="G355" t="s">
        <v>188</v>
      </c>
      <c r="H355" t="s">
        <v>1252</v>
      </c>
      <c r="I355" t="s">
        <v>1253</v>
      </c>
      <c r="J355" t="s">
        <v>102</v>
      </c>
      <c r="K355" t="s">
        <v>27</v>
      </c>
      <c r="L355" t="s">
        <v>266</v>
      </c>
      <c r="M355" t="s">
        <v>267</v>
      </c>
      <c r="N355">
        <v>10009</v>
      </c>
      <c r="O355" t="s">
        <v>148</v>
      </c>
      <c r="P355" t="s">
        <v>1258</v>
      </c>
      <c r="Q355" t="s">
        <v>46</v>
      </c>
      <c r="R355" t="s">
        <v>75</v>
      </c>
      <c r="S355" t="s">
        <v>1259</v>
      </c>
      <c r="T355" s="4">
        <v>4355.1679999999997</v>
      </c>
      <c r="U355">
        <v>4</v>
      </c>
      <c r="V355">
        <v>0.2</v>
      </c>
      <c r="W355" s="4">
        <v>1415.4295999999999</v>
      </c>
    </row>
    <row r="356" spans="1:23" x14ac:dyDescent="0.3">
      <c r="A356">
        <v>355</v>
      </c>
      <c r="B356" t="s">
        <v>1260</v>
      </c>
      <c r="C356" s="3">
        <v>42586</v>
      </c>
      <c r="D356" s="7" t="str">
        <f t="shared" si="10"/>
        <v>August</v>
      </c>
      <c r="E356" s="3">
        <f t="shared" si="11"/>
        <v>42613</v>
      </c>
      <c r="F356" s="3">
        <v>42739</v>
      </c>
      <c r="G356" t="s">
        <v>50</v>
      </c>
      <c r="H356" t="s">
        <v>1261</v>
      </c>
      <c r="I356" t="s">
        <v>1262</v>
      </c>
      <c r="J356" t="s">
        <v>26</v>
      </c>
      <c r="K356" t="s">
        <v>27</v>
      </c>
      <c r="L356" t="s">
        <v>266</v>
      </c>
      <c r="M356" t="s">
        <v>267</v>
      </c>
      <c r="N356">
        <v>10035</v>
      </c>
      <c r="O356" t="s">
        <v>148</v>
      </c>
      <c r="P356" t="s">
        <v>1263</v>
      </c>
      <c r="Q356" t="s">
        <v>32</v>
      </c>
      <c r="R356" t="s">
        <v>33</v>
      </c>
      <c r="S356" t="s">
        <v>1264</v>
      </c>
      <c r="T356" s="4">
        <v>388.70400000000001</v>
      </c>
      <c r="U356">
        <v>6</v>
      </c>
      <c r="V356">
        <v>0.2</v>
      </c>
      <c r="W356" s="4">
        <v>-4.8587999999999996</v>
      </c>
    </row>
    <row r="357" spans="1:23" x14ac:dyDescent="0.3">
      <c r="A357">
        <v>356</v>
      </c>
      <c r="B357" t="s">
        <v>1260</v>
      </c>
      <c r="C357" s="3">
        <v>42586</v>
      </c>
      <c r="D357" s="7" t="str">
        <f t="shared" si="10"/>
        <v>August</v>
      </c>
      <c r="E357" s="3">
        <f t="shared" si="11"/>
        <v>42613</v>
      </c>
      <c r="F357" s="3">
        <v>42739</v>
      </c>
      <c r="G357" t="s">
        <v>50</v>
      </c>
      <c r="H357" t="s">
        <v>1261</v>
      </c>
      <c r="I357" t="s">
        <v>1262</v>
      </c>
      <c r="J357" t="s">
        <v>26</v>
      </c>
      <c r="K357" t="s">
        <v>27</v>
      </c>
      <c r="L357" t="s">
        <v>266</v>
      </c>
      <c r="M357" t="s">
        <v>267</v>
      </c>
      <c r="N357">
        <v>10035</v>
      </c>
      <c r="O357" t="s">
        <v>148</v>
      </c>
      <c r="P357" t="s">
        <v>1265</v>
      </c>
      <c r="Q357" t="s">
        <v>46</v>
      </c>
      <c r="R357" t="s">
        <v>173</v>
      </c>
      <c r="S357" t="s">
        <v>1266</v>
      </c>
      <c r="T357" s="4">
        <v>8.26</v>
      </c>
      <c r="U357">
        <v>2</v>
      </c>
      <c r="V357">
        <v>0</v>
      </c>
      <c r="W357" s="4">
        <v>3.7995999999999999</v>
      </c>
    </row>
    <row r="358" spans="1:23" x14ac:dyDescent="0.3">
      <c r="A358">
        <v>357</v>
      </c>
      <c r="B358" t="s">
        <v>1260</v>
      </c>
      <c r="C358" s="3">
        <v>42586</v>
      </c>
      <c r="D358" s="7" t="str">
        <f t="shared" si="10"/>
        <v>August</v>
      </c>
      <c r="E358" s="3">
        <f t="shared" si="11"/>
        <v>42613</v>
      </c>
      <c r="F358" s="3">
        <v>42739</v>
      </c>
      <c r="G358" t="s">
        <v>50</v>
      </c>
      <c r="H358" t="s">
        <v>1261</v>
      </c>
      <c r="I358" t="s">
        <v>1262</v>
      </c>
      <c r="J358" t="s">
        <v>26</v>
      </c>
      <c r="K358" t="s">
        <v>27</v>
      </c>
      <c r="L358" t="s">
        <v>266</v>
      </c>
      <c r="M358" t="s">
        <v>267</v>
      </c>
      <c r="N358">
        <v>10035</v>
      </c>
      <c r="O358" t="s">
        <v>148</v>
      </c>
      <c r="P358" t="s">
        <v>1267</v>
      </c>
      <c r="Q358" t="s">
        <v>46</v>
      </c>
      <c r="R358" t="s">
        <v>68</v>
      </c>
      <c r="S358" t="s">
        <v>1268</v>
      </c>
      <c r="T358" s="4">
        <v>17.04</v>
      </c>
      <c r="U358">
        <v>4</v>
      </c>
      <c r="V358">
        <v>0</v>
      </c>
      <c r="W358" s="4">
        <v>6.9863999999999997</v>
      </c>
    </row>
    <row r="359" spans="1:23" x14ac:dyDescent="0.3">
      <c r="A359">
        <v>358</v>
      </c>
      <c r="B359" t="s">
        <v>1260</v>
      </c>
      <c r="C359" s="3">
        <v>42586</v>
      </c>
      <c r="D359" s="7" t="str">
        <f t="shared" si="10"/>
        <v>August</v>
      </c>
      <c r="E359" s="3">
        <f t="shared" si="11"/>
        <v>42613</v>
      </c>
      <c r="F359" s="3">
        <v>42739</v>
      </c>
      <c r="G359" t="s">
        <v>50</v>
      </c>
      <c r="H359" t="s">
        <v>1261</v>
      </c>
      <c r="I359" t="s">
        <v>1262</v>
      </c>
      <c r="J359" t="s">
        <v>26</v>
      </c>
      <c r="K359" t="s">
        <v>27</v>
      </c>
      <c r="L359" t="s">
        <v>266</v>
      </c>
      <c r="M359" t="s">
        <v>267</v>
      </c>
      <c r="N359">
        <v>10035</v>
      </c>
      <c r="O359" t="s">
        <v>148</v>
      </c>
      <c r="P359" t="s">
        <v>1269</v>
      </c>
      <c r="Q359" t="s">
        <v>46</v>
      </c>
      <c r="R359" t="s">
        <v>90</v>
      </c>
      <c r="S359" t="s">
        <v>1270</v>
      </c>
      <c r="T359" s="4">
        <v>34.4</v>
      </c>
      <c r="U359">
        <v>5</v>
      </c>
      <c r="V359">
        <v>0</v>
      </c>
      <c r="W359" s="4">
        <v>15.824</v>
      </c>
    </row>
    <row r="360" spans="1:23" x14ac:dyDescent="0.3">
      <c r="A360">
        <v>359</v>
      </c>
      <c r="B360" t="s">
        <v>1271</v>
      </c>
      <c r="C360" s="3">
        <v>43043</v>
      </c>
      <c r="D360" s="7" t="str">
        <f t="shared" si="10"/>
        <v>November</v>
      </c>
      <c r="E360" s="3">
        <f t="shared" si="11"/>
        <v>43069</v>
      </c>
      <c r="F360" s="3">
        <v>43194</v>
      </c>
      <c r="G360" t="s">
        <v>50</v>
      </c>
      <c r="H360" t="s">
        <v>821</v>
      </c>
      <c r="I360" t="s">
        <v>822</v>
      </c>
      <c r="J360" t="s">
        <v>41</v>
      </c>
      <c r="K360" t="s">
        <v>27</v>
      </c>
      <c r="L360" t="s">
        <v>467</v>
      </c>
      <c r="M360" t="s">
        <v>88</v>
      </c>
      <c r="N360">
        <v>28205</v>
      </c>
      <c r="O360" t="s">
        <v>30</v>
      </c>
      <c r="P360" t="s">
        <v>804</v>
      </c>
      <c r="Q360" t="s">
        <v>46</v>
      </c>
      <c r="R360" t="s">
        <v>90</v>
      </c>
      <c r="S360" t="s">
        <v>805</v>
      </c>
      <c r="T360" s="4">
        <v>36.24</v>
      </c>
      <c r="U360">
        <v>5</v>
      </c>
      <c r="V360">
        <v>0.2</v>
      </c>
      <c r="W360" s="4">
        <v>11.324999999999999</v>
      </c>
    </row>
    <row r="361" spans="1:23" x14ac:dyDescent="0.3">
      <c r="A361">
        <v>360</v>
      </c>
      <c r="B361" t="s">
        <v>1272</v>
      </c>
      <c r="C361" s="3">
        <v>42950</v>
      </c>
      <c r="D361" s="7" t="str">
        <f t="shared" si="10"/>
        <v>August</v>
      </c>
      <c r="E361" s="3">
        <f t="shared" si="11"/>
        <v>42978</v>
      </c>
      <c r="F361" s="3">
        <v>43042</v>
      </c>
      <c r="G361" t="s">
        <v>188</v>
      </c>
      <c r="H361" t="s">
        <v>1273</v>
      </c>
      <c r="I361" t="s">
        <v>1274</v>
      </c>
      <c r="J361" t="s">
        <v>41</v>
      </c>
      <c r="K361" t="s">
        <v>27</v>
      </c>
      <c r="L361" t="s">
        <v>497</v>
      </c>
      <c r="M361" t="s">
        <v>1275</v>
      </c>
      <c r="N361">
        <v>31907</v>
      </c>
      <c r="O361" t="s">
        <v>30</v>
      </c>
      <c r="P361" t="s">
        <v>1276</v>
      </c>
      <c r="Q361" t="s">
        <v>46</v>
      </c>
      <c r="R361" t="s">
        <v>78</v>
      </c>
      <c r="S361" t="s">
        <v>1277</v>
      </c>
      <c r="T361" s="4">
        <v>647.84</v>
      </c>
      <c r="U361">
        <v>8</v>
      </c>
      <c r="V361">
        <v>0</v>
      </c>
      <c r="W361" s="4">
        <v>168.4384</v>
      </c>
    </row>
    <row r="362" spans="1:23" x14ac:dyDescent="0.3">
      <c r="A362">
        <v>361</v>
      </c>
      <c r="B362" t="s">
        <v>1272</v>
      </c>
      <c r="C362" s="3">
        <v>42950</v>
      </c>
      <c r="D362" s="7" t="str">
        <f t="shared" si="10"/>
        <v>August</v>
      </c>
      <c r="E362" s="3">
        <f t="shared" si="11"/>
        <v>42978</v>
      </c>
      <c r="F362" s="3">
        <v>43042</v>
      </c>
      <c r="G362" t="s">
        <v>188</v>
      </c>
      <c r="H362" t="s">
        <v>1273</v>
      </c>
      <c r="I362" t="s">
        <v>1274</v>
      </c>
      <c r="J362" t="s">
        <v>41</v>
      </c>
      <c r="K362" t="s">
        <v>27</v>
      </c>
      <c r="L362" t="s">
        <v>497</v>
      </c>
      <c r="M362" t="s">
        <v>1275</v>
      </c>
      <c r="N362">
        <v>31907</v>
      </c>
      <c r="O362" t="s">
        <v>30</v>
      </c>
      <c r="P362" t="s">
        <v>1278</v>
      </c>
      <c r="Q362" t="s">
        <v>46</v>
      </c>
      <c r="R362" t="s">
        <v>47</v>
      </c>
      <c r="S362" t="s">
        <v>1279</v>
      </c>
      <c r="T362" s="4">
        <v>20.7</v>
      </c>
      <c r="U362">
        <v>2</v>
      </c>
      <c r="V362">
        <v>0</v>
      </c>
      <c r="W362" s="4">
        <v>9.9359999999999999</v>
      </c>
    </row>
    <row r="363" spans="1:23" x14ac:dyDescent="0.3">
      <c r="A363">
        <v>362</v>
      </c>
      <c r="B363" t="s">
        <v>1280</v>
      </c>
      <c r="C363" s="3">
        <v>43474</v>
      </c>
      <c r="D363" s="7" t="str">
        <f t="shared" si="10"/>
        <v>January</v>
      </c>
      <c r="E363" s="3">
        <f t="shared" si="11"/>
        <v>43496</v>
      </c>
      <c r="F363" s="3">
        <v>42745</v>
      </c>
      <c r="G363" t="s">
        <v>50</v>
      </c>
      <c r="H363" t="s">
        <v>1281</v>
      </c>
      <c r="I363" t="s">
        <v>1282</v>
      </c>
      <c r="J363" t="s">
        <v>26</v>
      </c>
      <c r="K363" t="s">
        <v>27</v>
      </c>
      <c r="L363" t="s">
        <v>266</v>
      </c>
      <c r="M363" t="s">
        <v>267</v>
      </c>
      <c r="N363">
        <v>10009</v>
      </c>
      <c r="O363" t="s">
        <v>148</v>
      </c>
      <c r="P363" t="s">
        <v>1278</v>
      </c>
      <c r="Q363" t="s">
        <v>46</v>
      </c>
      <c r="R363" t="s">
        <v>47</v>
      </c>
      <c r="S363" t="s">
        <v>1279</v>
      </c>
      <c r="T363" s="4">
        <v>20.7</v>
      </c>
      <c r="U363">
        <v>2</v>
      </c>
      <c r="V363">
        <v>0</v>
      </c>
      <c r="W363" s="4">
        <v>9.9359999999999999</v>
      </c>
    </row>
    <row r="364" spans="1:23" x14ac:dyDescent="0.3">
      <c r="A364">
        <v>363</v>
      </c>
      <c r="B364" t="s">
        <v>1280</v>
      </c>
      <c r="C364" s="3">
        <v>43474</v>
      </c>
      <c r="D364" s="7" t="str">
        <f t="shared" si="10"/>
        <v>January</v>
      </c>
      <c r="E364" s="3">
        <f t="shared" si="11"/>
        <v>43496</v>
      </c>
      <c r="F364" s="3">
        <v>42745</v>
      </c>
      <c r="G364" t="s">
        <v>50</v>
      </c>
      <c r="H364" t="s">
        <v>1281</v>
      </c>
      <c r="I364" t="s">
        <v>1282</v>
      </c>
      <c r="J364" t="s">
        <v>26</v>
      </c>
      <c r="K364" t="s">
        <v>27</v>
      </c>
      <c r="L364" t="s">
        <v>266</v>
      </c>
      <c r="M364" t="s">
        <v>267</v>
      </c>
      <c r="N364">
        <v>10009</v>
      </c>
      <c r="O364" t="s">
        <v>148</v>
      </c>
      <c r="P364" t="s">
        <v>1283</v>
      </c>
      <c r="Q364" t="s">
        <v>32</v>
      </c>
      <c r="R364" t="s">
        <v>36</v>
      </c>
      <c r="S364" t="s">
        <v>1284</v>
      </c>
      <c r="T364" s="4">
        <v>488.64600000000002</v>
      </c>
      <c r="U364">
        <v>3</v>
      </c>
      <c r="V364">
        <v>0.1</v>
      </c>
      <c r="W364" s="4">
        <v>86.870400000000004</v>
      </c>
    </row>
    <row r="365" spans="1:23" x14ac:dyDescent="0.3">
      <c r="A365">
        <v>364</v>
      </c>
      <c r="B365" t="s">
        <v>1280</v>
      </c>
      <c r="C365" s="3">
        <v>43474</v>
      </c>
      <c r="D365" s="7" t="str">
        <f t="shared" si="10"/>
        <v>January</v>
      </c>
      <c r="E365" s="3">
        <f t="shared" si="11"/>
        <v>43496</v>
      </c>
      <c r="F365" s="3">
        <v>42745</v>
      </c>
      <c r="G365" t="s">
        <v>50</v>
      </c>
      <c r="H365" t="s">
        <v>1281</v>
      </c>
      <c r="I365" t="s">
        <v>1282</v>
      </c>
      <c r="J365" t="s">
        <v>26</v>
      </c>
      <c r="K365" t="s">
        <v>27</v>
      </c>
      <c r="L365" t="s">
        <v>266</v>
      </c>
      <c r="M365" t="s">
        <v>267</v>
      </c>
      <c r="N365">
        <v>10009</v>
      </c>
      <c r="O365" t="s">
        <v>148</v>
      </c>
      <c r="P365" t="s">
        <v>1285</v>
      </c>
      <c r="Q365" t="s">
        <v>46</v>
      </c>
      <c r="R365" t="s">
        <v>68</v>
      </c>
      <c r="S365" t="s">
        <v>1286</v>
      </c>
      <c r="T365" s="4">
        <v>5.56</v>
      </c>
      <c r="U365">
        <v>2</v>
      </c>
      <c r="V365">
        <v>0</v>
      </c>
      <c r="W365" s="4">
        <v>1.4456</v>
      </c>
    </row>
    <row r="366" spans="1:23" x14ac:dyDescent="0.3">
      <c r="A366">
        <v>365</v>
      </c>
      <c r="B366" t="s">
        <v>1280</v>
      </c>
      <c r="C366" s="3">
        <v>43474</v>
      </c>
      <c r="D366" s="7" t="str">
        <f t="shared" si="10"/>
        <v>January</v>
      </c>
      <c r="E366" s="3">
        <f t="shared" si="11"/>
        <v>43496</v>
      </c>
      <c r="F366" s="3">
        <v>42745</v>
      </c>
      <c r="G366" t="s">
        <v>50</v>
      </c>
      <c r="H366" t="s">
        <v>1281</v>
      </c>
      <c r="I366" t="s">
        <v>1282</v>
      </c>
      <c r="J366" t="s">
        <v>26</v>
      </c>
      <c r="K366" t="s">
        <v>27</v>
      </c>
      <c r="L366" t="s">
        <v>266</v>
      </c>
      <c r="M366" t="s">
        <v>267</v>
      </c>
      <c r="N366">
        <v>10009</v>
      </c>
      <c r="O366" t="s">
        <v>148</v>
      </c>
      <c r="P366" t="s">
        <v>1287</v>
      </c>
      <c r="Q366" t="s">
        <v>32</v>
      </c>
      <c r="R366" t="s">
        <v>65</v>
      </c>
      <c r="S366" t="s">
        <v>1288</v>
      </c>
      <c r="T366" s="4">
        <v>47.12</v>
      </c>
      <c r="U366">
        <v>8</v>
      </c>
      <c r="V366">
        <v>0</v>
      </c>
      <c r="W366" s="4">
        <v>20.732800000000001</v>
      </c>
    </row>
    <row r="367" spans="1:23" x14ac:dyDescent="0.3">
      <c r="A367">
        <v>366</v>
      </c>
      <c r="B367" t="s">
        <v>1289</v>
      </c>
      <c r="C367" s="3">
        <v>42347</v>
      </c>
      <c r="D367" s="7" t="str">
        <f t="shared" si="10"/>
        <v>December</v>
      </c>
      <c r="E367" s="3">
        <f t="shared" si="11"/>
        <v>42369</v>
      </c>
      <c r="F367" s="3">
        <v>42499</v>
      </c>
      <c r="G367" t="s">
        <v>50</v>
      </c>
      <c r="H367" t="s">
        <v>1290</v>
      </c>
      <c r="I367" t="s">
        <v>1291</v>
      </c>
      <c r="J367" t="s">
        <v>26</v>
      </c>
      <c r="K367" t="s">
        <v>27</v>
      </c>
      <c r="L367" t="s">
        <v>127</v>
      </c>
      <c r="M367" t="s">
        <v>43</v>
      </c>
      <c r="N367">
        <v>94109</v>
      </c>
      <c r="O367" t="s">
        <v>44</v>
      </c>
      <c r="P367" t="s">
        <v>239</v>
      </c>
      <c r="Q367" t="s">
        <v>46</v>
      </c>
      <c r="R367" t="s">
        <v>59</v>
      </c>
      <c r="S367" t="s">
        <v>240</v>
      </c>
      <c r="T367" s="4">
        <v>211.96</v>
      </c>
      <c r="U367">
        <v>4</v>
      </c>
      <c r="V367">
        <v>0</v>
      </c>
      <c r="W367" s="4">
        <v>8.4784000000000006</v>
      </c>
    </row>
    <row r="368" spans="1:23" x14ac:dyDescent="0.3">
      <c r="A368">
        <v>367</v>
      </c>
      <c r="B368" t="s">
        <v>1292</v>
      </c>
      <c r="C368" s="3">
        <v>42988</v>
      </c>
      <c r="D368" s="7" t="str">
        <f t="shared" si="10"/>
        <v>September</v>
      </c>
      <c r="E368" s="3">
        <f t="shared" si="11"/>
        <v>43008</v>
      </c>
      <c r="F368" s="3">
        <v>42988</v>
      </c>
      <c r="G368" t="s">
        <v>1293</v>
      </c>
      <c r="H368" t="s">
        <v>1294</v>
      </c>
      <c r="I368" t="s">
        <v>1295</v>
      </c>
      <c r="J368" t="s">
        <v>41</v>
      </c>
      <c r="K368" t="s">
        <v>27</v>
      </c>
      <c r="L368" t="s">
        <v>1296</v>
      </c>
      <c r="M368" t="s">
        <v>749</v>
      </c>
      <c r="N368">
        <v>6040</v>
      </c>
      <c r="O368" t="s">
        <v>148</v>
      </c>
      <c r="P368" t="s">
        <v>1297</v>
      </c>
      <c r="Q368" t="s">
        <v>46</v>
      </c>
      <c r="R368" t="s">
        <v>75</v>
      </c>
      <c r="S368" t="s">
        <v>1298</v>
      </c>
      <c r="T368" s="4">
        <v>23.2</v>
      </c>
      <c r="U368">
        <v>4</v>
      </c>
      <c r="V368">
        <v>0</v>
      </c>
      <c r="W368" s="4">
        <v>10.44</v>
      </c>
    </row>
    <row r="369" spans="1:23" x14ac:dyDescent="0.3">
      <c r="A369">
        <v>368</v>
      </c>
      <c r="B369" t="s">
        <v>1292</v>
      </c>
      <c r="C369" s="3">
        <v>42988</v>
      </c>
      <c r="D369" s="7" t="str">
        <f t="shared" si="10"/>
        <v>September</v>
      </c>
      <c r="E369" s="3">
        <f t="shared" si="11"/>
        <v>43008</v>
      </c>
      <c r="F369" s="3">
        <v>42988</v>
      </c>
      <c r="G369" t="s">
        <v>1293</v>
      </c>
      <c r="H369" t="s">
        <v>1294</v>
      </c>
      <c r="I369" t="s">
        <v>1295</v>
      </c>
      <c r="J369" t="s">
        <v>41</v>
      </c>
      <c r="K369" t="s">
        <v>27</v>
      </c>
      <c r="L369" t="s">
        <v>1296</v>
      </c>
      <c r="M369" t="s">
        <v>749</v>
      </c>
      <c r="N369">
        <v>6040</v>
      </c>
      <c r="O369" t="s">
        <v>148</v>
      </c>
      <c r="P369" t="s">
        <v>1299</v>
      </c>
      <c r="Q369" t="s">
        <v>46</v>
      </c>
      <c r="R369" t="s">
        <v>579</v>
      </c>
      <c r="S369" t="s">
        <v>1300</v>
      </c>
      <c r="T369" s="4">
        <v>7.36</v>
      </c>
      <c r="U369">
        <v>2</v>
      </c>
      <c r="V369">
        <v>0</v>
      </c>
      <c r="W369" s="4">
        <v>0.1472</v>
      </c>
    </row>
    <row r="370" spans="1:23" x14ac:dyDescent="0.3">
      <c r="A370">
        <v>369</v>
      </c>
      <c r="B370" t="s">
        <v>1292</v>
      </c>
      <c r="C370" s="3">
        <v>42988</v>
      </c>
      <c r="D370" s="7" t="str">
        <f t="shared" si="10"/>
        <v>September</v>
      </c>
      <c r="E370" s="3">
        <f t="shared" si="11"/>
        <v>43008</v>
      </c>
      <c r="F370" s="3">
        <v>42988</v>
      </c>
      <c r="G370" t="s">
        <v>1293</v>
      </c>
      <c r="H370" t="s">
        <v>1294</v>
      </c>
      <c r="I370" t="s">
        <v>1295</v>
      </c>
      <c r="J370" t="s">
        <v>41</v>
      </c>
      <c r="K370" t="s">
        <v>27</v>
      </c>
      <c r="L370" t="s">
        <v>1296</v>
      </c>
      <c r="M370" t="s">
        <v>749</v>
      </c>
      <c r="N370">
        <v>6040</v>
      </c>
      <c r="O370" t="s">
        <v>148</v>
      </c>
      <c r="P370" t="s">
        <v>1301</v>
      </c>
      <c r="Q370" t="s">
        <v>46</v>
      </c>
      <c r="R370" t="s">
        <v>59</v>
      </c>
      <c r="S370" t="s">
        <v>1302</v>
      </c>
      <c r="T370" s="4">
        <v>104.79</v>
      </c>
      <c r="U370">
        <v>7</v>
      </c>
      <c r="V370">
        <v>0</v>
      </c>
      <c r="W370" s="4">
        <v>29.341200000000001</v>
      </c>
    </row>
    <row r="371" spans="1:23" x14ac:dyDescent="0.3">
      <c r="A371">
        <v>370</v>
      </c>
      <c r="B371" t="s">
        <v>1292</v>
      </c>
      <c r="C371" s="3">
        <v>42988</v>
      </c>
      <c r="D371" s="7" t="str">
        <f t="shared" si="10"/>
        <v>September</v>
      </c>
      <c r="E371" s="3">
        <f t="shared" si="11"/>
        <v>43008</v>
      </c>
      <c r="F371" s="3">
        <v>42988</v>
      </c>
      <c r="G371" t="s">
        <v>1293</v>
      </c>
      <c r="H371" t="s">
        <v>1294</v>
      </c>
      <c r="I371" t="s">
        <v>1295</v>
      </c>
      <c r="J371" t="s">
        <v>41</v>
      </c>
      <c r="K371" t="s">
        <v>27</v>
      </c>
      <c r="L371" t="s">
        <v>1296</v>
      </c>
      <c r="M371" t="s">
        <v>749</v>
      </c>
      <c r="N371">
        <v>6040</v>
      </c>
      <c r="O371" t="s">
        <v>148</v>
      </c>
      <c r="P371" t="s">
        <v>201</v>
      </c>
      <c r="Q371" t="s">
        <v>32</v>
      </c>
      <c r="R371" t="s">
        <v>33</v>
      </c>
      <c r="S371" t="s">
        <v>202</v>
      </c>
      <c r="T371" s="4">
        <v>1043.92</v>
      </c>
      <c r="U371">
        <v>4</v>
      </c>
      <c r="V371">
        <v>0</v>
      </c>
      <c r="W371" s="4">
        <v>271.41919999999999</v>
      </c>
    </row>
    <row r="372" spans="1:23" x14ac:dyDescent="0.3">
      <c r="A372">
        <v>371</v>
      </c>
      <c r="B372" t="s">
        <v>1303</v>
      </c>
      <c r="C372" s="3">
        <v>43590</v>
      </c>
      <c r="D372" s="7" t="str">
        <f t="shared" si="10"/>
        <v>May</v>
      </c>
      <c r="E372" s="3">
        <f t="shared" si="11"/>
        <v>43616</v>
      </c>
      <c r="F372" s="3">
        <v>42831</v>
      </c>
      <c r="G372" t="s">
        <v>50</v>
      </c>
      <c r="H372" t="s">
        <v>1304</v>
      </c>
      <c r="I372" t="s">
        <v>1305</v>
      </c>
      <c r="J372" t="s">
        <v>26</v>
      </c>
      <c r="K372" t="s">
        <v>27</v>
      </c>
      <c r="L372" t="s">
        <v>1306</v>
      </c>
      <c r="M372" t="s">
        <v>104</v>
      </c>
      <c r="N372">
        <v>78550</v>
      </c>
      <c r="O372" t="s">
        <v>105</v>
      </c>
      <c r="P372" t="s">
        <v>1307</v>
      </c>
      <c r="Q372" t="s">
        <v>46</v>
      </c>
      <c r="R372" t="s">
        <v>90</v>
      </c>
      <c r="S372" t="s">
        <v>1308</v>
      </c>
      <c r="T372" s="4">
        <v>25.92</v>
      </c>
      <c r="U372">
        <v>5</v>
      </c>
      <c r="V372">
        <v>0.2</v>
      </c>
      <c r="W372" s="4">
        <v>9.3960000000000008</v>
      </c>
    </row>
    <row r="373" spans="1:23" x14ac:dyDescent="0.3">
      <c r="A373">
        <v>372</v>
      </c>
      <c r="B373" t="s">
        <v>1303</v>
      </c>
      <c r="C373" s="3">
        <v>43590</v>
      </c>
      <c r="D373" s="7" t="str">
        <f t="shared" si="10"/>
        <v>May</v>
      </c>
      <c r="E373" s="3">
        <f t="shared" si="11"/>
        <v>43616</v>
      </c>
      <c r="F373" s="3">
        <v>42831</v>
      </c>
      <c r="G373" t="s">
        <v>50</v>
      </c>
      <c r="H373" t="s">
        <v>1304</v>
      </c>
      <c r="I373" t="s">
        <v>1305</v>
      </c>
      <c r="J373" t="s">
        <v>26</v>
      </c>
      <c r="K373" t="s">
        <v>27</v>
      </c>
      <c r="L373" t="s">
        <v>1306</v>
      </c>
      <c r="M373" t="s">
        <v>104</v>
      </c>
      <c r="N373">
        <v>78550</v>
      </c>
      <c r="O373" t="s">
        <v>105</v>
      </c>
      <c r="P373" t="s">
        <v>1309</v>
      </c>
      <c r="Q373" t="s">
        <v>46</v>
      </c>
      <c r="R373" t="s">
        <v>59</v>
      </c>
      <c r="S373" t="s">
        <v>1310</v>
      </c>
      <c r="T373" s="4">
        <v>53.423999999999999</v>
      </c>
      <c r="U373">
        <v>3</v>
      </c>
      <c r="V373">
        <v>0.2</v>
      </c>
      <c r="W373" s="4">
        <v>4.6745999999999999</v>
      </c>
    </row>
    <row r="374" spans="1:23" x14ac:dyDescent="0.3">
      <c r="A374">
        <v>373</v>
      </c>
      <c r="B374" t="s">
        <v>1311</v>
      </c>
      <c r="C374" s="3">
        <v>42315</v>
      </c>
      <c r="D374" s="7" t="str">
        <f t="shared" si="10"/>
        <v>November</v>
      </c>
      <c r="E374" s="3">
        <f t="shared" si="11"/>
        <v>42338</v>
      </c>
      <c r="F374" s="3">
        <v>42436</v>
      </c>
      <c r="G374" t="s">
        <v>50</v>
      </c>
      <c r="H374" t="s">
        <v>1312</v>
      </c>
      <c r="I374" t="s">
        <v>1313</v>
      </c>
      <c r="J374" t="s">
        <v>26</v>
      </c>
      <c r="K374" t="s">
        <v>27</v>
      </c>
      <c r="L374" t="s">
        <v>1314</v>
      </c>
      <c r="M374" t="s">
        <v>310</v>
      </c>
      <c r="N374">
        <v>85705</v>
      </c>
      <c r="O374" t="s">
        <v>44</v>
      </c>
      <c r="P374" t="s">
        <v>1211</v>
      </c>
      <c r="Q374" t="s">
        <v>46</v>
      </c>
      <c r="R374" t="s">
        <v>75</v>
      </c>
      <c r="S374" t="s">
        <v>1212</v>
      </c>
      <c r="T374" s="4">
        <v>8.16</v>
      </c>
      <c r="U374">
        <v>5</v>
      </c>
      <c r="V374">
        <v>0.7</v>
      </c>
      <c r="W374" s="4">
        <v>-5.7119999999999997</v>
      </c>
    </row>
    <row r="375" spans="1:23" x14ac:dyDescent="0.3">
      <c r="A375">
        <v>374</v>
      </c>
      <c r="B375" t="s">
        <v>1311</v>
      </c>
      <c r="C375" s="3">
        <v>42315</v>
      </c>
      <c r="D375" s="7" t="str">
        <f t="shared" si="10"/>
        <v>November</v>
      </c>
      <c r="E375" s="3">
        <f t="shared" si="11"/>
        <v>42338</v>
      </c>
      <c r="F375" s="3">
        <v>42436</v>
      </c>
      <c r="G375" t="s">
        <v>50</v>
      </c>
      <c r="H375" t="s">
        <v>1312</v>
      </c>
      <c r="I375" t="s">
        <v>1313</v>
      </c>
      <c r="J375" t="s">
        <v>26</v>
      </c>
      <c r="K375" t="s">
        <v>27</v>
      </c>
      <c r="L375" t="s">
        <v>1314</v>
      </c>
      <c r="M375" t="s">
        <v>310</v>
      </c>
      <c r="N375">
        <v>85705</v>
      </c>
      <c r="O375" t="s">
        <v>44</v>
      </c>
      <c r="P375" t="s">
        <v>1315</v>
      </c>
      <c r="Q375" t="s">
        <v>71</v>
      </c>
      <c r="R375" t="s">
        <v>161</v>
      </c>
      <c r="S375" t="s">
        <v>1316</v>
      </c>
      <c r="T375" s="4">
        <v>1023.936</v>
      </c>
      <c r="U375">
        <v>8</v>
      </c>
      <c r="V375">
        <v>0.2</v>
      </c>
      <c r="W375" s="4">
        <v>179.18879999999999</v>
      </c>
    </row>
    <row r="376" spans="1:23" x14ac:dyDescent="0.3">
      <c r="A376">
        <v>375</v>
      </c>
      <c r="B376" t="s">
        <v>1311</v>
      </c>
      <c r="C376" s="3">
        <v>42315</v>
      </c>
      <c r="D376" s="7" t="str">
        <f t="shared" si="10"/>
        <v>November</v>
      </c>
      <c r="E376" s="3">
        <f t="shared" si="11"/>
        <v>42338</v>
      </c>
      <c r="F376" s="3">
        <v>42436</v>
      </c>
      <c r="G376" t="s">
        <v>50</v>
      </c>
      <c r="H376" t="s">
        <v>1312</v>
      </c>
      <c r="I376" t="s">
        <v>1313</v>
      </c>
      <c r="J376" t="s">
        <v>26</v>
      </c>
      <c r="K376" t="s">
        <v>27</v>
      </c>
      <c r="L376" t="s">
        <v>1314</v>
      </c>
      <c r="M376" t="s">
        <v>310</v>
      </c>
      <c r="N376">
        <v>85705</v>
      </c>
      <c r="O376" t="s">
        <v>44</v>
      </c>
      <c r="P376" t="s">
        <v>1317</v>
      </c>
      <c r="Q376" t="s">
        <v>46</v>
      </c>
      <c r="R376" t="s">
        <v>68</v>
      </c>
      <c r="S376" t="s">
        <v>1318</v>
      </c>
      <c r="T376" s="4">
        <v>9.24</v>
      </c>
      <c r="U376">
        <v>1</v>
      </c>
      <c r="V376">
        <v>0.2</v>
      </c>
      <c r="W376" s="4">
        <v>0.92400000000000004</v>
      </c>
    </row>
    <row r="377" spans="1:23" x14ac:dyDescent="0.3">
      <c r="A377">
        <v>376</v>
      </c>
      <c r="B377" t="s">
        <v>1311</v>
      </c>
      <c r="C377" s="3">
        <v>42315</v>
      </c>
      <c r="D377" s="7" t="str">
        <f t="shared" si="10"/>
        <v>November</v>
      </c>
      <c r="E377" s="3">
        <f t="shared" si="11"/>
        <v>42338</v>
      </c>
      <c r="F377" s="3">
        <v>42436</v>
      </c>
      <c r="G377" t="s">
        <v>50</v>
      </c>
      <c r="H377" t="s">
        <v>1312</v>
      </c>
      <c r="I377" t="s">
        <v>1313</v>
      </c>
      <c r="J377" t="s">
        <v>26</v>
      </c>
      <c r="K377" t="s">
        <v>27</v>
      </c>
      <c r="L377" t="s">
        <v>1314</v>
      </c>
      <c r="M377" t="s">
        <v>310</v>
      </c>
      <c r="N377">
        <v>85705</v>
      </c>
      <c r="O377" t="s">
        <v>44</v>
      </c>
      <c r="P377" t="s">
        <v>1319</v>
      </c>
      <c r="Q377" t="s">
        <v>71</v>
      </c>
      <c r="R377" t="s">
        <v>161</v>
      </c>
      <c r="S377" t="s">
        <v>1320</v>
      </c>
      <c r="T377" s="4">
        <v>479.04</v>
      </c>
      <c r="U377">
        <v>10</v>
      </c>
      <c r="V377">
        <v>0.2</v>
      </c>
      <c r="W377" s="4">
        <v>-29.94</v>
      </c>
    </row>
    <row r="378" spans="1:23" x14ac:dyDescent="0.3">
      <c r="A378">
        <v>377</v>
      </c>
      <c r="B378" t="s">
        <v>1321</v>
      </c>
      <c r="C378" s="3">
        <v>43199</v>
      </c>
      <c r="D378" s="7" t="str">
        <f t="shared" si="10"/>
        <v>April</v>
      </c>
      <c r="E378" s="3">
        <f t="shared" si="11"/>
        <v>43220</v>
      </c>
      <c r="F378" s="3">
        <v>42379</v>
      </c>
      <c r="G378" t="s">
        <v>188</v>
      </c>
      <c r="H378" t="s">
        <v>1322</v>
      </c>
      <c r="I378" t="s">
        <v>1323</v>
      </c>
      <c r="J378" t="s">
        <v>41</v>
      </c>
      <c r="K378" t="s">
        <v>27</v>
      </c>
      <c r="L378" t="s">
        <v>1324</v>
      </c>
      <c r="M378" t="s">
        <v>211</v>
      </c>
      <c r="N378">
        <v>62301</v>
      </c>
      <c r="O378" t="s">
        <v>105</v>
      </c>
      <c r="P378" t="s">
        <v>1325</v>
      </c>
      <c r="Q378" t="s">
        <v>46</v>
      </c>
      <c r="R378" t="s">
        <v>90</v>
      </c>
      <c r="S378" t="s">
        <v>1326</v>
      </c>
      <c r="T378" s="4">
        <v>99.135999999999996</v>
      </c>
      <c r="U378">
        <v>4</v>
      </c>
      <c r="V378">
        <v>0.2</v>
      </c>
      <c r="W378" s="4">
        <v>30.98</v>
      </c>
    </row>
    <row r="379" spans="1:23" x14ac:dyDescent="0.3">
      <c r="A379">
        <v>378</v>
      </c>
      <c r="B379" t="s">
        <v>1327</v>
      </c>
      <c r="C379" s="3">
        <v>43532</v>
      </c>
      <c r="D379" s="7" t="str">
        <f t="shared" si="10"/>
        <v>March</v>
      </c>
      <c r="E379" s="3">
        <f t="shared" si="11"/>
        <v>43555</v>
      </c>
      <c r="F379" s="3">
        <v>42744</v>
      </c>
      <c r="G379" t="s">
        <v>50</v>
      </c>
      <c r="H379" t="s">
        <v>1328</v>
      </c>
      <c r="I379" t="s">
        <v>1329</v>
      </c>
      <c r="J379" t="s">
        <v>41</v>
      </c>
      <c r="K379" t="s">
        <v>27</v>
      </c>
      <c r="L379" t="s">
        <v>613</v>
      </c>
      <c r="M379" t="s">
        <v>1248</v>
      </c>
      <c r="N379">
        <v>2038</v>
      </c>
      <c r="O379" t="s">
        <v>148</v>
      </c>
      <c r="P379" t="s">
        <v>1330</v>
      </c>
      <c r="Q379" t="s">
        <v>32</v>
      </c>
      <c r="R379" t="s">
        <v>56</v>
      </c>
      <c r="S379" t="s">
        <v>1331</v>
      </c>
      <c r="T379" s="4">
        <v>1488.424</v>
      </c>
      <c r="U379">
        <v>7</v>
      </c>
      <c r="V379">
        <v>0.3</v>
      </c>
      <c r="W379" s="4">
        <v>-297.6848</v>
      </c>
    </row>
    <row r="380" spans="1:23" x14ac:dyDescent="0.3">
      <c r="A380">
        <v>379</v>
      </c>
      <c r="B380" t="s">
        <v>1332</v>
      </c>
      <c r="C380" s="3">
        <v>42829</v>
      </c>
      <c r="D380" s="7" t="str">
        <f t="shared" si="10"/>
        <v>April</v>
      </c>
      <c r="E380" s="3">
        <f t="shared" si="11"/>
        <v>42855</v>
      </c>
      <c r="F380" s="3">
        <v>42129</v>
      </c>
      <c r="G380" t="s">
        <v>50</v>
      </c>
      <c r="H380" t="s">
        <v>1333</v>
      </c>
      <c r="I380" t="s">
        <v>1334</v>
      </c>
      <c r="J380" t="s">
        <v>26</v>
      </c>
      <c r="K380" t="s">
        <v>27</v>
      </c>
      <c r="L380" t="s">
        <v>184</v>
      </c>
      <c r="M380" t="s">
        <v>104</v>
      </c>
      <c r="N380">
        <v>77095</v>
      </c>
      <c r="O380" t="s">
        <v>105</v>
      </c>
      <c r="P380" t="s">
        <v>1335</v>
      </c>
      <c r="Q380" t="s">
        <v>46</v>
      </c>
      <c r="R380" t="s">
        <v>78</v>
      </c>
      <c r="S380" t="s">
        <v>1336</v>
      </c>
      <c r="T380" s="4">
        <v>8.6519999999999992</v>
      </c>
      <c r="U380">
        <v>3</v>
      </c>
      <c r="V380">
        <v>0.8</v>
      </c>
      <c r="W380" s="4">
        <v>-20.3322</v>
      </c>
    </row>
    <row r="381" spans="1:23" x14ac:dyDescent="0.3">
      <c r="A381">
        <v>380</v>
      </c>
      <c r="B381" t="s">
        <v>1332</v>
      </c>
      <c r="C381" s="3">
        <v>42829</v>
      </c>
      <c r="D381" s="7" t="str">
        <f t="shared" si="10"/>
        <v>April</v>
      </c>
      <c r="E381" s="3">
        <f t="shared" si="11"/>
        <v>42855</v>
      </c>
      <c r="F381" s="3">
        <v>42129</v>
      </c>
      <c r="G381" t="s">
        <v>50</v>
      </c>
      <c r="H381" t="s">
        <v>1333</v>
      </c>
      <c r="I381" t="s">
        <v>1334</v>
      </c>
      <c r="J381" t="s">
        <v>26</v>
      </c>
      <c r="K381" t="s">
        <v>27</v>
      </c>
      <c r="L381" t="s">
        <v>184</v>
      </c>
      <c r="M381" t="s">
        <v>104</v>
      </c>
      <c r="N381">
        <v>77095</v>
      </c>
      <c r="O381" t="s">
        <v>105</v>
      </c>
      <c r="P381" t="s">
        <v>1337</v>
      </c>
      <c r="Q381" t="s">
        <v>46</v>
      </c>
      <c r="R381" t="s">
        <v>59</v>
      </c>
      <c r="S381" t="s">
        <v>1338</v>
      </c>
      <c r="T381" s="4">
        <v>23.832000000000001</v>
      </c>
      <c r="U381">
        <v>3</v>
      </c>
      <c r="V381">
        <v>0.2</v>
      </c>
      <c r="W381" s="4">
        <v>2.6810999999999998</v>
      </c>
    </row>
    <row r="382" spans="1:23" x14ac:dyDescent="0.3">
      <c r="A382">
        <v>381</v>
      </c>
      <c r="B382" t="s">
        <v>1332</v>
      </c>
      <c r="C382" s="3">
        <v>42829</v>
      </c>
      <c r="D382" s="7" t="str">
        <f t="shared" si="10"/>
        <v>April</v>
      </c>
      <c r="E382" s="3">
        <f t="shared" si="11"/>
        <v>42855</v>
      </c>
      <c r="F382" s="3">
        <v>42129</v>
      </c>
      <c r="G382" t="s">
        <v>50</v>
      </c>
      <c r="H382" t="s">
        <v>1333</v>
      </c>
      <c r="I382" t="s">
        <v>1334</v>
      </c>
      <c r="J382" t="s">
        <v>26</v>
      </c>
      <c r="K382" t="s">
        <v>27</v>
      </c>
      <c r="L382" t="s">
        <v>184</v>
      </c>
      <c r="M382" t="s">
        <v>104</v>
      </c>
      <c r="N382">
        <v>77095</v>
      </c>
      <c r="O382" t="s">
        <v>105</v>
      </c>
      <c r="P382" t="s">
        <v>1339</v>
      </c>
      <c r="Q382" t="s">
        <v>46</v>
      </c>
      <c r="R382" t="s">
        <v>75</v>
      </c>
      <c r="S382" t="s">
        <v>1340</v>
      </c>
      <c r="T382" s="4">
        <v>12.176</v>
      </c>
      <c r="U382">
        <v>4</v>
      </c>
      <c r="V382">
        <v>0.8</v>
      </c>
      <c r="W382" s="4">
        <v>-18.872800000000002</v>
      </c>
    </row>
    <row r="383" spans="1:23" x14ac:dyDescent="0.3">
      <c r="A383">
        <v>382</v>
      </c>
      <c r="B383" t="s">
        <v>1341</v>
      </c>
      <c r="C383" s="3">
        <v>43200</v>
      </c>
      <c r="D383" s="7" t="str">
        <f t="shared" si="10"/>
        <v>April</v>
      </c>
      <c r="E383" s="3">
        <f t="shared" si="11"/>
        <v>43220</v>
      </c>
      <c r="F383" s="3">
        <v>43230</v>
      </c>
      <c r="G383" t="s">
        <v>188</v>
      </c>
      <c r="H383" t="s">
        <v>1342</v>
      </c>
      <c r="I383" t="s">
        <v>1343</v>
      </c>
      <c r="J383" t="s">
        <v>41</v>
      </c>
      <c r="K383" t="s">
        <v>27</v>
      </c>
      <c r="L383" t="s">
        <v>127</v>
      </c>
      <c r="M383" t="s">
        <v>43</v>
      </c>
      <c r="N383">
        <v>94109</v>
      </c>
      <c r="O383" t="s">
        <v>44</v>
      </c>
      <c r="P383" t="s">
        <v>1344</v>
      </c>
      <c r="Q383" t="s">
        <v>46</v>
      </c>
      <c r="R383" t="s">
        <v>90</v>
      </c>
      <c r="S383" t="s">
        <v>1345</v>
      </c>
      <c r="T383" s="4">
        <v>50.96</v>
      </c>
      <c r="U383">
        <v>7</v>
      </c>
      <c r="V383">
        <v>0</v>
      </c>
      <c r="W383" s="4">
        <v>25.48</v>
      </c>
    </row>
    <row r="384" spans="1:23" x14ac:dyDescent="0.3">
      <c r="A384">
        <v>383</v>
      </c>
      <c r="B384" t="s">
        <v>1341</v>
      </c>
      <c r="C384" s="3">
        <v>43200</v>
      </c>
      <c r="D384" s="7" t="str">
        <f t="shared" si="10"/>
        <v>April</v>
      </c>
      <c r="E384" s="3">
        <f t="shared" si="11"/>
        <v>43220</v>
      </c>
      <c r="F384" s="3">
        <v>43230</v>
      </c>
      <c r="G384" t="s">
        <v>188</v>
      </c>
      <c r="H384" t="s">
        <v>1342</v>
      </c>
      <c r="I384" t="s">
        <v>1343</v>
      </c>
      <c r="J384" t="s">
        <v>41</v>
      </c>
      <c r="K384" t="s">
        <v>27</v>
      </c>
      <c r="L384" t="s">
        <v>127</v>
      </c>
      <c r="M384" t="s">
        <v>43</v>
      </c>
      <c r="N384">
        <v>94109</v>
      </c>
      <c r="O384" t="s">
        <v>44</v>
      </c>
      <c r="P384" t="s">
        <v>1346</v>
      </c>
      <c r="Q384" t="s">
        <v>46</v>
      </c>
      <c r="R384" t="s">
        <v>75</v>
      </c>
      <c r="S384" t="s">
        <v>1347</v>
      </c>
      <c r="T384" s="4">
        <v>49.536000000000001</v>
      </c>
      <c r="U384">
        <v>3</v>
      </c>
      <c r="V384">
        <v>0.2</v>
      </c>
      <c r="W384" s="4">
        <v>17.337599999999998</v>
      </c>
    </row>
    <row r="385" spans="1:23" x14ac:dyDescent="0.3">
      <c r="A385">
        <v>384</v>
      </c>
      <c r="B385" t="s">
        <v>1348</v>
      </c>
      <c r="C385" s="3">
        <v>42772</v>
      </c>
      <c r="D385" s="7" t="str">
        <f t="shared" si="10"/>
        <v>February</v>
      </c>
      <c r="E385" s="3">
        <f t="shared" si="11"/>
        <v>42794</v>
      </c>
      <c r="F385" s="3">
        <v>42861</v>
      </c>
      <c r="G385" t="s">
        <v>23</v>
      </c>
      <c r="H385" t="s">
        <v>1349</v>
      </c>
      <c r="I385" t="s">
        <v>1350</v>
      </c>
      <c r="J385" t="s">
        <v>41</v>
      </c>
      <c r="K385" t="s">
        <v>27</v>
      </c>
      <c r="L385" t="s">
        <v>1116</v>
      </c>
      <c r="M385" t="s">
        <v>238</v>
      </c>
      <c r="N385">
        <v>48180</v>
      </c>
      <c r="O385" t="s">
        <v>105</v>
      </c>
      <c r="P385" t="s">
        <v>1351</v>
      </c>
      <c r="Q385" t="s">
        <v>71</v>
      </c>
      <c r="R385" t="s">
        <v>161</v>
      </c>
      <c r="S385" t="s">
        <v>1352</v>
      </c>
      <c r="T385" s="4">
        <v>41.9</v>
      </c>
      <c r="U385">
        <v>2</v>
      </c>
      <c r="V385">
        <v>0</v>
      </c>
      <c r="W385" s="4">
        <v>8.7989999999999995</v>
      </c>
    </row>
    <row r="386" spans="1:23" x14ac:dyDescent="0.3">
      <c r="A386">
        <v>385</v>
      </c>
      <c r="B386" t="s">
        <v>1353</v>
      </c>
      <c r="C386" s="3">
        <v>42805</v>
      </c>
      <c r="D386" s="7" t="str">
        <f t="shared" si="10"/>
        <v>March</v>
      </c>
      <c r="E386" s="3">
        <f t="shared" si="11"/>
        <v>42825</v>
      </c>
      <c r="F386" s="3">
        <v>42047</v>
      </c>
      <c r="G386" t="s">
        <v>50</v>
      </c>
      <c r="H386" t="s">
        <v>1354</v>
      </c>
      <c r="I386" t="s">
        <v>1355</v>
      </c>
      <c r="J386" t="s">
        <v>26</v>
      </c>
      <c r="K386" t="s">
        <v>27</v>
      </c>
      <c r="L386" t="s">
        <v>1356</v>
      </c>
      <c r="M386" t="s">
        <v>54</v>
      </c>
      <c r="N386">
        <v>33024</v>
      </c>
      <c r="O386" t="s">
        <v>30</v>
      </c>
      <c r="P386" t="s">
        <v>1357</v>
      </c>
      <c r="Q386" t="s">
        <v>32</v>
      </c>
      <c r="R386" t="s">
        <v>56</v>
      </c>
      <c r="S386" t="s">
        <v>1358</v>
      </c>
      <c r="T386" s="4">
        <v>375.45749999999998</v>
      </c>
      <c r="U386">
        <v>3</v>
      </c>
      <c r="V386">
        <v>0.45</v>
      </c>
      <c r="W386" s="4">
        <v>-157.0095</v>
      </c>
    </row>
    <row r="387" spans="1:23" x14ac:dyDescent="0.3">
      <c r="A387">
        <v>386</v>
      </c>
      <c r="B387" t="s">
        <v>1353</v>
      </c>
      <c r="C387" s="3">
        <v>42805</v>
      </c>
      <c r="D387" s="7" t="str">
        <f t="shared" ref="D387:D450" si="12">TEXT(C387,"mmmm")</f>
        <v>March</v>
      </c>
      <c r="E387" s="3">
        <f t="shared" ref="E387:E450" si="13">EOMONTH(C387,0)</f>
        <v>42825</v>
      </c>
      <c r="F387" s="3">
        <v>42047</v>
      </c>
      <c r="G387" t="s">
        <v>50</v>
      </c>
      <c r="H387" t="s">
        <v>1354</v>
      </c>
      <c r="I387" t="s">
        <v>1355</v>
      </c>
      <c r="J387" t="s">
        <v>26</v>
      </c>
      <c r="K387" t="s">
        <v>27</v>
      </c>
      <c r="L387" t="s">
        <v>1356</v>
      </c>
      <c r="M387" t="s">
        <v>54</v>
      </c>
      <c r="N387">
        <v>33024</v>
      </c>
      <c r="O387" t="s">
        <v>30</v>
      </c>
      <c r="P387" t="s">
        <v>1359</v>
      </c>
      <c r="Q387" t="s">
        <v>71</v>
      </c>
      <c r="R387" t="s">
        <v>161</v>
      </c>
      <c r="S387" t="s">
        <v>1360</v>
      </c>
      <c r="T387" s="4">
        <v>83.975999999999999</v>
      </c>
      <c r="U387">
        <v>3</v>
      </c>
      <c r="V387">
        <v>0.2</v>
      </c>
      <c r="W387" s="4">
        <v>-1.0497000000000001</v>
      </c>
    </row>
    <row r="388" spans="1:23" x14ac:dyDescent="0.3">
      <c r="A388">
        <v>387</v>
      </c>
      <c r="B388" t="s">
        <v>1361</v>
      </c>
      <c r="C388" s="3">
        <v>42075</v>
      </c>
      <c r="D388" s="7" t="str">
        <f t="shared" si="12"/>
        <v>March</v>
      </c>
      <c r="E388" s="3">
        <f t="shared" si="13"/>
        <v>42094</v>
      </c>
      <c r="F388" s="3">
        <v>42197</v>
      </c>
      <c r="G388" t="s">
        <v>50</v>
      </c>
      <c r="H388" t="s">
        <v>1362</v>
      </c>
      <c r="I388" t="s">
        <v>1363</v>
      </c>
      <c r="J388" t="s">
        <v>41</v>
      </c>
      <c r="K388" t="s">
        <v>27</v>
      </c>
      <c r="L388" t="s">
        <v>146</v>
      </c>
      <c r="M388" t="s">
        <v>147</v>
      </c>
      <c r="N388">
        <v>19140</v>
      </c>
      <c r="O388" t="s">
        <v>148</v>
      </c>
      <c r="P388" t="s">
        <v>1364</v>
      </c>
      <c r="Q388" t="s">
        <v>71</v>
      </c>
      <c r="R388" t="s">
        <v>684</v>
      </c>
      <c r="S388" t="s">
        <v>1365</v>
      </c>
      <c r="T388" s="4">
        <v>482.34</v>
      </c>
      <c r="U388">
        <v>4</v>
      </c>
      <c r="V388">
        <v>0.7</v>
      </c>
      <c r="W388" s="4">
        <v>-337.63799999999998</v>
      </c>
    </row>
    <row r="389" spans="1:23" x14ac:dyDescent="0.3">
      <c r="A389">
        <v>388</v>
      </c>
      <c r="B389" t="s">
        <v>1361</v>
      </c>
      <c r="C389" s="3">
        <v>42075</v>
      </c>
      <c r="D389" s="7" t="str">
        <f t="shared" si="12"/>
        <v>March</v>
      </c>
      <c r="E389" s="3">
        <f t="shared" si="13"/>
        <v>42094</v>
      </c>
      <c r="F389" s="3">
        <v>42197</v>
      </c>
      <c r="G389" t="s">
        <v>50</v>
      </c>
      <c r="H389" t="s">
        <v>1362</v>
      </c>
      <c r="I389" t="s">
        <v>1363</v>
      </c>
      <c r="J389" t="s">
        <v>41</v>
      </c>
      <c r="K389" t="s">
        <v>27</v>
      </c>
      <c r="L389" t="s">
        <v>146</v>
      </c>
      <c r="M389" t="s">
        <v>147</v>
      </c>
      <c r="N389">
        <v>19140</v>
      </c>
      <c r="O389" t="s">
        <v>148</v>
      </c>
      <c r="P389" t="s">
        <v>1366</v>
      </c>
      <c r="Q389" t="s">
        <v>32</v>
      </c>
      <c r="R389" t="s">
        <v>65</v>
      </c>
      <c r="S389" t="s">
        <v>1367</v>
      </c>
      <c r="T389" s="4">
        <v>2.96</v>
      </c>
      <c r="U389">
        <v>1</v>
      </c>
      <c r="V389">
        <v>0.2</v>
      </c>
      <c r="W389" s="4">
        <v>0.77700000000000002</v>
      </c>
    </row>
    <row r="390" spans="1:23" x14ac:dyDescent="0.3">
      <c r="A390">
        <v>389</v>
      </c>
      <c r="B390" t="s">
        <v>1368</v>
      </c>
      <c r="C390" s="3">
        <v>42349</v>
      </c>
      <c r="D390" s="7" t="str">
        <f t="shared" si="12"/>
        <v>December</v>
      </c>
      <c r="E390" s="3">
        <f t="shared" si="13"/>
        <v>42369</v>
      </c>
      <c r="F390" s="3">
        <v>42411</v>
      </c>
      <c r="G390" t="s">
        <v>188</v>
      </c>
      <c r="H390" t="s">
        <v>1369</v>
      </c>
      <c r="I390" t="s">
        <v>1370</v>
      </c>
      <c r="J390" t="s">
        <v>26</v>
      </c>
      <c r="K390" t="s">
        <v>27</v>
      </c>
      <c r="L390" t="s">
        <v>1010</v>
      </c>
      <c r="M390" t="s">
        <v>498</v>
      </c>
      <c r="N390">
        <v>45231</v>
      </c>
      <c r="O390" t="s">
        <v>148</v>
      </c>
      <c r="P390" t="s">
        <v>1371</v>
      </c>
      <c r="Q390" t="s">
        <v>46</v>
      </c>
      <c r="R390" t="s">
        <v>68</v>
      </c>
      <c r="S390" t="s">
        <v>1372</v>
      </c>
      <c r="T390" s="4">
        <v>2.6240000000000001</v>
      </c>
      <c r="U390">
        <v>1</v>
      </c>
      <c r="V390">
        <v>0.2</v>
      </c>
      <c r="W390" s="4">
        <v>0.4264</v>
      </c>
    </row>
    <row r="391" spans="1:23" x14ac:dyDescent="0.3">
      <c r="A391">
        <v>390</v>
      </c>
      <c r="B391" t="s">
        <v>1373</v>
      </c>
      <c r="C391" s="3">
        <v>43051</v>
      </c>
      <c r="D391" s="7" t="str">
        <f t="shared" si="12"/>
        <v>November</v>
      </c>
      <c r="E391" s="3">
        <f t="shared" si="13"/>
        <v>43069</v>
      </c>
      <c r="F391" s="3">
        <v>43171</v>
      </c>
      <c r="G391" t="s">
        <v>50</v>
      </c>
      <c r="H391" t="s">
        <v>1374</v>
      </c>
      <c r="I391" t="s">
        <v>1375</v>
      </c>
      <c r="J391" t="s">
        <v>26</v>
      </c>
      <c r="K391" t="s">
        <v>27</v>
      </c>
      <c r="L391" t="s">
        <v>266</v>
      </c>
      <c r="M391" t="s">
        <v>267</v>
      </c>
      <c r="N391">
        <v>10009</v>
      </c>
      <c r="O391" t="s">
        <v>148</v>
      </c>
      <c r="P391" t="s">
        <v>1376</v>
      </c>
      <c r="Q391" t="s">
        <v>46</v>
      </c>
      <c r="R391" t="s">
        <v>75</v>
      </c>
      <c r="S391" t="s">
        <v>1377</v>
      </c>
      <c r="T391" s="4">
        <v>23.36</v>
      </c>
      <c r="U391">
        <v>4</v>
      </c>
      <c r="V391">
        <v>0.2</v>
      </c>
      <c r="W391" s="4">
        <v>7.8840000000000003</v>
      </c>
    </row>
    <row r="392" spans="1:23" x14ac:dyDescent="0.3">
      <c r="A392">
        <v>391</v>
      </c>
      <c r="B392" t="s">
        <v>1373</v>
      </c>
      <c r="C392" s="3">
        <v>43051</v>
      </c>
      <c r="D392" s="7" t="str">
        <f t="shared" si="12"/>
        <v>November</v>
      </c>
      <c r="E392" s="3">
        <f t="shared" si="13"/>
        <v>43069</v>
      </c>
      <c r="F392" s="3">
        <v>43171</v>
      </c>
      <c r="G392" t="s">
        <v>50</v>
      </c>
      <c r="H392" t="s">
        <v>1374</v>
      </c>
      <c r="I392" t="s">
        <v>1375</v>
      </c>
      <c r="J392" t="s">
        <v>26</v>
      </c>
      <c r="K392" t="s">
        <v>27</v>
      </c>
      <c r="L392" t="s">
        <v>266</v>
      </c>
      <c r="M392" t="s">
        <v>267</v>
      </c>
      <c r="N392">
        <v>10009</v>
      </c>
      <c r="O392" t="s">
        <v>148</v>
      </c>
      <c r="P392" t="s">
        <v>390</v>
      </c>
      <c r="Q392" t="s">
        <v>71</v>
      </c>
      <c r="R392" t="s">
        <v>161</v>
      </c>
      <c r="S392" t="s">
        <v>391</v>
      </c>
      <c r="T392" s="4">
        <v>39.979999999999997</v>
      </c>
      <c r="U392">
        <v>2</v>
      </c>
      <c r="V392">
        <v>0</v>
      </c>
      <c r="W392" s="4">
        <v>13.5932</v>
      </c>
    </row>
    <row r="393" spans="1:23" x14ac:dyDescent="0.3">
      <c r="A393">
        <v>392</v>
      </c>
      <c r="B393" t="s">
        <v>1378</v>
      </c>
      <c r="C393" s="3">
        <v>42256</v>
      </c>
      <c r="D393" s="7" t="str">
        <f t="shared" si="12"/>
        <v>September</v>
      </c>
      <c r="E393" s="3">
        <f t="shared" si="13"/>
        <v>42277</v>
      </c>
      <c r="F393" s="3">
        <v>42317</v>
      </c>
      <c r="G393" t="s">
        <v>23</v>
      </c>
      <c r="H393" t="s">
        <v>1379</v>
      </c>
      <c r="I393" t="s">
        <v>1380</v>
      </c>
      <c r="J393" t="s">
        <v>26</v>
      </c>
      <c r="K393" t="s">
        <v>27</v>
      </c>
      <c r="L393" t="s">
        <v>1381</v>
      </c>
      <c r="M393" t="s">
        <v>96</v>
      </c>
      <c r="N393">
        <v>98198</v>
      </c>
      <c r="O393" t="s">
        <v>44</v>
      </c>
      <c r="P393" t="s">
        <v>1382</v>
      </c>
      <c r="Q393" t="s">
        <v>71</v>
      </c>
      <c r="R393" t="s">
        <v>72</v>
      </c>
      <c r="S393" t="s">
        <v>1383</v>
      </c>
      <c r="T393" s="4">
        <v>246.38399999999999</v>
      </c>
      <c r="U393">
        <v>2</v>
      </c>
      <c r="V393">
        <v>0.2</v>
      </c>
      <c r="W393" s="4">
        <v>27.7182</v>
      </c>
    </row>
    <row r="394" spans="1:23" x14ac:dyDescent="0.3">
      <c r="A394">
        <v>393</v>
      </c>
      <c r="B394" t="s">
        <v>1378</v>
      </c>
      <c r="C394" s="3">
        <v>42256</v>
      </c>
      <c r="D394" s="7" t="str">
        <f t="shared" si="12"/>
        <v>September</v>
      </c>
      <c r="E394" s="3">
        <f t="shared" si="13"/>
        <v>42277</v>
      </c>
      <c r="F394" s="3">
        <v>42317</v>
      </c>
      <c r="G394" t="s">
        <v>23</v>
      </c>
      <c r="H394" t="s">
        <v>1379</v>
      </c>
      <c r="I394" t="s">
        <v>1380</v>
      </c>
      <c r="J394" t="s">
        <v>26</v>
      </c>
      <c r="K394" t="s">
        <v>27</v>
      </c>
      <c r="L394" t="s">
        <v>1381</v>
      </c>
      <c r="M394" t="s">
        <v>96</v>
      </c>
      <c r="N394">
        <v>98198</v>
      </c>
      <c r="O394" t="s">
        <v>44</v>
      </c>
      <c r="P394" t="s">
        <v>1384</v>
      </c>
      <c r="Q394" t="s">
        <v>71</v>
      </c>
      <c r="R394" t="s">
        <v>1219</v>
      </c>
      <c r="S394" t="s">
        <v>1385</v>
      </c>
      <c r="T394" s="4">
        <v>1799.97</v>
      </c>
      <c r="U394">
        <v>3</v>
      </c>
      <c r="V394">
        <v>0</v>
      </c>
      <c r="W394" s="4">
        <v>701.98829999999998</v>
      </c>
    </row>
    <row r="395" spans="1:23" x14ac:dyDescent="0.3">
      <c r="A395">
        <v>394</v>
      </c>
      <c r="B395" t="s">
        <v>1386</v>
      </c>
      <c r="C395" s="3">
        <v>41826</v>
      </c>
      <c r="D395" s="7" t="str">
        <f t="shared" si="12"/>
        <v>July</v>
      </c>
      <c r="E395" s="3">
        <f t="shared" si="13"/>
        <v>41851</v>
      </c>
      <c r="F395" s="3">
        <v>41918</v>
      </c>
      <c r="G395" t="s">
        <v>23</v>
      </c>
      <c r="H395" t="s">
        <v>1387</v>
      </c>
      <c r="I395" t="s">
        <v>1388</v>
      </c>
      <c r="J395" t="s">
        <v>41</v>
      </c>
      <c r="K395" t="s">
        <v>27</v>
      </c>
      <c r="L395" t="s">
        <v>1389</v>
      </c>
      <c r="M395" t="s">
        <v>211</v>
      </c>
      <c r="N395">
        <v>61604</v>
      </c>
      <c r="O395" t="s">
        <v>105</v>
      </c>
      <c r="P395" t="s">
        <v>1390</v>
      </c>
      <c r="Q395" t="s">
        <v>46</v>
      </c>
      <c r="R395" t="s">
        <v>75</v>
      </c>
      <c r="S395" t="s">
        <v>1391</v>
      </c>
      <c r="T395" s="4">
        <v>12.462</v>
      </c>
      <c r="U395">
        <v>3</v>
      </c>
      <c r="V395">
        <v>0.8</v>
      </c>
      <c r="W395" s="4">
        <v>-20.5623</v>
      </c>
    </row>
    <row r="396" spans="1:23" x14ac:dyDescent="0.3">
      <c r="A396">
        <v>395</v>
      </c>
      <c r="B396" t="s">
        <v>1392</v>
      </c>
      <c r="C396" s="3">
        <v>43622</v>
      </c>
      <c r="D396" s="7" t="str">
        <f t="shared" si="12"/>
        <v>June</v>
      </c>
      <c r="E396" s="3">
        <f t="shared" si="13"/>
        <v>43646</v>
      </c>
      <c r="F396" s="3">
        <v>42862</v>
      </c>
      <c r="G396" t="s">
        <v>50</v>
      </c>
      <c r="H396" t="s">
        <v>1393</v>
      </c>
      <c r="I396" t="s">
        <v>1394</v>
      </c>
      <c r="J396" t="s">
        <v>102</v>
      </c>
      <c r="K396" t="s">
        <v>27</v>
      </c>
      <c r="L396" t="s">
        <v>1395</v>
      </c>
      <c r="M396" t="s">
        <v>1396</v>
      </c>
      <c r="N396">
        <v>89115</v>
      </c>
      <c r="O396" t="s">
        <v>44</v>
      </c>
      <c r="P396" t="s">
        <v>1397</v>
      </c>
      <c r="Q396" t="s">
        <v>46</v>
      </c>
      <c r="R396" t="s">
        <v>75</v>
      </c>
      <c r="S396" t="s">
        <v>1398</v>
      </c>
      <c r="T396" s="4">
        <v>75.792000000000002</v>
      </c>
      <c r="U396">
        <v>3</v>
      </c>
      <c r="V396">
        <v>0.2</v>
      </c>
      <c r="W396" s="4">
        <v>25.579799999999999</v>
      </c>
    </row>
    <row r="397" spans="1:23" x14ac:dyDescent="0.3">
      <c r="A397">
        <v>396</v>
      </c>
      <c r="B397" t="s">
        <v>1399</v>
      </c>
      <c r="C397" s="3">
        <v>43230</v>
      </c>
      <c r="D397" s="7" t="str">
        <f t="shared" si="12"/>
        <v>May</v>
      </c>
      <c r="E397" s="3">
        <f t="shared" si="13"/>
        <v>43251</v>
      </c>
      <c r="F397" s="3">
        <v>43291</v>
      </c>
      <c r="G397" t="s">
        <v>23</v>
      </c>
      <c r="H397" t="s">
        <v>1400</v>
      </c>
      <c r="I397" t="s">
        <v>1401</v>
      </c>
      <c r="J397" t="s">
        <v>41</v>
      </c>
      <c r="K397" t="s">
        <v>27</v>
      </c>
      <c r="L397" t="s">
        <v>1402</v>
      </c>
      <c r="M397" t="s">
        <v>1403</v>
      </c>
      <c r="N397">
        <v>2886</v>
      </c>
      <c r="O397" t="s">
        <v>148</v>
      </c>
      <c r="P397" t="s">
        <v>1404</v>
      </c>
      <c r="Q397" t="s">
        <v>46</v>
      </c>
      <c r="R397" t="s">
        <v>59</v>
      </c>
      <c r="S397" t="s">
        <v>1405</v>
      </c>
      <c r="T397" s="4">
        <v>49.96</v>
      </c>
      <c r="U397">
        <v>2</v>
      </c>
      <c r="V397">
        <v>0</v>
      </c>
      <c r="W397" s="4">
        <v>9.4923999999999999</v>
      </c>
    </row>
    <row r="398" spans="1:23" x14ac:dyDescent="0.3">
      <c r="A398">
        <v>397</v>
      </c>
      <c r="B398" t="s">
        <v>1399</v>
      </c>
      <c r="C398" s="3">
        <v>43230</v>
      </c>
      <c r="D398" s="7" t="str">
        <f t="shared" si="12"/>
        <v>May</v>
      </c>
      <c r="E398" s="3">
        <f t="shared" si="13"/>
        <v>43251</v>
      </c>
      <c r="F398" s="3">
        <v>43291</v>
      </c>
      <c r="G398" t="s">
        <v>23</v>
      </c>
      <c r="H398" t="s">
        <v>1400</v>
      </c>
      <c r="I398" t="s">
        <v>1401</v>
      </c>
      <c r="J398" t="s">
        <v>41</v>
      </c>
      <c r="K398" t="s">
        <v>27</v>
      </c>
      <c r="L398" t="s">
        <v>1402</v>
      </c>
      <c r="M398" t="s">
        <v>1403</v>
      </c>
      <c r="N398">
        <v>2886</v>
      </c>
      <c r="O398" t="s">
        <v>148</v>
      </c>
      <c r="P398" t="s">
        <v>1406</v>
      </c>
      <c r="Q398" t="s">
        <v>46</v>
      </c>
      <c r="R398" t="s">
        <v>90</v>
      </c>
      <c r="S398" t="s">
        <v>1407</v>
      </c>
      <c r="T398" s="4">
        <v>12.96</v>
      </c>
      <c r="U398">
        <v>2</v>
      </c>
      <c r="V398">
        <v>0</v>
      </c>
      <c r="W398" s="4">
        <v>6.2207999999999997</v>
      </c>
    </row>
    <row r="399" spans="1:23" x14ac:dyDescent="0.3">
      <c r="A399">
        <v>398</v>
      </c>
      <c r="B399" t="s">
        <v>1408</v>
      </c>
      <c r="C399" s="3">
        <v>42926</v>
      </c>
      <c r="D399" s="7" t="str">
        <f t="shared" si="12"/>
        <v>July</v>
      </c>
      <c r="E399" s="3">
        <f t="shared" si="13"/>
        <v>42947</v>
      </c>
      <c r="F399" s="3">
        <v>42105</v>
      </c>
      <c r="G399" t="s">
        <v>50</v>
      </c>
      <c r="H399" t="s">
        <v>100</v>
      </c>
      <c r="I399" t="s">
        <v>101</v>
      </c>
      <c r="J399" t="s">
        <v>102</v>
      </c>
      <c r="K399" t="s">
        <v>27</v>
      </c>
      <c r="L399" t="s">
        <v>328</v>
      </c>
      <c r="M399" t="s">
        <v>238</v>
      </c>
      <c r="N399">
        <v>49201</v>
      </c>
      <c r="O399" t="s">
        <v>105</v>
      </c>
      <c r="P399" t="s">
        <v>1409</v>
      </c>
      <c r="Q399" t="s">
        <v>46</v>
      </c>
      <c r="R399" t="s">
        <v>579</v>
      </c>
      <c r="S399" t="s">
        <v>1410</v>
      </c>
      <c r="T399" s="4">
        <v>70.12</v>
      </c>
      <c r="U399">
        <v>4</v>
      </c>
      <c r="V399">
        <v>0</v>
      </c>
      <c r="W399" s="4">
        <v>21.036000000000001</v>
      </c>
    </row>
    <row r="400" spans="1:23" x14ac:dyDescent="0.3">
      <c r="A400">
        <v>399</v>
      </c>
      <c r="B400" t="s">
        <v>1411</v>
      </c>
      <c r="C400" s="3">
        <v>42591</v>
      </c>
      <c r="D400" s="7" t="str">
        <f t="shared" si="12"/>
        <v>August</v>
      </c>
      <c r="E400" s="3">
        <f t="shared" si="13"/>
        <v>42613</v>
      </c>
      <c r="F400" s="3">
        <v>42652</v>
      </c>
      <c r="G400" t="s">
        <v>23</v>
      </c>
      <c r="H400" t="s">
        <v>1412</v>
      </c>
      <c r="I400" t="s">
        <v>1413</v>
      </c>
      <c r="J400" t="s">
        <v>26</v>
      </c>
      <c r="K400" t="s">
        <v>27</v>
      </c>
      <c r="L400" t="s">
        <v>184</v>
      </c>
      <c r="M400" t="s">
        <v>104</v>
      </c>
      <c r="N400">
        <v>77036</v>
      </c>
      <c r="O400" t="s">
        <v>105</v>
      </c>
      <c r="P400" t="s">
        <v>1414</v>
      </c>
      <c r="Q400" t="s">
        <v>46</v>
      </c>
      <c r="R400" t="s">
        <v>59</v>
      </c>
      <c r="S400" t="s">
        <v>1415</v>
      </c>
      <c r="T400" s="4">
        <v>35.951999999999998</v>
      </c>
      <c r="U400">
        <v>3</v>
      </c>
      <c r="V400">
        <v>0.2</v>
      </c>
      <c r="W400" s="4">
        <v>3.5952000000000002</v>
      </c>
    </row>
    <row r="401" spans="1:23" x14ac:dyDescent="0.3">
      <c r="A401">
        <v>400</v>
      </c>
      <c r="B401" t="s">
        <v>1411</v>
      </c>
      <c r="C401" s="3">
        <v>42591</v>
      </c>
      <c r="D401" s="7" t="str">
        <f t="shared" si="12"/>
        <v>August</v>
      </c>
      <c r="E401" s="3">
        <f t="shared" si="13"/>
        <v>42613</v>
      </c>
      <c r="F401" s="3">
        <v>42652</v>
      </c>
      <c r="G401" t="s">
        <v>23</v>
      </c>
      <c r="H401" t="s">
        <v>1412</v>
      </c>
      <c r="I401" t="s">
        <v>1413</v>
      </c>
      <c r="J401" t="s">
        <v>26</v>
      </c>
      <c r="K401" t="s">
        <v>27</v>
      </c>
      <c r="L401" t="s">
        <v>184</v>
      </c>
      <c r="M401" t="s">
        <v>104</v>
      </c>
      <c r="N401">
        <v>77036</v>
      </c>
      <c r="O401" t="s">
        <v>105</v>
      </c>
      <c r="P401" t="s">
        <v>166</v>
      </c>
      <c r="Q401" t="s">
        <v>32</v>
      </c>
      <c r="R401" t="s">
        <v>33</v>
      </c>
      <c r="S401" t="s">
        <v>167</v>
      </c>
      <c r="T401" s="4">
        <v>2396.2656000000002</v>
      </c>
      <c r="U401">
        <v>4</v>
      </c>
      <c r="V401">
        <v>0.32</v>
      </c>
      <c r="W401" s="4">
        <v>-317.15280000000001</v>
      </c>
    </row>
    <row r="402" spans="1:23" x14ac:dyDescent="0.3">
      <c r="A402">
        <v>401</v>
      </c>
      <c r="B402" t="s">
        <v>1411</v>
      </c>
      <c r="C402" s="3">
        <v>42591</v>
      </c>
      <c r="D402" s="7" t="str">
        <f t="shared" si="12"/>
        <v>August</v>
      </c>
      <c r="E402" s="3">
        <f t="shared" si="13"/>
        <v>42613</v>
      </c>
      <c r="F402" s="3">
        <v>42652</v>
      </c>
      <c r="G402" t="s">
        <v>23</v>
      </c>
      <c r="H402" t="s">
        <v>1412</v>
      </c>
      <c r="I402" t="s">
        <v>1413</v>
      </c>
      <c r="J402" t="s">
        <v>26</v>
      </c>
      <c r="K402" t="s">
        <v>27</v>
      </c>
      <c r="L402" t="s">
        <v>184</v>
      </c>
      <c r="M402" t="s">
        <v>104</v>
      </c>
      <c r="N402">
        <v>77036</v>
      </c>
      <c r="O402" t="s">
        <v>105</v>
      </c>
      <c r="P402" t="s">
        <v>1416</v>
      </c>
      <c r="Q402" t="s">
        <v>46</v>
      </c>
      <c r="R402" t="s">
        <v>59</v>
      </c>
      <c r="S402" t="s">
        <v>1417</v>
      </c>
      <c r="T402" s="4">
        <v>131.136</v>
      </c>
      <c r="U402">
        <v>4</v>
      </c>
      <c r="V402">
        <v>0.2</v>
      </c>
      <c r="W402" s="4">
        <v>-32.783999999999999</v>
      </c>
    </row>
    <row r="403" spans="1:23" x14ac:dyDescent="0.3">
      <c r="A403">
        <v>402</v>
      </c>
      <c r="B403" t="s">
        <v>1411</v>
      </c>
      <c r="C403" s="3">
        <v>42591</v>
      </c>
      <c r="D403" s="7" t="str">
        <f t="shared" si="12"/>
        <v>August</v>
      </c>
      <c r="E403" s="3">
        <f t="shared" si="13"/>
        <v>42613</v>
      </c>
      <c r="F403" s="3">
        <v>42652</v>
      </c>
      <c r="G403" t="s">
        <v>23</v>
      </c>
      <c r="H403" t="s">
        <v>1412</v>
      </c>
      <c r="I403" t="s">
        <v>1413</v>
      </c>
      <c r="J403" t="s">
        <v>26</v>
      </c>
      <c r="K403" t="s">
        <v>27</v>
      </c>
      <c r="L403" t="s">
        <v>184</v>
      </c>
      <c r="M403" t="s">
        <v>104</v>
      </c>
      <c r="N403">
        <v>77036</v>
      </c>
      <c r="O403" t="s">
        <v>105</v>
      </c>
      <c r="P403" t="s">
        <v>1418</v>
      </c>
      <c r="Q403" t="s">
        <v>71</v>
      </c>
      <c r="R403" t="s">
        <v>161</v>
      </c>
      <c r="S403" t="s">
        <v>1419</v>
      </c>
      <c r="T403" s="4">
        <v>57.584000000000003</v>
      </c>
      <c r="U403">
        <v>2</v>
      </c>
      <c r="V403">
        <v>0.2</v>
      </c>
      <c r="W403" s="4">
        <v>0.7198</v>
      </c>
    </row>
    <row r="404" spans="1:23" x14ac:dyDescent="0.3">
      <c r="A404">
        <v>403</v>
      </c>
      <c r="B404" t="s">
        <v>1420</v>
      </c>
      <c r="C404" s="3">
        <v>42350</v>
      </c>
      <c r="D404" s="7" t="str">
        <f t="shared" si="12"/>
        <v>December</v>
      </c>
      <c r="E404" s="3">
        <f t="shared" si="13"/>
        <v>42369</v>
      </c>
      <c r="F404" s="3">
        <v>42412</v>
      </c>
      <c r="G404" t="s">
        <v>188</v>
      </c>
      <c r="H404" t="s">
        <v>1421</v>
      </c>
      <c r="I404" t="s">
        <v>1422</v>
      </c>
      <c r="J404" t="s">
        <v>26</v>
      </c>
      <c r="K404" t="s">
        <v>27</v>
      </c>
      <c r="L404" t="s">
        <v>1423</v>
      </c>
      <c r="M404" t="s">
        <v>54</v>
      </c>
      <c r="N404">
        <v>33180</v>
      </c>
      <c r="O404" t="s">
        <v>30</v>
      </c>
      <c r="P404" t="s">
        <v>1424</v>
      </c>
      <c r="Q404" t="s">
        <v>46</v>
      </c>
      <c r="R404" t="s">
        <v>90</v>
      </c>
      <c r="S404" t="s">
        <v>1425</v>
      </c>
      <c r="T404" s="4">
        <v>9.5679999999999996</v>
      </c>
      <c r="U404">
        <v>2</v>
      </c>
      <c r="V404">
        <v>0.2</v>
      </c>
      <c r="W404" s="4">
        <v>3.4683999999999999</v>
      </c>
    </row>
    <row r="405" spans="1:23" x14ac:dyDescent="0.3">
      <c r="A405">
        <v>404</v>
      </c>
      <c r="B405" t="s">
        <v>1426</v>
      </c>
      <c r="C405" s="3">
        <v>42098</v>
      </c>
      <c r="D405" s="7" t="str">
        <f t="shared" si="12"/>
        <v>April</v>
      </c>
      <c r="E405" s="3">
        <f t="shared" si="13"/>
        <v>42124</v>
      </c>
      <c r="F405" s="3">
        <v>42220</v>
      </c>
      <c r="G405" t="s">
        <v>50</v>
      </c>
      <c r="H405" t="s">
        <v>629</v>
      </c>
      <c r="I405" t="s">
        <v>630</v>
      </c>
      <c r="J405" t="s">
        <v>41</v>
      </c>
      <c r="K405" t="s">
        <v>27</v>
      </c>
      <c r="L405" t="s">
        <v>521</v>
      </c>
      <c r="M405" t="s">
        <v>88</v>
      </c>
      <c r="N405">
        <v>28403</v>
      </c>
      <c r="O405" t="s">
        <v>30</v>
      </c>
      <c r="P405" t="s">
        <v>1427</v>
      </c>
      <c r="Q405" t="s">
        <v>46</v>
      </c>
      <c r="R405" t="s">
        <v>68</v>
      </c>
      <c r="S405" t="s">
        <v>1428</v>
      </c>
      <c r="T405" s="4">
        <v>39.072000000000003</v>
      </c>
      <c r="U405">
        <v>6</v>
      </c>
      <c r="V405">
        <v>0.2</v>
      </c>
      <c r="W405" s="4">
        <v>9.7680000000000007</v>
      </c>
    </row>
    <row r="406" spans="1:23" x14ac:dyDescent="0.3">
      <c r="A406">
        <v>405</v>
      </c>
      <c r="B406" t="s">
        <v>1429</v>
      </c>
      <c r="C406" s="3">
        <v>43446</v>
      </c>
      <c r="D406" s="7" t="str">
        <f t="shared" si="12"/>
        <v>December</v>
      </c>
      <c r="E406" s="3">
        <f t="shared" si="13"/>
        <v>43465</v>
      </c>
      <c r="F406" s="3">
        <v>43597</v>
      </c>
      <c r="G406" t="s">
        <v>50</v>
      </c>
      <c r="H406" t="s">
        <v>1430</v>
      </c>
      <c r="I406" t="s">
        <v>1431</v>
      </c>
      <c r="J406" t="s">
        <v>26</v>
      </c>
      <c r="K406" t="s">
        <v>27</v>
      </c>
      <c r="L406" t="s">
        <v>266</v>
      </c>
      <c r="M406" t="s">
        <v>267</v>
      </c>
      <c r="N406">
        <v>10024</v>
      </c>
      <c r="O406" t="s">
        <v>148</v>
      </c>
      <c r="P406" t="s">
        <v>1432</v>
      </c>
      <c r="Q406" t="s">
        <v>46</v>
      </c>
      <c r="R406" t="s">
        <v>78</v>
      </c>
      <c r="S406" t="s">
        <v>1433</v>
      </c>
      <c r="T406" s="4">
        <v>35.909999999999997</v>
      </c>
      <c r="U406">
        <v>3</v>
      </c>
      <c r="V406">
        <v>0</v>
      </c>
      <c r="W406" s="4">
        <v>9.6957000000000004</v>
      </c>
    </row>
    <row r="407" spans="1:23" x14ac:dyDescent="0.3">
      <c r="A407">
        <v>406</v>
      </c>
      <c r="B407" t="s">
        <v>1434</v>
      </c>
      <c r="C407" s="3">
        <v>42959</v>
      </c>
      <c r="D407" s="7" t="str">
        <f t="shared" si="12"/>
        <v>August</v>
      </c>
      <c r="E407" s="3">
        <f t="shared" si="13"/>
        <v>42978</v>
      </c>
      <c r="F407" s="3">
        <v>43081</v>
      </c>
      <c r="G407" t="s">
        <v>50</v>
      </c>
      <c r="H407" t="s">
        <v>1435</v>
      </c>
      <c r="I407" t="s">
        <v>1436</v>
      </c>
      <c r="J407" t="s">
        <v>26</v>
      </c>
      <c r="K407" t="s">
        <v>27</v>
      </c>
      <c r="L407" t="s">
        <v>127</v>
      </c>
      <c r="M407" t="s">
        <v>43</v>
      </c>
      <c r="N407">
        <v>94110</v>
      </c>
      <c r="O407" t="s">
        <v>44</v>
      </c>
      <c r="P407" t="s">
        <v>1418</v>
      </c>
      <c r="Q407" t="s">
        <v>71</v>
      </c>
      <c r="R407" t="s">
        <v>161</v>
      </c>
      <c r="S407" t="s">
        <v>1419</v>
      </c>
      <c r="T407" s="4">
        <v>179.95</v>
      </c>
      <c r="U407">
        <v>5</v>
      </c>
      <c r="V407">
        <v>0</v>
      </c>
      <c r="W407" s="4">
        <v>37.789499999999997</v>
      </c>
    </row>
    <row r="408" spans="1:23" x14ac:dyDescent="0.3">
      <c r="A408">
        <v>407</v>
      </c>
      <c r="B408" t="s">
        <v>1434</v>
      </c>
      <c r="C408" s="3">
        <v>42959</v>
      </c>
      <c r="D408" s="7" t="str">
        <f t="shared" si="12"/>
        <v>August</v>
      </c>
      <c r="E408" s="3">
        <f t="shared" si="13"/>
        <v>42978</v>
      </c>
      <c r="F408" s="3">
        <v>43081</v>
      </c>
      <c r="G408" t="s">
        <v>50</v>
      </c>
      <c r="H408" t="s">
        <v>1435</v>
      </c>
      <c r="I408" t="s">
        <v>1436</v>
      </c>
      <c r="J408" t="s">
        <v>26</v>
      </c>
      <c r="K408" t="s">
        <v>27</v>
      </c>
      <c r="L408" t="s">
        <v>127</v>
      </c>
      <c r="M408" t="s">
        <v>43</v>
      </c>
      <c r="N408">
        <v>94110</v>
      </c>
      <c r="O408" t="s">
        <v>44</v>
      </c>
      <c r="P408" t="s">
        <v>1437</v>
      </c>
      <c r="Q408" t="s">
        <v>71</v>
      </c>
      <c r="R408" t="s">
        <v>1219</v>
      </c>
      <c r="S408" t="s">
        <v>1438</v>
      </c>
      <c r="T408" s="4">
        <v>1199.9760000000001</v>
      </c>
      <c r="U408">
        <v>3</v>
      </c>
      <c r="V408">
        <v>0.2</v>
      </c>
      <c r="W408" s="4">
        <v>434.99130000000002</v>
      </c>
    </row>
    <row r="409" spans="1:23" x14ac:dyDescent="0.3">
      <c r="A409">
        <v>408</v>
      </c>
      <c r="B409" t="s">
        <v>1434</v>
      </c>
      <c r="C409" s="3">
        <v>42959</v>
      </c>
      <c r="D409" s="7" t="str">
        <f t="shared" si="12"/>
        <v>August</v>
      </c>
      <c r="E409" s="3">
        <f t="shared" si="13"/>
        <v>42978</v>
      </c>
      <c r="F409" s="3">
        <v>43081</v>
      </c>
      <c r="G409" t="s">
        <v>50</v>
      </c>
      <c r="H409" t="s">
        <v>1435</v>
      </c>
      <c r="I409" t="s">
        <v>1436</v>
      </c>
      <c r="J409" t="s">
        <v>26</v>
      </c>
      <c r="K409" t="s">
        <v>27</v>
      </c>
      <c r="L409" t="s">
        <v>127</v>
      </c>
      <c r="M409" t="s">
        <v>43</v>
      </c>
      <c r="N409">
        <v>94110</v>
      </c>
      <c r="O409" t="s">
        <v>44</v>
      </c>
      <c r="P409" t="s">
        <v>1439</v>
      </c>
      <c r="Q409" t="s">
        <v>46</v>
      </c>
      <c r="R409" t="s">
        <v>90</v>
      </c>
      <c r="S409" t="s">
        <v>1440</v>
      </c>
      <c r="T409" s="4">
        <v>27.15</v>
      </c>
      <c r="U409">
        <v>5</v>
      </c>
      <c r="V409">
        <v>0</v>
      </c>
      <c r="W409" s="4">
        <v>13.3035</v>
      </c>
    </row>
    <row r="410" spans="1:23" x14ac:dyDescent="0.3">
      <c r="A410">
        <v>409</v>
      </c>
      <c r="B410" t="s">
        <v>1434</v>
      </c>
      <c r="C410" s="3">
        <v>42959</v>
      </c>
      <c r="D410" s="7" t="str">
        <f t="shared" si="12"/>
        <v>August</v>
      </c>
      <c r="E410" s="3">
        <f t="shared" si="13"/>
        <v>42978</v>
      </c>
      <c r="F410" s="3">
        <v>43081</v>
      </c>
      <c r="G410" t="s">
        <v>50</v>
      </c>
      <c r="H410" t="s">
        <v>1435</v>
      </c>
      <c r="I410" t="s">
        <v>1436</v>
      </c>
      <c r="J410" t="s">
        <v>26</v>
      </c>
      <c r="K410" t="s">
        <v>27</v>
      </c>
      <c r="L410" t="s">
        <v>127</v>
      </c>
      <c r="M410" t="s">
        <v>43</v>
      </c>
      <c r="N410">
        <v>94110</v>
      </c>
      <c r="O410" t="s">
        <v>44</v>
      </c>
      <c r="P410" t="s">
        <v>1441</v>
      </c>
      <c r="Q410" t="s">
        <v>32</v>
      </c>
      <c r="R410" t="s">
        <v>56</v>
      </c>
      <c r="S410" t="s">
        <v>1442</v>
      </c>
      <c r="T410" s="4">
        <v>1004.024</v>
      </c>
      <c r="U410">
        <v>7</v>
      </c>
      <c r="V410">
        <v>0.2</v>
      </c>
      <c r="W410" s="4">
        <v>-112.95269999999999</v>
      </c>
    </row>
    <row r="411" spans="1:23" x14ac:dyDescent="0.3">
      <c r="A411">
        <v>410</v>
      </c>
      <c r="B411" t="s">
        <v>1434</v>
      </c>
      <c r="C411" s="3">
        <v>42959</v>
      </c>
      <c r="D411" s="7" t="str">
        <f t="shared" si="12"/>
        <v>August</v>
      </c>
      <c r="E411" s="3">
        <f t="shared" si="13"/>
        <v>42978</v>
      </c>
      <c r="F411" s="3">
        <v>43081</v>
      </c>
      <c r="G411" t="s">
        <v>50</v>
      </c>
      <c r="H411" t="s">
        <v>1435</v>
      </c>
      <c r="I411" t="s">
        <v>1436</v>
      </c>
      <c r="J411" t="s">
        <v>26</v>
      </c>
      <c r="K411" t="s">
        <v>27</v>
      </c>
      <c r="L411" t="s">
        <v>127</v>
      </c>
      <c r="M411" t="s">
        <v>43</v>
      </c>
      <c r="N411">
        <v>94110</v>
      </c>
      <c r="O411" t="s">
        <v>44</v>
      </c>
      <c r="P411" t="s">
        <v>1443</v>
      </c>
      <c r="Q411" t="s">
        <v>46</v>
      </c>
      <c r="R411" t="s">
        <v>90</v>
      </c>
      <c r="S411" t="s">
        <v>1444</v>
      </c>
      <c r="T411" s="4">
        <v>9.68</v>
      </c>
      <c r="U411">
        <v>1</v>
      </c>
      <c r="V411">
        <v>0</v>
      </c>
      <c r="W411" s="4">
        <v>4.6463999999999999</v>
      </c>
    </row>
    <row r="412" spans="1:23" x14ac:dyDescent="0.3">
      <c r="A412">
        <v>411</v>
      </c>
      <c r="B412" t="s">
        <v>1434</v>
      </c>
      <c r="C412" s="3">
        <v>42959</v>
      </c>
      <c r="D412" s="7" t="str">
        <f t="shared" si="12"/>
        <v>August</v>
      </c>
      <c r="E412" s="3">
        <f t="shared" si="13"/>
        <v>42978</v>
      </c>
      <c r="F412" s="3">
        <v>43081</v>
      </c>
      <c r="G412" t="s">
        <v>50</v>
      </c>
      <c r="H412" t="s">
        <v>1435</v>
      </c>
      <c r="I412" t="s">
        <v>1436</v>
      </c>
      <c r="J412" t="s">
        <v>26</v>
      </c>
      <c r="K412" t="s">
        <v>27</v>
      </c>
      <c r="L412" t="s">
        <v>127</v>
      </c>
      <c r="M412" t="s">
        <v>43</v>
      </c>
      <c r="N412">
        <v>94110</v>
      </c>
      <c r="O412" t="s">
        <v>44</v>
      </c>
      <c r="P412" t="s">
        <v>1445</v>
      </c>
      <c r="Q412" t="s">
        <v>46</v>
      </c>
      <c r="R412" t="s">
        <v>47</v>
      </c>
      <c r="S412" t="s">
        <v>1446</v>
      </c>
      <c r="T412" s="4">
        <v>28.35</v>
      </c>
      <c r="U412">
        <v>9</v>
      </c>
      <c r="V412">
        <v>0</v>
      </c>
      <c r="W412" s="4">
        <v>13.608000000000001</v>
      </c>
    </row>
    <row r="413" spans="1:23" x14ac:dyDescent="0.3">
      <c r="A413">
        <v>412</v>
      </c>
      <c r="B413" t="s">
        <v>1434</v>
      </c>
      <c r="C413" s="3">
        <v>42959</v>
      </c>
      <c r="D413" s="7" t="str">
        <f t="shared" si="12"/>
        <v>August</v>
      </c>
      <c r="E413" s="3">
        <f t="shared" si="13"/>
        <v>42978</v>
      </c>
      <c r="F413" s="3">
        <v>43081</v>
      </c>
      <c r="G413" t="s">
        <v>50</v>
      </c>
      <c r="H413" t="s">
        <v>1435</v>
      </c>
      <c r="I413" t="s">
        <v>1436</v>
      </c>
      <c r="J413" t="s">
        <v>26</v>
      </c>
      <c r="K413" t="s">
        <v>27</v>
      </c>
      <c r="L413" t="s">
        <v>127</v>
      </c>
      <c r="M413" t="s">
        <v>43</v>
      </c>
      <c r="N413">
        <v>94110</v>
      </c>
      <c r="O413" t="s">
        <v>44</v>
      </c>
      <c r="P413" t="s">
        <v>1254</v>
      </c>
      <c r="Q413" t="s">
        <v>46</v>
      </c>
      <c r="R413" t="s">
        <v>90</v>
      </c>
      <c r="S413" t="s">
        <v>1447</v>
      </c>
      <c r="T413" s="4">
        <v>55.98</v>
      </c>
      <c r="U413">
        <v>1</v>
      </c>
      <c r="V413">
        <v>0</v>
      </c>
      <c r="W413" s="4">
        <v>27.430199999999999</v>
      </c>
    </row>
    <row r="414" spans="1:23" x14ac:dyDescent="0.3">
      <c r="A414">
        <v>413</v>
      </c>
      <c r="B414" t="s">
        <v>1434</v>
      </c>
      <c r="C414" s="3">
        <v>42959</v>
      </c>
      <c r="D414" s="7" t="str">
        <f t="shared" si="12"/>
        <v>August</v>
      </c>
      <c r="E414" s="3">
        <f t="shared" si="13"/>
        <v>42978</v>
      </c>
      <c r="F414" s="3">
        <v>43081</v>
      </c>
      <c r="G414" t="s">
        <v>50</v>
      </c>
      <c r="H414" t="s">
        <v>1435</v>
      </c>
      <c r="I414" t="s">
        <v>1436</v>
      </c>
      <c r="J414" t="s">
        <v>26</v>
      </c>
      <c r="K414" t="s">
        <v>27</v>
      </c>
      <c r="L414" t="s">
        <v>127</v>
      </c>
      <c r="M414" t="s">
        <v>43</v>
      </c>
      <c r="N414">
        <v>94110</v>
      </c>
      <c r="O414" t="s">
        <v>44</v>
      </c>
      <c r="P414" t="s">
        <v>1448</v>
      </c>
      <c r="Q414" t="s">
        <v>32</v>
      </c>
      <c r="R414" t="s">
        <v>33</v>
      </c>
      <c r="S414" t="s">
        <v>1449</v>
      </c>
      <c r="T414" s="4">
        <v>1336.829</v>
      </c>
      <c r="U414">
        <v>13</v>
      </c>
      <c r="V414">
        <v>0.15</v>
      </c>
      <c r="W414" s="4">
        <v>31.454799999999999</v>
      </c>
    </row>
    <row r="415" spans="1:23" x14ac:dyDescent="0.3">
      <c r="A415">
        <v>414</v>
      </c>
      <c r="B415" t="s">
        <v>1434</v>
      </c>
      <c r="C415" s="3">
        <v>42959</v>
      </c>
      <c r="D415" s="7" t="str">
        <f t="shared" si="12"/>
        <v>August</v>
      </c>
      <c r="E415" s="3">
        <f t="shared" si="13"/>
        <v>42978</v>
      </c>
      <c r="F415" s="3">
        <v>43081</v>
      </c>
      <c r="G415" t="s">
        <v>50</v>
      </c>
      <c r="H415" t="s">
        <v>1435</v>
      </c>
      <c r="I415" t="s">
        <v>1436</v>
      </c>
      <c r="J415" t="s">
        <v>26</v>
      </c>
      <c r="K415" t="s">
        <v>27</v>
      </c>
      <c r="L415" t="s">
        <v>127</v>
      </c>
      <c r="M415" t="s">
        <v>43</v>
      </c>
      <c r="N415">
        <v>94110</v>
      </c>
      <c r="O415" t="s">
        <v>44</v>
      </c>
      <c r="P415" t="s">
        <v>1450</v>
      </c>
      <c r="Q415" t="s">
        <v>32</v>
      </c>
      <c r="R415" t="s">
        <v>36</v>
      </c>
      <c r="S415" t="s">
        <v>1451</v>
      </c>
      <c r="T415" s="4">
        <v>113.568</v>
      </c>
      <c r="U415">
        <v>2</v>
      </c>
      <c r="V415">
        <v>0.2</v>
      </c>
      <c r="W415" s="4">
        <v>-18.454799999999999</v>
      </c>
    </row>
    <row r="416" spans="1:23" x14ac:dyDescent="0.3">
      <c r="A416">
        <v>415</v>
      </c>
      <c r="B416" t="s">
        <v>1452</v>
      </c>
      <c r="C416" s="3">
        <v>42805</v>
      </c>
      <c r="D416" s="7" t="str">
        <f t="shared" si="12"/>
        <v>March</v>
      </c>
      <c r="E416" s="3">
        <f t="shared" si="13"/>
        <v>42825</v>
      </c>
      <c r="F416" s="3">
        <v>42927</v>
      </c>
      <c r="G416" t="s">
        <v>50</v>
      </c>
      <c r="H416" t="s">
        <v>1453</v>
      </c>
      <c r="I416" t="s">
        <v>1454</v>
      </c>
      <c r="J416" t="s">
        <v>41</v>
      </c>
      <c r="K416" t="s">
        <v>27</v>
      </c>
      <c r="L416" t="s">
        <v>95</v>
      </c>
      <c r="M416" t="s">
        <v>96</v>
      </c>
      <c r="N416">
        <v>98105</v>
      </c>
      <c r="O416" t="s">
        <v>44</v>
      </c>
      <c r="P416" t="s">
        <v>1455</v>
      </c>
      <c r="Q416" t="s">
        <v>46</v>
      </c>
      <c r="R416" t="s">
        <v>90</v>
      </c>
      <c r="S416" t="s">
        <v>1456</v>
      </c>
      <c r="T416" s="4">
        <v>139.86000000000001</v>
      </c>
      <c r="U416">
        <v>7</v>
      </c>
      <c r="V416">
        <v>0</v>
      </c>
      <c r="W416" s="4">
        <v>65.734200000000001</v>
      </c>
    </row>
    <row r="417" spans="1:23" x14ac:dyDescent="0.3">
      <c r="A417">
        <v>416</v>
      </c>
      <c r="B417" t="s">
        <v>1452</v>
      </c>
      <c r="C417" s="3">
        <v>42805</v>
      </c>
      <c r="D417" s="7" t="str">
        <f t="shared" si="12"/>
        <v>March</v>
      </c>
      <c r="E417" s="3">
        <f t="shared" si="13"/>
        <v>42825</v>
      </c>
      <c r="F417" s="3">
        <v>42927</v>
      </c>
      <c r="G417" t="s">
        <v>50</v>
      </c>
      <c r="H417" t="s">
        <v>1453</v>
      </c>
      <c r="I417" t="s">
        <v>1454</v>
      </c>
      <c r="J417" t="s">
        <v>41</v>
      </c>
      <c r="K417" t="s">
        <v>27</v>
      </c>
      <c r="L417" t="s">
        <v>95</v>
      </c>
      <c r="M417" t="s">
        <v>96</v>
      </c>
      <c r="N417">
        <v>98105</v>
      </c>
      <c r="O417" t="s">
        <v>44</v>
      </c>
      <c r="P417" t="s">
        <v>1087</v>
      </c>
      <c r="Q417" t="s">
        <v>32</v>
      </c>
      <c r="R417" t="s">
        <v>36</v>
      </c>
      <c r="S417" t="s">
        <v>1088</v>
      </c>
      <c r="T417" s="4">
        <v>307.13600000000002</v>
      </c>
      <c r="U417">
        <v>4</v>
      </c>
      <c r="V417">
        <v>0.2</v>
      </c>
      <c r="W417" s="4">
        <v>26.874400000000001</v>
      </c>
    </row>
    <row r="418" spans="1:23" x14ac:dyDescent="0.3">
      <c r="A418">
        <v>417</v>
      </c>
      <c r="B418" t="s">
        <v>1457</v>
      </c>
      <c r="C418" s="3">
        <v>43440</v>
      </c>
      <c r="D418" s="7" t="str">
        <f t="shared" si="12"/>
        <v>December</v>
      </c>
      <c r="E418" s="3">
        <f t="shared" si="13"/>
        <v>43465</v>
      </c>
      <c r="F418" s="3">
        <v>43561</v>
      </c>
      <c r="G418" t="s">
        <v>50</v>
      </c>
      <c r="H418" t="s">
        <v>1458</v>
      </c>
      <c r="I418" t="s">
        <v>1459</v>
      </c>
      <c r="J418" t="s">
        <v>26</v>
      </c>
      <c r="K418" t="s">
        <v>27</v>
      </c>
      <c r="L418" t="s">
        <v>1460</v>
      </c>
      <c r="M418" t="s">
        <v>43</v>
      </c>
      <c r="N418">
        <v>92646</v>
      </c>
      <c r="O418" t="s">
        <v>44</v>
      </c>
      <c r="P418" t="s">
        <v>1461</v>
      </c>
      <c r="Q418" t="s">
        <v>46</v>
      </c>
      <c r="R418" t="s">
        <v>68</v>
      </c>
      <c r="S418" t="s">
        <v>1462</v>
      </c>
      <c r="T418" s="4">
        <v>95.92</v>
      </c>
      <c r="U418">
        <v>8</v>
      </c>
      <c r="V418">
        <v>0</v>
      </c>
      <c r="W418" s="4">
        <v>25.898399999999999</v>
      </c>
    </row>
    <row r="419" spans="1:23" x14ac:dyDescent="0.3">
      <c r="A419">
        <v>418</v>
      </c>
      <c r="B419" t="s">
        <v>1463</v>
      </c>
      <c r="C419" s="3">
        <v>42770</v>
      </c>
      <c r="D419" s="7" t="str">
        <f t="shared" si="12"/>
        <v>February</v>
      </c>
      <c r="E419" s="3">
        <f t="shared" si="13"/>
        <v>42794</v>
      </c>
      <c r="F419" s="3">
        <v>42890</v>
      </c>
      <c r="G419" t="s">
        <v>50</v>
      </c>
      <c r="H419" t="s">
        <v>1464</v>
      </c>
      <c r="I419" t="s">
        <v>1465</v>
      </c>
      <c r="J419" t="s">
        <v>26</v>
      </c>
      <c r="K419" t="s">
        <v>27</v>
      </c>
      <c r="L419" t="s">
        <v>42</v>
      </c>
      <c r="M419" t="s">
        <v>43</v>
      </c>
      <c r="N419">
        <v>90004</v>
      </c>
      <c r="O419" t="s">
        <v>44</v>
      </c>
      <c r="P419" t="s">
        <v>1466</v>
      </c>
      <c r="Q419" t="s">
        <v>32</v>
      </c>
      <c r="R419" t="s">
        <v>36</v>
      </c>
      <c r="S419" t="s">
        <v>1467</v>
      </c>
      <c r="T419" s="4">
        <v>383.8</v>
      </c>
      <c r="U419">
        <v>5</v>
      </c>
      <c r="V419">
        <v>0.2</v>
      </c>
      <c r="W419" s="4">
        <v>38.380000000000003</v>
      </c>
    </row>
    <row r="420" spans="1:23" x14ac:dyDescent="0.3">
      <c r="A420">
        <v>419</v>
      </c>
      <c r="B420" t="s">
        <v>1468</v>
      </c>
      <c r="C420" s="3">
        <v>42897</v>
      </c>
      <c r="D420" s="7" t="str">
        <f t="shared" si="12"/>
        <v>June</v>
      </c>
      <c r="E420" s="3">
        <f t="shared" si="13"/>
        <v>42916</v>
      </c>
      <c r="F420" s="3">
        <v>43019</v>
      </c>
      <c r="G420" t="s">
        <v>50</v>
      </c>
      <c r="H420" t="s">
        <v>1273</v>
      </c>
      <c r="I420" t="s">
        <v>1274</v>
      </c>
      <c r="J420" t="s">
        <v>41</v>
      </c>
      <c r="K420" t="s">
        <v>27</v>
      </c>
      <c r="L420" t="s">
        <v>1469</v>
      </c>
      <c r="M420" t="s">
        <v>29</v>
      </c>
      <c r="N420">
        <v>40475</v>
      </c>
      <c r="O420" t="s">
        <v>30</v>
      </c>
      <c r="P420" t="s">
        <v>1470</v>
      </c>
      <c r="Q420" t="s">
        <v>46</v>
      </c>
      <c r="R420" t="s">
        <v>90</v>
      </c>
      <c r="S420" t="s">
        <v>1471</v>
      </c>
      <c r="T420" s="4">
        <v>5.78</v>
      </c>
      <c r="U420">
        <v>1</v>
      </c>
      <c r="V420">
        <v>0</v>
      </c>
      <c r="W420" s="4">
        <v>2.8321999999999998</v>
      </c>
    </row>
    <row r="421" spans="1:23" x14ac:dyDescent="0.3">
      <c r="A421">
        <v>420</v>
      </c>
      <c r="B421" t="s">
        <v>1472</v>
      </c>
      <c r="C421" s="3">
        <v>42828</v>
      </c>
      <c r="D421" s="7" t="str">
        <f t="shared" si="12"/>
        <v>April</v>
      </c>
      <c r="E421" s="3">
        <f t="shared" si="13"/>
        <v>42855</v>
      </c>
      <c r="F421" s="3">
        <v>42981</v>
      </c>
      <c r="G421" t="s">
        <v>50</v>
      </c>
      <c r="H421" t="s">
        <v>1160</v>
      </c>
      <c r="I421" t="s">
        <v>1161</v>
      </c>
      <c r="J421" t="s">
        <v>41</v>
      </c>
      <c r="K421" t="s">
        <v>27</v>
      </c>
      <c r="L421" t="s">
        <v>42</v>
      </c>
      <c r="M421" t="s">
        <v>43</v>
      </c>
      <c r="N421">
        <v>90045</v>
      </c>
      <c r="O421" t="s">
        <v>44</v>
      </c>
      <c r="P421" t="s">
        <v>1473</v>
      </c>
      <c r="Q421" t="s">
        <v>46</v>
      </c>
      <c r="R421" t="s">
        <v>68</v>
      </c>
      <c r="S421" t="s">
        <v>1474</v>
      </c>
      <c r="T421" s="4">
        <v>9.32</v>
      </c>
      <c r="U421">
        <v>4</v>
      </c>
      <c r="V421">
        <v>0</v>
      </c>
      <c r="W421" s="4">
        <v>2.7027999999999999</v>
      </c>
    </row>
    <row r="422" spans="1:23" x14ac:dyDescent="0.3">
      <c r="A422">
        <v>421</v>
      </c>
      <c r="B422" t="s">
        <v>1472</v>
      </c>
      <c r="C422" s="3">
        <v>42828</v>
      </c>
      <c r="D422" s="7" t="str">
        <f t="shared" si="12"/>
        <v>April</v>
      </c>
      <c r="E422" s="3">
        <f t="shared" si="13"/>
        <v>42855</v>
      </c>
      <c r="F422" s="3">
        <v>42981</v>
      </c>
      <c r="G422" t="s">
        <v>50</v>
      </c>
      <c r="H422" t="s">
        <v>1160</v>
      </c>
      <c r="I422" t="s">
        <v>1161</v>
      </c>
      <c r="J422" t="s">
        <v>41</v>
      </c>
      <c r="K422" t="s">
        <v>27</v>
      </c>
      <c r="L422" t="s">
        <v>42</v>
      </c>
      <c r="M422" t="s">
        <v>43</v>
      </c>
      <c r="N422">
        <v>90045</v>
      </c>
      <c r="O422" t="s">
        <v>44</v>
      </c>
      <c r="P422" t="s">
        <v>1475</v>
      </c>
      <c r="Q422" t="s">
        <v>46</v>
      </c>
      <c r="R422" t="s">
        <v>173</v>
      </c>
      <c r="S422" t="s">
        <v>1476</v>
      </c>
      <c r="T422" s="4">
        <v>15.25</v>
      </c>
      <c r="U422">
        <v>1</v>
      </c>
      <c r="V422">
        <v>0</v>
      </c>
      <c r="W422" s="4">
        <v>7.0149999999999997</v>
      </c>
    </row>
    <row r="423" spans="1:23" x14ac:dyDescent="0.3">
      <c r="A423">
        <v>422</v>
      </c>
      <c r="B423" t="s">
        <v>1477</v>
      </c>
      <c r="C423" s="3">
        <v>42283</v>
      </c>
      <c r="D423" s="7" t="str">
        <f t="shared" si="12"/>
        <v>October</v>
      </c>
      <c r="E423" s="3">
        <f t="shared" si="13"/>
        <v>42308</v>
      </c>
      <c r="F423" s="3">
        <v>42375</v>
      </c>
      <c r="G423" t="s">
        <v>188</v>
      </c>
      <c r="H423" t="s">
        <v>332</v>
      </c>
      <c r="I423" t="s">
        <v>333</v>
      </c>
      <c r="J423" t="s">
        <v>26</v>
      </c>
      <c r="K423" t="s">
        <v>27</v>
      </c>
      <c r="L423" t="s">
        <v>1478</v>
      </c>
      <c r="M423" t="s">
        <v>457</v>
      </c>
      <c r="N423">
        <v>80027</v>
      </c>
      <c r="O423" t="s">
        <v>44</v>
      </c>
      <c r="P423" t="s">
        <v>1479</v>
      </c>
      <c r="Q423" t="s">
        <v>71</v>
      </c>
      <c r="R423" t="s">
        <v>161</v>
      </c>
      <c r="S423" t="s">
        <v>1480</v>
      </c>
      <c r="T423" s="4">
        <v>196.75200000000001</v>
      </c>
      <c r="U423">
        <v>6</v>
      </c>
      <c r="V423">
        <v>0.2</v>
      </c>
      <c r="W423" s="4">
        <v>56.566200000000002</v>
      </c>
    </row>
    <row r="424" spans="1:23" x14ac:dyDescent="0.3">
      <c r="A424">
        <v>423</v>
      </c>
      <c r="B424" t="s">
        <v>1481</v>
      </c>
      <c r="C424" s="3">
        <v>43291</v>
      </c>
      <c r="D424" s="7" t="str">
        <f t="shared" si="12"/>
        <v>July</v>
      </c>
      <c r="E424" s="3">
        <f t="shared" si="13"/>
        <v>43312</v>
      </c>
      <c r="F424" s="3">
        <v>43414</v>
      </c>
      <c r="G424" t="s">
        <v>50</v>
      </c>
      <c r="H424" t="s">
        <v>1482</v>
      </c>
      <c r="I424" t="s">
        <v>1483</v>
      </c>
      <c r="J424" t="s">
        <v>41</v>
      </c>
      <c r="K424" t="s">
        <v>27</v>
      </c>
      <c r="L424" t="s">
        <v>1484</v>
      </c>
      <c r="M424" t="s">
        <v>1248</v>
      </c>
      <c r="N424">
        <v>1841</v>
      </c>
      <c r="O424" t="s">
        <v>148</v>
      </c>
      <c r="P424" t="s">
        <v>1485</v>
      </c>
      <c r="Q424" t="s">
        <v>32</v>
      </c>
      <c r="R424" t="s">
        <v>65</v>
      </c>
      <c r="S424" t="s">
        <v>1486</v>
      </c>
      <c r="T424" s="4">
        <v>56.56</v>
      </c>
      <c r="U424">
        <v>4</v>
      </c>
      <c r="V424">
        <v>0</v>
      </c>
      <c r="W424" s="4">
        <v>14.7056</v>
      </c>
    </row>
    <row r="425" spans="1:23" x14ac:dyDescent="0.3">
      <c r="A425">
        <v>424</v>
      </c>
      <c r="B425" t="s">
        <v>1481</v>
      </c>
      <c r="C425" s="3">
        <v>43291</v>
      </c>
      <c r="D425" s="7" t="str">
        <f t="shared" si="12"/>
        <v>July</v>
      </c>
      <c r="E425" s="3">
        <f t="shared" si="13"/>
        <v>43312</v>
      </c>
      <c r="F425" s="3">
        <v>43414</v>
      </c>
      <c r="G425" t="s">
        <v>50</v>
      </c>
      <c r="H425" t="s">
        <v>1482</v>
      </c>
      <c r="I425" t="s">
        <v>1483</v>
      </c>
      <c r="J425" t="s">
        <v>41</v>
      </c>
      <c r="K425" t="s">
        <v>27</v>
      </c>
      <c r="L425" t="s">
        <v>1484</v>
      </c>
      <c r="M425" t="s">
        <v>1248</v>
      </c>
      <c r="N425">
        <v>1841</v>
      </c>
      <c r="O425" t="s">
        <v>148</v>
      </c>
      <c r="P425" t="s">
        <v>1487</v>
      </c>
      <c r="Q425" t="s">
        <v>46</v>
      </c>
      <c r="R425" t="s">
        <v>59</v>
      </c>
      <c r="S425" t="s">
        <v>1488</v>
      </c>
      <c r="T425" s="4">
        <v>32.700000000000003</v>
      </c>
      <c r="U425">
        <v>3</v>
      </c>
      <c r="V425">
        <v>0</v>
      </c>
      <c r="W425" s="4">
        <v>8.5020000000000007</v>
      </c>
    </row>
    <row r="426" spans="1:23" x14ac:dyDescent="0.3">
      <c r="A426">
        <v>425</v>
      </c>
      <c r="B426" t="s">
        <v>1489</v>
      </c>
      <c r="C426" s="3">
        <v>43351</v>
      </c>
      <c r="D426" s="7" t="str">
        <f t="shared" si="12"/>
        <v>September</v>
      </c>
      <c r="E426" s="3">
        <f t="shared" si="13"/>
        <v>43373</v>
      </c>
      <c r="F426" s="3">
        <v>43412</v>
      </c>
      <c r="G426" t="s">
        <v>23</v>
      </c>
      <c r="H426" t="s">
        <v>1490</v>
      </c>
      <c r="I426" t="s">
        <v>1491</v>
      </c>
      <c r="J426" t="s">
        <v>26</v>
      </c>
      <c r="K426" t="s">
        <v>27</v>
      </c>
      <c r="L426" t="s">
        <v>328</v>
      </c>
      <c r="M426" t="s">
        <v>1492</v>
      </c>
      <c r="N426">
        <v>39212</v>
      </c>
      <c r="O426" t="s">
        <v>30</v>
      </c>
      <c r="P426" t="s">
        <v>1493</v>
      </c>
      <c r="Q426" t="s">
        <v>32</v>
      </c>
      <c r="R426" t="s">
        <v>36</v>
      </c>
      <c r="S426" t="s">
        <v>1494</v>
      </c>
      <c r="T426" s="4">
        <v>866.4</v>
      </c>
      <c r="U426">
        <v>4</v>
      </c>
      <c r="V426">
        <v>0</v>
      </c>
      <c r="W426" s="4">
        <v>225.26400000000001</v>
      </c>
    </row>
    <row r="427" spans="1:23" x14ac:dyDescent="0.3">
      <c r="A427">
        <v>426</v>
      </c>
      <c r="B427" t="s">
        <v>1495</v>
      </c>
      <c r="C427" s="3">
        <v>43415</v>
      </c>
      <c r="D427" s="7" t="str">
        <f t="shared" si="12"/>
        <v>November</v>
      </c>
      <c r="E427" s="3">
        <f t="shared" si="13"/>
        <v>43434</v>
      </c>
      <c r="F427" s="3">
        <v>43507</v>
      </c>
      <c r="G427" t="s">
        <v>23</v>
      </c>
      <c r="H427" t="s">
        <v>264</v>
      </c>
      <c r="I427" t="s">
        <v>265</v>
      </c>
      <c r="J427" t="s">
        <v>41</v>
      </c>
      <c r="K427" t="s">
        <v>27</v>
      </c>
      <c r="L427" t="s">
        <v>1496</v>
      </c>
      <c r="M427" t="s">
        <v>238</v>
      </c>
      <c r="N427">
        <v>48187</v>
      </c>
      <c r="O427" t="s">
        <v>105</v>
      </c>
      <c r="P427" t="s">
        <v>1497</v>
      </c>
      <c r="Q427" t="s">
        <v>32</v>
      </c>
      <c r="R427" t="s">
        <v>65</v>
      </c>
      <c r="S427" t="s">
        <v>1498</v>
      </c>
      <c r="T427" s="4">
        <v>28.4</v>
      </c>
      <c r="U427">
        <v>2</v>
      </c>
      <c r="V427">
        <v>0</v>
      </c>
      <c r="W427" s="4">
        <v>11.076000000000001</v>
      </c>
    </row>
    <row r="428" spans="1:23" x14ac:dyDescent="0.3">
      <c r="A428">
        <v>427</v>
      </c>
      <c r="B428" t="s">
        <v>1495</v>
      </c>
      <c r="C428" s="3">
        <v>43415</v>
      </c>
      <c r="D428" s="7" t="str">
        <f t="shared" si="12"/>
        <v>November</v>
      </c>
      <c r="E428" s="3">
        <f t="shared" si="13"/>
        <v>43434</v>
      </c>
      <c r="F428" s="3">
        <v>43507</v>
      </c>
      <c r="G428" t="s">
        <v>23</v>
      </c>
      <c r="H428" t="s">
        <v>264</v>
      </c>
      <c r="I428" t="s">
        <v>265</v>
      </c>
      <c r="J428" t="s">
        <v>41</v>
      </c>
      <c r="K428" t="s">
        <v>27</v>
      </c>
      <c r="L428" t="s">
        <v>1496</v>
      </c>
      <c r="M428" t="s">
        <v>238</v>
      </c>
      <c r="N428">
        <v>48187</v>
      </c>
      <c r="O428" t="s">
        <v>105</v>
      </c>
      <c r="P428" t="s">
        <v>1499</v>
      </c>
      <c r="Q428" t="s">
        <v>46</v>
      </c>
      <c r="R428" t="s">
        <v>75</v>
      </c>
      <c r="S428" t="s">
        <v>1500</v>
      </c>
      <c r="T428" s="4">
        <v>287.92</v>
      </c>
      <c r="U428">
        <v>8</v>
      </c>
      <c r="V428">
        <v>0</v>
      </c>
      <c r="W428" s="4">
        <v>138.20160000000001</v>
      </c>
    </row>
    <row r="429" spans="1:23" x14ac:dyDescent="0.3">
      <c r="A429">
        <v>428</v>
      </c>
      <c r="B429" t="s">
        <v>1501</v>
      </c>
      <c r="C429" s="3">
        <v>41982</v>
      </c>
      <c r="D429" s="7" t="str">
        <f t="shared" si="12"/>
        <v>December</v>
      </c>
      <c r="E429" s="3">
        <f t="shared" si="13"/>
        <v>42004</v>
      </c>
      <c r="F429" s="3">
        <v>42013</v>
      </c>
      <c r="G429" t="s">
        <v>188</v>
      </c>
      <c r="H429" t="s">
        <v>1502</v>
      </c>
      <c r="I429" t="s">
        <v>1503</v>
      </c>
      <c r="J429" t="s">
        <v>102</v>
      </c>
      <c r="K429" t="s">
        <v>27</v>
      </c>
      <c r="L429" t="s">
        <v>1504</v>
      </c>
      <c r="M429" t="s">
        <v>267</v>
      </c>
      <c r="N429">
        <v>10801</v>
      </c>
      <c r="O429" t="s">
        <v>148</v>
      </c>
      <c r="P429" t="s">
        <v>1505</v>
      </c>
      <c r="Q429" t="s">
        <v>71</v>
      </c>
      <c r="R429" t="s">
        <v>684</v>
      </c>
      <c r="S429" t="s">
        <v>1506</v>
      </c>
      <c r="T429" s="4">
        <v>69.989999999999995</v>
      </c>
      <c r="U429">
        <v>1</v>
      </c>
      <c r="V429">
        <v>0</v>
      </c>
      <c r="W429" s="4">
        <v>30.095700000000001</v>
      </c>
    </row>
    <row r="430" spans="1:23" x14ac:dyDescent="0.3">
      <c r="A430">
        <v>429</v>
      </c>
      <c r="B430" t="s">
        <v>1507</v>
      </c>
      <c r="C430" s="3">
        <v>42745</v>
      </c>
      <c r="D430" s="7" t="str">
        <f t="shared" si="12"/>
        <v>January</v>
      </c>
      <c r="E430" s="3">
        <f t="shared" si="13"/>
        <v>42766</v>
      </c>
      <c r="F430" s="3">
        <v>42957</v>
      </c>
      <c r="G430" t="s">
        <v>50</v>
      </c>
      <c r="H430" t="s">
        <v>1508</v>
      </c>
      <c r="I430" t="s">
        <v>1509</v>
      </c>
      <c r="J430" t="s">
        <v>41</v>
      </c>
      <c r="K430" t="s">
        <v>27</v>
      </c>
      <c r="L430" t="s">
        <v>680</v>
      </c>
      <c r="M430" t="s">
        <v>104</v>
      </c>
      <c r="N430">
        <v>78207</v>
      </c>
      <c r="O430" t="s">
        <v>105</v>
      </c>
      <c r="P430" t="s">
        <v>1510</v>
      </c>
      <c r="Q430" t="s">
        <v>46</v>
      </c>
      <c r="R430" t="s">
        <v>68</v>
      </c>
      <c r="S430" t="s">
        <v>1511</v>
      </c>
      <c r="T430" s="4">
        <v>6.6719999999999997</v>
      </c>
      <c r="U430">
        <v>6</v>
      </c>
      <c r="V430">
        <v>0.2</v>
      </c>
      <c r="W430" s="4">
        <v>0.50039999999999996</v>
      </c>
    </row>
    <row r="431" spans="1:23" x14ac:dyDescent="0.3">
      <c r="A431">
        <v>430</v>
      </c>
      <c r="B431" t="s">
        <v>1512</v>
      </c>
      <c r="C431" s="3">
        <v>42798</v>
      </c>
      <c r="D431" s="7" t="str">
        <f t="shared" si="12"/>
        <v>March</v>
      </c>
      <c r="E431" s="3">
        <f t="shared" si="13"/>
        <v>42825</v>
      </c>
      <c r="F431" s="3">
        <v>42982</v>
      </c>
      <c r="G431" t="s">
        <v>50</v>
      </c>
      <c r="H431" t="s">
        <v>1513</v>
      </c>
      <c r="I431" t="s">
        <v>1514</v>
      </c>
      <c r="J431" t="s">
        <v>102</v>
      </c>
      <c r="K431" t="s">
        <v>27</v>
      </c>
      <c r="L431" t="s">
        <v>1515</v>
      </c>
      <c r="M431" t="s">
        <v>88</v>
      </c>
      <c r="N431">
        <v>28052</v>
      </c>
      <c r="O431" t="s">
        <v>30</v>
      </c>
      <c r="P431" t="s">
        <v>1516</v>
      </c>
      <c r="Q431" t="s">
        <v>46</v>
      </c>
      <c r="R431" t="s">
        <v>75</v>
      </c>
      <c r="S431" t="s">
        <v>1517</v>
      </c>
      <c r="T431" s="4">
        <v>189.58799999999999</v>
      </c>
      <c r="U431">
        <v>2</v>
      </c>
      <c r="V431">
        <v>0.7</v>
      </c>
      <c r="W431" s="4">
        <v>-145.35079999999999</v>
      </c>
    </row>
    <row r="432" spans="1:23" x14ac:dyDescent="0.3">
      <c r="A432">
        <v>431</v>
      </c>
      <c r="B432" t="s">
        <v>1512</v>
      </c>
      <c r="C432" s="3">
        <v>42798</v>
      </c>
      <c r="D432" s="7" t="str">
        <f t="shared" si="12"/>
        <v>March</v>
      </c>
      <c r="E432" s="3">
        <f t="shared" si="13"/>
        <v>42825</v>
      </c>
      <c r="F432" s="3">
        <v>42982</v>
      </c>
      <c r="G432" t="s">
        <v>50</v>
      </c>
      <c r="H432" t="s">
        <v>1513</v>
      </c>
      <c r="I432" t="s">
        <v>1514</v>
      </c>
      <c r="J432" t="s">
        <v>102</v>
      </c>
      <c r="K432" t="s">
        <v>27</v>
      </c>
      <c r="L432" t="s">
        <v>1515</v>
      </c>
      <c r="M432" t="s">
        <v>88</v>
      </c>
      <c r="N432">
        <v>28052</v>
      </c>
      <c r="O432" t="s">
        <v>30</v>
      </c>
      <c r="P432" t="s">
        <v>732</v>
      </c>
      <c r="Q432" t="s">
        <v>71</v>
      </c>
      <c r="R432" t="s">
        <v>161</v>
      </c>
      <c r="S432" t="s">
        <v>733</v>
      </c>
      <c r="T432" s="4">
        <v>408.74400000000003</v>
      </c>
      <c r="U432">
        <v>7</v>
      </c>
      <c r="V432">
        <v>0.2</v>
      </c>
      <c r="W432" s="4">
        <v>76.639499999999998</v>
      </c>
    </row>
    <row r="433" spans="1:23" x14ac:dyDescent="0.3">
      <c r="A433">
        <v>432</v>
      </c>
      <c r="B433" t="s">
        <v>1512</v>
      </c>
      <c r="C433" s="3">
        <v>42798</v>
      </c>
      <c r="D433" s="7" t="str">
        <f t="shared" si="12"/>
        <v>March</v>
      </c>
      <c r="E433" s="3">
        <f t="shared" si="13"/>
        <v>42825</v>
      </c>
      <c r="F433" s="3">
        <v>42982</v>
      </c>
      <c r="G433" t="s">
        <v>50</v>
      </c>
      <c r="H433" t="s">
        <v>1513</v>
      </c>
      <c r="I433" t="s">
        <v>1514</v>
      </c>
      <c r="J433" t="s">
        <v>102</v>
      </c>
      <c r="K433" t="s">
        <v>27</v>
      </c>
      <c r="L433" t="s">
        <v>1515</v>
      </c>
      <c r="M433" t="s">
        <v>88</v>
      </c>
      <c r="N433">
        <v>28052</v>
      </c>
      <c r="O433" t="s">
        <v>30</v>
      </c>
      <c r="P433" t="s">
        <v>732</v>
      </c>
      <c r="Q433" t="s">
        <v>71</v>
      </c>
      <c r="R433" t="s">
        <v>161</v>
      </c>
      <c r="S433" t="s">
        <v>733</v>
      </c>
      <c r="T433" s="4">
        <v>291.95999999999998</v>
      </c>
      <c r="U433">
        <v>5</v>
      </c>
      <c r="V433">
        <v>0.2</v>
      </c>
      <c r="W433" s="4">
        <v>54.7425</v>
      </c>
    </row>
    <row r="434" spans="1:23" x14ac:dyDescent="0.3">
      <c r="A434">
        <v>433</v>
      </c>
      <c r="B434" t="s">
        <v>1512</v>
      </c>
      <c r="C434" s="3">
        <v>42798</v>
      </c>
      <c r="D434" s="7" t="str">
        <f t="shared" si="12"/>
        <v>March</v>
      </c>
      <c r="E434" s="3">
        <f t="shared" si="13"/>
        <v>42825</v>
      </c>
      <c r="F434" s="3">
        <v>42982</v>
      </c>
      <c r="G434" t="s">
        <v>50</v>
      </c>
      <c r="H434" t="s">
        <v>1513</v>
      </c>
      <c r="I434" t="s">
        <v>1514</v>
      </c>
      <c r="J434" t="s">
        <v>102</v>
      </c>
      <c r="K434" t="s">
        <v>27</v>
      </c>
      <c r="L434" t="s">
        <v>1515</v>
      </c>
      <c r="M434" t="s">
        <v>88</v>
      </c>
      <c r="N434">
        <v>28052</v>
      </c>
      <c r="O434" t="s">
        <v>30</v>
      </c>
      <c r="P434" t="s">
        <v>1518</v>
      </c>
      <c r="Q434" t="s">
        <v>46</v>
      </c>
      <c r="R434" t="s">
        <v>59</v>
      </c>
      <c r="S434" t="s">
        <v>1519</v>
      </c>
      <c r="T434" s="4">
        <v>4.7679999999999998</v>
      </c>
      <c r="U434">
        <v>2</v>
      </c>
      <c r="V434">
        <v>0.2</v>
      </c>
      <c r="W434" s="4">
        <v>-0.77480000000000004</v>
      </c>
    </row>
    <row r="435" spans="1:23" x14ac:dyDescent="0.3">
      <c r="A435">
        <v>434</v>
      </c>
      <c r="B435" t="s">
        <v>1520</v>
      </c>
      <c r="C435" s="3">
        <v>42527</v>
      </c>
      <c r="D435" s="7" t="str">
        <f t="shared" si="12"/>
        <v>June</v>
      </c>
      <c r="E435" s="3">
        <f t="shared" si="13"/>
        <v>42551</v>
      </c>
      <c r="F435" s="3">
        <v>42557</v>
      </c>
      <c r="G435" t="s">
        <v>188</v>
      </c>
      <c r="H435" t="s">
        <v>644</v>
      </c>
      <c r="I435" t="s">
        <v>645</v>
      </c>
      <c r="J435" t="s">
        <v>26</v>
      </c>
      <c r="K435" t="s">
        <v>27</v>
      </c>
      <c r="L435" t="s">
        <v>1247</v>
      </c>
      <c r="M435" t="s">
        <v>1248</v>
      </c>
      <c r="N435">
        <v>1852</v>
      </c>
      <c r="O435" t="s">
        <v>148</v>
      </c>
      <c r="P435" t="s">
        <v>1521</v>
      </c>
      <c r="Q435" t="s">
        <v>46</v>
      </c>
      <c r="R435" t="s">
        <v>59</v>
      </c>
      <c r="S435" t="s">
        <v>1522</v>
      </c>
      <c r="T435" s="4">
        <v>714.3</v>
      </c>
      <c r="U435">
        <v>5</v>
      </c>
      <c r="V435">
        <v>0</v>
      </c>
      <c r="W435" s="4">
        <v>207.14699999999999</v>
      </c>
    </row>
    <row r="436" spans="1:23" x14ac:dyDescent="0.3">
      <c r="A436">
        <v>435</v>
      </c>
      <c r="B436" t="s">
        <v>1523</v>
      </c>
      <c r="C436" s="3">
        <v>42197</v>
      </c>
      <c r="D436" s="7" t="str">
        <f t="shared" si="12"/>
        <v>July</v>
      </c>
      <c r="E436" s="3">
        <f t="shared" si="13"/>
        <v>42216</v>
      </c>
      <c r="F436" s="3">
        <v>42381</v>
      </c>
      <c r="G436" t="s">
        <v>50</v>
      </c>
      <c r="H436" t="s">
        <v>1524</v>
      </c>
      <c r="I436" t="s">
        <v>1525</v>
      </c>
      <c r="J436" t="s">
        <v>26</v>
      </c>
      <c r="K436" t="s">
        <v>27</v>
      </c>
      <c r="L436" t="s">
        <v>1526</v>
      </c>
      <c r="M436" t="s">
        <v>54</v>
      </c>
      <c r="N436">
        <v>32216</v>
      </c>
      <c r="O436" t="s">
        <v>30</v>
      </c>
      <c r="P436" t="s">
        <v>1527</v>
      </c>
      <c r="Q436" t="s">
        <v>46</v>
      </c>
      <c r="R436" t="s">
        <v>75</v>
      </c>
      <c r="S436" t="s">
        <v>1528</v>
      </c>
      <c r="T436" s="4">
        <v>4.8120000000000003</v>
      </c>
      <c r="U436">
        <v>2</v>
      </c>
      <c r="V436">
        <v>0.7</v>
      </c>
      <c r="W436" s="4">
        <v>-3.6892</v>
      </c>
    </row>
    <row r="437" spans="1:23" x14ac:dyDescent="0.3">
      <c r="A437">
        <v>436</v>
      </c>
      <c r="B437" t="s">
        <v>1523</v>
      </c>
      <c r="C437" s="3">
        <v>42197</v>
      </c>
      <c r="D437" s="7" t="str">
        <f t="shared" si="12"/>
        <v>July</v>
      </c>
      <c r="E437" s="3">
        <f t="shared" si="13"/>
        <v>42216</v>
      </c>
      <c r="F437" s="3">
        <v>42381</v>
      </c>
      <c r="G437" t="s">
        <v>50</v>
      </c>
      <c r="H437" t="s">
        <v>1524</v>
      </c>
      <c r="I437" t="s">
        <v>1525</v>
      </c>
      <c r="J437" t="s">
        <v>26</v>
      </c>
      <c r="K437" t="s">
        <v>27</v>
      </c>
      <c r="L437" t="s">
        <v>1526</v>
      </c>
      <c r="M437" t="s">
        <v>54</v>
      </c>
      <c r="N437">
        <v>32216</v>
      </c>
      <c r="O437" t="s">
        <v>30</v>
      </c>
      <c r="P437" t="s">
        <v>1529</v>
      </c>
      <c r="Q437" t="s">
        <v>71</v>
      </c>
      <c r="R437" t="s">
        <v>161</v>
      </c>
      <c r="S437" t="s">
        <v>1530</v>
      </c>
      <c r="T437" s="4">
        <v>247.8</v>
      </c>
      <c r="U437">
        <v>5</v>
      </c>
      <c r="V437">
        <v>0.2</v>
      </c>
      <c r="W437" s="4">
        <v>-18.585000000000001</v>
      </c>
    </row>
    <row r="438" spans="1:23" x14ac:dyDescent="0.3">
      <c r="A438">
        <v>437</v>
      </c>
      <c r="B438" t="s">
        <v>1531</v>
      </c>
      <c r="C438" s="3">
        <v>42710</v>
      </c>
      <c r="D438" s="7" t="str">
        <f t="shared" si="12"/>
        <v>December</v>
      </c>
      <c r="E438" s="3">
        <f t="shared" si="13"/>
        <v>42735</v>
      </c>
      <c r="F438" s="3">
        <v>42772</v>
      </c>
      <c r="G438" t="s">
        <v>23</v>
      </c>
      <c r="H438" t="s">
        <v>1532</v>
      </c>
      <c r="I438" t="s">
        <v>1533</v>
      </c>
      <c r="J438" t="s">
        <v>102</v>
      </c>
      <c r="K438" t="s">
        <v>27</v>
      </c>
      <c r="L438" t="s">
        <v>303</v>
      </c>
      <c r="M438" t="s">
        <v>211</v>
      </c>
      <c r="N438">
        <v>60623</v>
      </c>
      <c r="O438" t="s">
        <v>105</v>
      </c>
      <c r="P438" t="s">
        <v>1534</v>
      </c>
      <c r="Q438" t="s">
        <v>71</v>
      </c>
      <c r="R438" t="s">
        <v>684</v>
      </c>
      <c r="S438" t="s">
        <v>1535</v>
      </c>
      <c r="T438" s="4">
        <v>1007.979</v>
      </c>
      <c r="U438">
        <v>3</v>
      </c>
      <c r="V438">
        <v>0.3</v>
      </c>
      <c r="W438" s="4">
        <v>43.199100000000001</v>
      </c>
    </row>
    <row r="439" spans="1:23" x14ac:dyDescent="0.3">
      <c r="A439">
        <v>438</v>
      </c>
      <c r="B439" t="s">
        <v>1531</v>
      </c>
      <c r="C439" s="3">
        <v>42710</v>
      </c>
      <c r="D439" s="7" t="str">
        <f t="shared" si="12"/>
        <v>December</v>
      </c>
      <c r="E439" s="3">
        <f t="shared" si="13"/>
        <v>42735</v>
      </c>
      <c r="F439" s="3">
        <v>42772</v>
      </c>
      <c r="G439" t="s">
        <v>23</v>
      </c>
      <c r="H439" t="s">
        <v>1532</v>
      </c>
      <c r="I439" t="s">
        <v>1533</v>
      </c>
      <c r="J439" t="s">
        <v>102</v>
      </c>
      <c r="K439" t="s">
        <v>27</v>
      </c>
      <c r="L439" t="s">
        <v>303</v>
      </c>
      <c r="M439" t="s">
        <v>211</v>
      </c>
      <c r="N439">
        <v>60623</v>
      </c>
      <c r="O439" t="s">
        <v>105</v>
      </c>
      <c r="P439" t="s">
        <v>1254</v>
      </c>
      <c r="Q439" t="s">
        <v>46</v>
      </c>
      <c r="R439" t="s">
        <v>90</v>
      </c>
      <c r="S439" t="s">
        <v>1447</v>
      </c>
      <c r="T439" s="4">
        <v>313.488</v>
      </c>
      <c r="U439">
        <v>7</v>
      </c>
      <c r="V439">
        <v>0.2</v>
      </c>
      <c r="W439" s="4">
        <v>113.63939999999999</v>
      </c>
    </row>
    <row r="440" spans="1:23" x14ac:dyDescent="0.3">
      <c r="A440">
        <v>439</v>
      </c>
      <c r="B440" t="s">
        <v>1536</v>
      </c>
      <c r="C440" s="3">
        <v>43168</v>
      </c>
      <c r="D440" s="7" t="str">
        <f t="shared" si="12"/>
        <v>March</v>
      </c>
      <c r="E440" s="3">
        <f t="shared" si="13"/>
        <v>43190</v>
      </c>
      <c r="F440" s="3">
        <v>43290</v>
      </c>
      <c r="G440" t="s">
        <v>50</v>
      </c>
      <c r="H440" t="s">
        <v>1537</v>
      </c>
      <c r="I440" t="s">
        <v>1538</v>
      </c>
      <c r="J440" t="s">
        <v>41</v>
      </c>
      <c r="K440" t="s">
        <v>27</v>
      </c>
      <c r="L440" t="s">
        <v>184</v>
      </c>
      <c r="M440" t="s">
        <v>104</v>
      </c>
      <c r="N440">
        <v>77070</v>
      </c>
      <c r="O440" t="s">
        <v>105</v>
      </c>
      <c r="P440" t="s">
        <v>1539</v>
      </c>
      <c r="Q440" t="s">
        <v>46</v>
      </c>
      <c r="R440" t="s">
        <v>90</v>
      </c>
      <c r="S440" t="s">
        <v>1540</v>
      </c>
      <c r="T440" s="4">
        <v>31.872</v>
      </c>
      <c r="U440">
        <v>8</v>
      </c>
      <c r="V440">
        <v>0.2</v>
      </c>
      <c r="W440" s="4">
        <v>11.553599999999999</v>
      </c>
    </row>
    <row r="441" spans="1:23" x14ac:dyDescent="0.3">
      <c r="A441">
        <v>440</v>
      </c>
      <c r="B441" t="s">
        <v>1541</v>
      </c>
      <c r="C441" s="3">
        <v>43313</v>
      </c>
      <c r="D441" s="7" t="str">
        <f t="shared" si="12"/>
        <v>August</v>
      </c>
      <c r="E441" s="3">
        <f t="shared" si="13"/>
        <v>43343</v>
      </c>
      <c r="F441" s="3">
        <v>43405</v>
      </c>
      <c r="G441" t="s">
        <v>23</v>
      </c>
      <c r="H441" t="s">
        <v>481</v>
      </c>
      <c r="I441" t="s">
        <v>482</v>
      </c>
      <c r="J441" t="s">
        <v>41</v>
      </c>
      <c r="K441" t="s">
        <v>27</v>
      </c>
      <c r="L441" t="s">
        <v>266</v>
      </c>
      <c r="M441" t="s">
        <v>267</v>
      </c>
      <c r="N441">
        <v>10024</v>
      </c>
      <c r="O441" t="s">
        <v>148</v>
      </c>
      <c r="P441" t="s">
        <v>1542</v>
      </c>
      <c r="Q441" t="s">
        <v>32</v>
      </c>
      <c r="R441" t="s">
        <v>36</v>
      </c>
      <c r="S441" t="s">
        <v>1543</v>
      </c>
      <c r="T441" s="4">
        <v>207.846</v>
      </c>
      <c r="U441">
        <v>3</v>
      </c>
      <c r="V441">
        <v>0.1</v>
      </c>
      <c r="W441" s="4">
        <v>2.3094000000000001</v>
      </c>
    </row>
    <row r="442" spans="1:23" x14ac:dyDescent="0.3">
      <c r="A442">
        <v>441</v>
      </c>
      <c r="B442" t="s">
        <v>1544</v>
      </c>
      <c r="C442" s="3">
        <v>42499</v>
      </c>
      <c r="D442" s="7" t="str">
        <f t="shared" si="12"/>
        <v>May</v>
      </c>
      <c r="E442" s="3">
        <f t="shared" si="13"/>
        <v>42521</v>
      </c>
      <c r="F442" s="3">
        <v>42560</v>
      </c>
      <c r="G442" t="s">
        <v>23</v>
      </c>
      <c r="H442" t="s">
        <v>111</v>
      </c>
      <c r="I442" t="s">
        <v>112</v>
      </c>
      <c r="J442" t="s">
        <v>26</v>
      </c>
      <c r="K442" t="s">
        <v>27</v>
      </c>
      <c r="L442" t="s">
        <v>882</v>
      </c>
      <c r="M442" t="s">
        <v>238</v>
      </c>
      <c r="N442">
        <v>48227</v>
      </c>
      <c r="O442" t="s">
        <v>105</v>
      </c>
      <c r="P442" t="s">
        <v>1545</v>
      </c>
      <c r="Q442" t="s">
        <v>32</v>
      </c>
      <c r="R442" t="s">
        <v>65</v>
      </c>
      <c r="S442" t="s">
        <v>1546</v>
      </c>
      <c r="T442" s="4">
        <v>12.22</v>
      </c>
      <c r="U442">
        <v>1</v>
      </c>
      <c r="V442">
        <v>0</v>
      </c>
      <c r="W442" s="4">
        <v>3.6659999999999999</v>
      </c>
    </row>
    <row r="443" spans="1:23" x14ac:dyDescent="0.3">
      <c r="A443">
        <v>442</v>
      </c>
      <c r="B443" t="s">
        <v>1544</v>
      </c>
      <c r="C443" s="3">
        <v>42499</v>
      </c>
      <c r="D443" s="7" t="str">
        <f t="shared" si="12"/>
        <v>May</v>
      </c>
      <c r="E443" s="3">
        <f t="shared" si="13"/>
        <v>42521</v>
      </c>
      <c r="F443" s="3">
        <v>42560</v>
      </c>
      <c r="G443" t="s">
        <v>23</v>
      </c>
      <c r="H443" t="s">
        <v>111</v>
      </c>
      <c r="I443" t="s">
        <v>112</v>
      </c>
      <c r="J443" t="s">
        <v>26</v>
      </c>
      <c r="K443" t="s">
        <v>27</v>
      </c>
      <c r="L443" t="s">
        <v>882</v>
      </c>
      <c r="M443" t="s">
        <v>238</v>
      </c>
      <c r="N443">
        <v>48227</v>
      </c>
      <c r="O443" t="s">
        <v>105</v>
      </c>
      <c r="P443" t="s">
        <v>1547</v>
      </c>
      <c r="Q443" t="s">
        <v>46</v>
      </c>
      <c r="R443" t="s">
        <v>59</v>
      </c>
      <c r="S443" t="s">
        <v>1548</v>
      </c>
      <c r="T443" s="4">
        <v>194.94</v>
      </c>
      <c r="U443">
        <v>3</v>
      </c>
      <c r="V443">
        <v>0</v>
      </c>
      <c r="W443" s="4">
        <v>23.392800000000001</v>
      </c>
    </row>
    <row r="444" spans="1:23" x14ac:dyDescent="0.3">
      <c r="A444">
        <v>443</v>
      </c>
      <c r="B444" t="s">
        <v>1544</v>
      </c>
      <c r="C444" s="3">
        <v>42499</v>
      </c>
      <c r="D444" s="7" t="str">
        <f t="shared" si="12"/>
        <v>May</v>
      </c>
      <c r="E444" s="3">
        <f t="shared" si="13"/>
        <v>42521</v>
      </c>
      <c r="F444" s="3">
        <v>42560</v>
      </c>
      <c r="G444" t="s">
        <v>23</v>
      </c>
      <c r="H444" t="s">
        <v>111</v>
      </c>
      <c r="I444" t="s">
        <v>112</v>
      </c>
      <c r="J444" t="s">
        <v>26</v>
      </c>
      <c r="K444" t="s">
        <v>27</v>
      </c>
      <c r="L444" t="s">
        <v>882</v>
      </c>
      <c r="M444" t="s">
        <v>238</v>
      </c>
      <c r="N444">
        <v>48227</v>
      </c>
      <c r="O444" t="s">
        <v>105</v>
      </c>
      <c r="P444" t="s">
        <v>1549</v>
      </c>
      <c r="Q444" t="s">
        <v>46</v>
      </c>
      <c r="R444" t="s">
        <v>59</v>
      </c>
      <c r="S444" t="s">
        <v>1550</v>
      </c>
      <c r="T444" s="4">
        <v>70.95</v>
      </c>
      <c r="U444">
        <v>3</v>
      </c>
      <c r="V444">
        <v>0</v>
      </c>
      <c r="W444" s="4">
        <v>20.575500000000002</v>
      </c>
    </row>
    <row r="445" spans="1:23" x14ac:dyDescent="0.3">
      <c r="A445">
        <v>444</v>
      </c>
      <c r="B445" t="s">
        <v>1544</v>
      </c>
      <c r="C445" s="3">
        <v>42499</v>
      </c>
      <c r="D445" s="7" t="str">
        <f t="shared" si="12"/>
        <v>May</v>
      </c>
      <c r="E445" s="3">
        <f t="shared" si="13"/>
        <v>42521</v>
      </c>
      <c r="F445" s="3">
        <v>42560</v>
      </c>
      <c r="G445" t="s">
        <v>23</v>
      </c>
      <c r="H445" t="s">
        <v>111</v>
      </c>
      <c r="I445" t="s">
        <v>112</v>
      </c>
      <c r="J445" t="s">
        <v>26</v>
      </c>
      <c r="K445" t="s">
        <v>27</v>
      </c>
      <c r="L445" t="s">
        <v>882</v>
      </c>
      <c r="M445" t="s">
        <v>238</v>
      </c>
      <c r="N445">
        <v>48227</v>
      </c>
      <c r="O445" t="s">
        <v>105</v>
      </c>
      <c r="P445" t="s">
        <v>1551</v>
      </c>
      <c r="Q445" t="s">
        <v>46</v>
      </c>
      <c r="R445" t="s">
        <v>90</v>
      </c>
      <c r="S445" t="s">
        <v>1552</v>
      </c>
      <c r="T445" s="4">
        <v>91.36</v>
      </c>
      <c r="U445">
        <v>4</v>
      </c>
      <c r="V445">
        <v>0</v>
      </c>
      <c r="W445" s="4">
        <v>42.025599999999997</v>
      </c>
    </row>
    <row r="446" spans="1:23" x14ac:dyDescent="0.3">
      <c r="A446">
        <v>445</v>
      </c>
      <c r="B446" t="s">
        <v>1544</v>
      </c>
      <c r="C446" s="3">
        <v>42499</v>
      </c>
      <c r="D446" s="7" t="str">
        <f t="shared" si="12"/>
        <v>May</v>
      </c>
      <c r="E446" s="3">
        <f t="shared" si="13"/>
        <v>42521</v>
      </c>
      <c r="F446" s="3">
        <v>42560</v>
      </c>
      <c r="G446" t="s">
        <v>23</v>
      </c>
      <c r="H446" t="s">
        <v>111</v>
      </c>
      <c r="I446" t="s">
        <v>112</v>
      </c>
      <c r="J446" t="s">
        <v>26</v>
      </c>
      <c r="K446" t="s">
        <v>27</v>
      </c>
      <c r="L446" t="s">
        <v>882</v>
      </c>
      <c r="M446" t="s">
        <v>238</v>
      </c>
      <c r="N446">
        <v>48227</v>
      </c>
      <c r="O446" t="s">
        <v>105</v>
      </c>
      <c r="P446" t="s">
        <v>1553</v>
      </c>
      <c r="Q446" t="s">
        <v>32</v>
      </c>
      <c r="R446" t="s">
        <v>36</v>
      </c>
      <c r="S446" t="s">
        <v>1554</v>
      </c>
      <c r="T446" s="4">
        <v>242.94</v>
      </c>
      <c r="U446">
        <v>3</v>
      </c>
      <c r="V446">
        <v>0</v>
      </c>
      <c r="W446" s="4">
        <v>29.152799999999999</v>
      </c>
    </row>
    <row r="447" spans="1:23" x14ac:dyDescent="0.3">
      <c r="A447">
        <v>446</v>
      </c>
      <c r="B447" t="s">
        <v>1544</v>
      </c>
      <c r="C447" s="3">
        <v>42499</v>
      </c>
      <c r="D447" s="7" t="str">
        <f t="shared" si="12"/>
        <v>May</v>
      </c>
      <c r="E447" s="3">
        <f t="shared" si="13"/>
        <v>42521</v>
      </c>
      <c r="F447" s="3">
        <v>42560</v>
      </c>
      <c r="G447" t="s">
        <v>23</v>
      </c>
      <c r="H447" t="s">
        <v>111</v>
      </c>
      <c r="I447" t="s">
        <v>112</v>
      </c>
      <c r="J447" t="s">
        <v>26</v>
      </c>
      <c r="K447" t="s">
        <v>27</v>
      </c>
      <c r="L447" t="s">
        <v>882</v>
      </c>
      <c r="M447" t="s">
        <v>238</v>
      </c>
      <c r="N447">
        <v>48227</v>
      </c>
      <c r="O447" t="s">
        <v>105</v>
      </c>
      <c r="P447" t="s">
        <v>1555</v>
      </c>
      <c r="Q447" t="s">
        <v>46</v>
      </c>
      <c r="R447" t="s">
        <v>47</v>
      </c>
      <c r="S447" t="s">
        <v>1556</v>
      </c>
      <c r="T447" s="4">
        <v>22.05</v>
      </c>
      <c r="U447">
        <v>7</v>
      </c>
      <c r="V447">
        <v>0</v>
      </c>
      <c r="W447" s="4">
        <v>10.584</v>
      </c>
    </row>
    <row r="448" spans="1:23" x14ac:dyDescent="0.3">
      <c r="A448">
        <v>447</v>
      </c>
      <c r="B448" t="s">
        <v>1557</v>
      </c>
      <c r="C448" s="3">
        <v>43315</v>
      </c>
      <c r="D448" s="7" t="str">
        <f t="shared" si="12"/>
        <v>August</v>
      </c>
      <c r="E448" s="3">
        <f t="shared" si="13"/>
        <v>43343</v>
      </c>
      <c r="F448" s="3">
        <v>43468</v>
      </c>
      <c r="G448" t="s">
        <v>23</v>
      </c>
      <c r="H448" t="s">
        <v>1558</v>
      </c>
      <c r="I448" t="s">
        <v>1559</v>
      </c>
      <c r="J448" t="s">
        <v>26</v>
      </c>
      <c r="K448" t="s">
        <v>27</v>
      </c>
      <c r="L448" t="s">
        <v>497</v>
      </c>
      <c r="M448" t="s">
        <v>254</v>
      </c>
      <c r="N448">
        <v>47201</v>
      </c>
      <c r="O448" t="s">
        <v>105</v>
      </c>
      <c r="P448" t="s">
        <v>1560</v>
      </c>
      <c r="Q448" t="s">
        <v>32</v>
      </c>
      <c r="R448" t="s">
        <v>65</v>
      </c>
      <c r="S448" t="s">
        <v>1561</v>
      </c>
      <c r="T448" s="4">
        <v>2.91</v>
      </c>
      <c r="U448">
        <v>1</v>
      </c>
      <c r="V448">
        <v>0</v>
      </c>
      <c r="W448" s="4">
        <v>1.3676999999999999</v>
      </c>
    </row>
    <row r="449" spans="1:23" x14ac:dyDescent="0.3">
      <c r="A449">
        <v>448</v>
      </c>
      <c r="B449" t="s">
        <v>1562</v>
      </c>
      <c r="C449" s="3">
        <v>42373</v>
      </c>
      <c r="D449" s="7" t="str">
        <f t="shared" si="12"/>
        <v>January</v>
      </c>
      <c r="E449" s="3">
        <f t="shared" si="13"/>
        <v>42400</v>
      </c>
      <c r="F449" s="3">
        <v>42433</v>
      </c>
      <c r="G449" t="s">
        <v>23</v>
      </c>
      <c r="H449" t="s">
        <v>1563</v>
      </c>
      <c r="I449" t="s">
        <v>1564</v>
      </c>
      <c r="J449" t="s">
        <v>26</v>
      </c>
      <c r="K449" t="s">
        <v>27</v>
      </c>
      <c r="L449" t="s">
        <v>1565</v>
      </c>
      <c r="M449" t="s">
        <v>267</v>
      </c>
      <c r="N449">
        <v>13021</v>
      </c>
      <c r="O449" t="s">
        <v>148</v>
      </c>
      <c r="P449" t="s">
        <v>1566</v>
      </c>
      <c r="Q449" t="s">
        <v>46</v>
      </c>
      <c r="R449" t="s">
        <v>68</v>
      </c>
      <c r="S449" t="s">
        <v>1567</v>
      </c>
      <c r="T449" s="4">
        <v>59.52</v>
      </c>
      <c r="U449">
        <v>3</v>
      </c>
      <c r="V449">
        <v>0</v>
      </c>
      <c r="W449" s="4">
        <v>15.475199999999999</v>
      </c>
    </row>
    <row r="450" spans="1:23" x14ac:dyDescent="0.3">
      <c r="A450">
        <v>449</v>
      </c>
      <c r="B450" t="s">
        <v>1562</v>
      </c>
      <c r="C450" s="3">
        <v>42373</v>
      </c>
      <c r="D450" s="7" t="str">
        <f t="shared" si="12"/>
        <v>January</v>
      </c>
      <c r="E450" s="3">
        <f t="shared" si="13"/>
        <v>42400</v>
      </c>
      <c r="F450" s="3">
        <v>42433</v>
      </c>
      <c r="G450" t="s">
        <v>23</v>
      </c>
      <c r="H450" t="s">
        <v>1563</v>
      </c>
      <c r="I450" t="s">
        <v>1564</v>
      </c>
      <c r="J450" t="s">
        <v>26</v>
      </c>
      <c r="K450" t="s">
        <v>27</v>
      </c>
      <c r="L450" t="s">
        <v>1565</v>
      </c>
      <c r="M450" t="s">
        <v>267</v>
      </c>
      <c r="N450">
        <v>13021</v>
      </c>
      <c r="O450" t="s">
        <v>148</v>
      </c>
      <c r="P450" t="s">
        <v>1568</v>
      </c>
      <c r="Q450" t="s">
        <v>46</v>
      </c>
      <c r="R450" t="s">
        <v>59</v>
      </c>
      <c r="S450" t="s">
        <v>1569</v>
      </c>
      <c r="T450" s="4">
        <v>161.94</v>
      </c>
      <c r="U450">
        <v>3</v>
      </c>
      <c r="V450">
        <v>0</v>
      </c>
      <c r="W450" s="4">
        <v>9.7164000000000001</v>
      </c>
    </row>
    <row r="451" spans="1:23" x14ac:dyDescent="0.3">
      <c r="A451">
        <v>450</v>
      </c>
      <c r="B451" t="s">
        <v>1562</v>
      </c>
      <c r="C451" s="3">
        <v>42373</v>
      </c>
      <c r="D451" s="7" t="str">
        <f t="shared" ref="D451:D514" si="14">TEXT(C451,"mmmm")</f>
        <v>January</v>
      </c>
      <c r="E451" s="3">
        <f t="shared" ref="E451:E514" si="15">EOMONTH(C451,0)</f>
        <v>42400</v>
      </c>
      <c r="F451" s="3">
        <v>42433</v>
      </c>
      <c r="G451" t="s">
        <v>23</v>
      </c>
      <c r="H451" t="s">
        <v>1563</v>
      </c>
      <c r="I451" t="s">
        <v>1564</v>
      </c>
      <c r="J451" t="s">
        <v>26</v>
      </c>
      <c r="K451" t="s">
        <v>27</v>
      </c>
      <c r="L451" t="s">
        <v>1565</v>
      </c>
      <c r="M451" t="s">
        <v>267</v>
      </c>
      <c r="N451">
        <v>13021</v>
      </c>
      <c r="O451" t="s">
        <v>148</v>
      </c>
      <c r="P451" t="s">
        <v>1570</v>
      </c>
      <c r="Q451" t="s">
        <v>46</v>
      </c>
      <c r="R451" t="s">
        <v>68</v>
      </c>
      <c r="S451" t="s">
        <v>1571</v>
      </c>
      <c r="T451" s="4">
        <v>263.88</v>
      </c>
      <c r="U451">
        <v>6</v>
      </c>
      <c r="V451">
        <v>0</v>
      </c>
      <c r="W451" s="4">
        <v>71.247600000000006</v>
      </c>
    </row>
    <row r="452" spans="1:23" x14ac:dyDescent="0.3">
      <c r="A452">
        <v>451</v>
      </c>
      <c r="B452" t="s">
        <v>1562</v>
      </c>
      <c r="C452" s="3">
        <v>42373</v>
      </c>
      <c r="D452" s="7" t="str">
        <f t="shared" si="14"/>
        <v>January</v>
      </c>
      <c r="E452" s="3">
        <f t="shared" si="15"/>
        <v>42400</v>
      </c>
      <c r="F452" s="3">
        <v>42433</v>
      </c>
      <c r="G452" t="s">
        <v>23</v>
      </c>
      <c r="H452" t="s">
        <v>1563</v>
      </c>
      <c r="I452" t="s">
        <v>1564</v>
      </c>
      <c r="J452" t="s">
        <v>26</v>
      </c>
      <c r="K452" t="s">
        <v>27</v>
      </c>
      <c r="L452" t="s">
        <v>1565</v>
      </c>
      <c r="M452" t="s">
        <v>267</v>
      </c>
      <c r="N452">
        <v>13021</v>
      </c>
      <c r="O452" t="s">
        <v>148</v>
      </c>
      <c r="P452" t="s">
        <v>1572</v>
      </c>
      <c r="Q452" t="s">
        <v>46</v>
      </c>
      <c r="R452" t="s">
        <v>68</v>
      </c>
      <c r="S452" t="s">
        <v>1573</v>
      </c>
      <c r="T452" s="4">
        <v>30.48</v>
      </c>
      <c r="U452">
        <v>3</v>
      </c>
      <c r="V452">
        <v>0</v>
      </c>
      <c r="W452" s="4">
        <v>7.9248000000000003</v>
      </c>
    </row>
    <row r="453" spans="1:23" x14ac:dyDescent="0.3">
      <c r="A453">
        <v>452</v>
      </c>
      <c r="B453" t="s">
        <v>1562</v>
      </c>
      <c r="C453" s="3">
        <v>42373</v>
      </c>
      <c r="D453" s="7" t="str">
        <f t="shared" si="14"/>
        <v>January</v>
      </c>
      <c r="E453" s="3">
        <f t="shared" si="15"/>
        <v>42400</v>
      </c>
      <c r="F453" s="3">
        <v>42433</v>
      </c>
      <c r="G453" t="s">
        <v>23</v>
      </c>
      <c r="H453" t="s">
        <v>1563</v>
      </c>
      <c r="I453" t="s">
        <v>1564</v>
      </c>
      <c r="J453" t="s">
        <v>26</v>
      </c>
      <c r="K453" t="s">
        <v>27</v>
      </c>
      <c r="L453" t="s">
        <v>1565</v>
      </c>
      <c r="M453" t="s">
        <v>267</v>
      </c>
      <c r="N453">
        <v>13021</v>
      </c>
      <c r="O453" t="s">
        <v>148</v>
      </c>
      <c r="P453" t="s">
        <v>1574</v>
      </c>
      <c r="Q453" t="s">
        <v>46</v>
      </c>
      <c r="R453" t="s">
        <v>68</v>
      </c>
      <c r="S453" t="s">
        <v>1575</v>
      </c>
      <c r="T453" s="4">
        <v>9.84</v>
      </c>
      <c r="U453">
        <v>3</v>
      </c>
      <c r="V453">
        <v>0</v>
      </c>
      <c r="W453" s="4">
        <v>2.8536000000000001</v>
      </c>
    </row>
    <row r="454" spans="1:23" x14ac:dyDescent="0.3">
      <c r="A454">
        <v>453</v>
      </c>
      <c r="B454" t="s">
        <v>1562</v>
      </c>
      <c r="C454" s="3">
        <v>42373</v>
      </c>
      <c r="D454" s="7" t="str">
        <f t="shared" si="14"/>
        <v>January</v>
      </c>
      <c r="E454" s="3">
        <f t="shared" si="15"/>
        <v>42400</v>
      </c>
      <c r="F454" s="3">
        <v>42433</v>
      </c>
      <c r="G454" t="s">
        <v>23</v>
      </c>
      <c r="H454" t="s">
        <v>1563</v>
      </c>
      <c r="I454" t="s">
        <v>1564</v>
      </c>
      <c r="J454" t="s">
        <v>26</v>
      </c>
      <c r="K454" t="s">
        <v>27</v>
      </c>
      <c r="L454" t="s">
        <v>1565</v>
      </c>
      <c r="M454" t="s">
        <v>267</v>
      </c>
      <c r="N454">
        <v>13021</v>
      </c>
      <c r="O454" t="s">
        <v>148</v>
      </c>
      <c r="P454" t="s">
        <v>1576</v>
      </c>
      <c r="Q454" t="s">
        <v>71</v>
      </c>
      <c r="R454" t="s">
        <v>72</v>
      </c>
      <c r="S454" t="s">
        <v>1577</v>
      </c>
      <c r="T454" s="4">
        <v>35.119999999999997</v>
      </c>
      <c r="U454">
        <v>4</v>
      </c>
      <c r="V454">
        <v>0</v>
      </c>
      <c r="W454" s="4">
        <v>9.1311999999999998</v>
      </c>
    </row>
    <row r="455" spans="1:23" x14ac:dyDescent="0.3">
      <c r="A455">
        <v>454</v>
      </c>
      <c r="B455" t="s">
        <v>1578</v>
      </c>
      <c r="C455" s="3">
        <v>43322</v>
      </c>
      <c r="D455" s="7" t="str">
        <f t="shared" si="14"/>
        <v>August</v>
      </c>
      <c r="E455" s="3">
        <f t="shared" si="15"/>
        <v>43343</v>
      </c>
      <c r="F455" s="3">
        <v>43444</v>
      </c>
      <c r="G455" t="s">
        <v>50</v>
      </c>
      <c r="H455" t="s">
        <v>1579</v>
      </c>
      <c r="I455" t="s">
        <v>1580</v>
      </c>
      <c r="J455" t="s">
        <v>41</v>
      </c>
      <c r="K455" t="s">
        <v>27</v>
      </c>
      <c r="L455" t="s">
        <v>803</v>
      </c>
      <c r="M455" t="s">
        <v>498</v>
      </c>
      <c r="N455">
        <v>44312</v>
      </c>
      <c r="O455" t="s">
        <v>148</v>
      </c>
      <c r="P455" t="s">
        <v>80</v>
      </c>
      <c r="Q455" t="s">
        <v>32</v>
      </c>
      <c r="R455" t="s">
        <v>56</v>
      </c>
      <c r="S455" t="s">
        <v>81</v>
      </c>
      <c r="T455" s="4">
        <v>284.36399999999998</v>
      </c>
      <c r="U455">
        <v>2</v>
      </c>
      <c r="V455">
        <v>0.4</v>
      </c>
      <c r="W455" s="4">
        <v>-75.830399999999997</v>
      </c>
    </row>
    <row r="456" spans="1:23" x14ac:dyDescent="0.3">
      <c r="A456">
        <v>455</v>
      </c>
      <c r="B456" t="s">
        <v>1578</v>
      </c>
      <c r="C456" s="3">
        <v>43322</v>
      </c>
      <c r="D456" s="7" t="str">
        <f t="shared" si="14"/>
        <v>August</v>
      </c>
      <c r="E456" s="3">
        <f t="shared" si="15"/>
        <v>43343</v>
      </c>
      <c r="F456" s="3">
        <v>43444</v>
      </c>
      <c r="G456" t="s">
        <v>50</v>
      </c>
      <c r="H456" t="s">
        <v>1579</v>
      </c>
      <c r="I456" t="s">
        <v>1580</v>
      </c>
      <c r="J456" t="s">
        <v>41</v>
      </c>
      <c r="K456" t="s">
        <v>27</v>
      </c>
      <c r="L456" t="s">
        <v>803</v>
      </c>
      <c r="M456" t="s">
        <v>498</v>
      </c>
      <c r="N456">
        <v>44312</v>
      </c>
      <c r="O456" t="s">
        <v>148</v>
      </c>
      <c r="P456" t="s">
        <v>1581</v>
      </c>
      <c r="Q456" t="s">
        <v>46</v>
      </c>
      <c r="R456" t="s">
        <v>59</v>
      </c>
      <c r="S456" t="s">
        <v>1582</v>
      </c>
      <c r="T456" s="4">
        <v>665.40800000000002</v>
      </c>
      <c r="U456">
        <v>2</v>
      </c>
      <c r="V456">
        <v>0.2</v>
      </c>
      <c r="W456" s="4">
        <v>66.540800000000004</v>
      </c>
    </row>
    <row r="457" spans="1:23" x14ac:dyDescent="0.3">
      <c r="A457">
        <v>456</v>
      </c>
      <c r="B457" t="s">
        <v>1583</v>
      </c>
      <c r="C457" s="3">
        <v>42747</v>
      </c>
      <c r="D457" s="7" t="str">
        <f t="shared" si="14"/>
        <v>January</v>
      </c>
      <c r="E457" s="3">
        <f t="shared" si="15"/>
        <v>42766</v>
      </c>
      <c r="F457" s="3">
        <v>42867</v>
      </c>
      <c r="G457" t="s">
        <v>50</v>
      </c>
      <c r="H457" t="s">
        <v>1508</v>
      </c>
      <c r="I457" t="s">
        <v>1509</v>
      </c>
      <c r="J457" t="s">
        <v>41</v>
      </c>
      <c r="K457" t="s">
        <v>27</v>
      </c>
      <c r="L457" t="s">
        <v>1584</v>
      </c>
      <c r="M457" t="s">
        <v>650</v>
      </c>
      <c r="N457">
        <v>73071</v>
      </c>
      <c r="O457" t="s">
        <v>105</v>
      </c>
      <c r="P457" t="s">
        <v>1585</v>
      </c>
      <c r="Q457" t="s">
        <v>71</v>
      </c>
      <c r="R457" t="s">
        <v>161</v>
      </c>
      <c r="S457" t="s">
        <v>1586</v>
      </c>
      <c r="T457" s="4">
        <v>63.88</v>
      </c>
      <c r="U457">
        <v>4</v>
      </c>
      <c r="V457">
        <v>0</v>
      </c>
      <c r="W457" s="4">
        <v>24.9132</v>
      </c>
    </row>
    <row r="458" spans="1:23" x14ac:dyDescent="0.3">
      <c r="A458">
        <v>457</v>
      </c>
      <c r="B458" t="s">
        <v>1587</v>
      </c>
      <c r="C458" s="3">
        <v>41975</v>
      </c>
      <c r="D458" s="7" t="str">
        <f t="shared" si="14"/>
        <v>December</v>
      </c>
      <c r="E458" s="3">
        <f t="shared" si="15"/>
        <v>42004</v>
      </c>
      <c r="F458" s="3">
        <v>42157</v>
      </c>
      <c r="G458" t="s">
        <v>50</v>
      </c>
      <c r="H458" t="s">
        <v>1588</v>
      </c>
      <c r="I458" t="s">
        <v>1589</v>
      </c>
      <c r="J458" t="s">
        <v>26</v>
      </c>
      <c r="K458" t="s">
        <v>27</v>
      </c>
      <c r="L458" t="s">
        <v>87</v>
      </c>
      <c r="M458" t="s">
        <v>43</v>
      </c>
      <c r="N458">
        <v>94521</v>
      </c>
      <c r="O458" t="s">
        <v>44</v>
      </c>
      <c r="P458" t="s">
        <v>1590</v>
      </c>
      <c r="Q458" t="s">
        <v>32</v>
      </c>
      <c r="R458" t="s">
        <v>36</v>
      </c>
      <c r="S458" t="s">
        <v>1591</v>
      </c>
      <c r="T458" s="4">
        <v>129.56800000000001</v>
      </c>
      <c r="U458">
        <v>2</v>
      </c>
      <c r="V458">
        <v>0.2</v>
      </c>
      <c r="W458" s="4">
        <v>-24.294</v>
      </c>
    </row>
    <row r="459" spans="1:23" x14ac:dyDescent="0.3">
      <c r="A459">
        <v>458</v>
      </c>
      <c r="B459" t="s">
        <v>1592</v>
      </c>
      <c r="C459" s="3">
        <v>43140</v>
      </c>
      <c r="D459" s="7" t="str">
        <f t="shared" si="14"/>
        <v>February</v>
      </c>
      <c r="E459" s="3">
        <f t="shared" si="15"/>
        <v>43159</v>
      </c>
      <c r="F459" s="3">
        <v>42379</v>
      </c>
      <c r="G459" t="s">
        <v>50</v>
      </c>
      <c r="H459" t="s">
        <v>1490</v>
      </c>
      <c r="I459" t="s">
        <v>1491</v>
      </c>
      <c r="J459" t="s">
        <v>26</v>
      </c>
      <c r="K459" t="s">
        <v>27</v>
      </c>
      <c r="L459" t="s">
        <v>357</v>
      </c>
      <c r="M459" t="s">
        <v>211</v>
      </c>
      <c r="N459">
        <v>62521</v>
      </c>
      <c r="O459" t="s">
        <v>105</v>
      </c>
      <c r="P459" t="s">
        <v>1593</v>
      </c>
      <c r="Q459" t="s">
        <v>32</v>
      </c>
      <c r="R459" t="s">
        <v>36</v>
      </c>
      <c r="S459" t="s">
        <v>1594</v>
      </c>
      <c r="T459" s="4">
        <v>747.55799999999999</v>
      </c>
      <c r="U459">
        <v>3</v>
      </c>
      <c r="V459">
        <v>0.3</v>
      </c>
      <c r="W459" s="4">
        <v>-96.114599999999996</v>
      </c>
    </row>
    <row r="460" spans="1:23" x14ac:dyDescent="0.3">
      <c r="A460">
        <v>459</v>
      </c>
      <c r="B460" t="s">
        <v>1592</v>
      </c>
      <c r="C460" s="3">
        <v>43140</v>
      </c>
      <c r="D460" s="7" t="str">
        <f t="shared" si="14"/>
        <v>February</v>
      </c>
      <c r="E460" s="3">
        <f t="shared" si="15"/>
        <v>43159</v>
      </c>
      <c r="F460" s="3">
        <v>42379</v>
      </c>
      <c r="G460" t="s">
        <v>50</v>
      </c>
      <c r="H460" t="s">
        <v>1490</v>
      </c>
      <c r="I460" t="s">
        <v>1491</v>
      </c>
      <c r="J460" t="s">
        <v>26</v>
      </c>
      <c r="K460" t="s">
        <v>27</v>
      </c>
      <c r="L460" t="s">
        <v>357</v>
      </c>
      <c r="M460" t="s">
        <v>211</v>
      </c>
      <c r="N460">
        <v>62521</v>
      </c>
      <c r="O460" t="s">
        <v>105</v>
      </c>
      <c r="P460" t="s">
        <v>1595</v>
      </c>
      <c r="Q460" t="s">
        <v>46</v>
      </c>
      <c r="R460" t="s">
        <v>173</v>
      </c>
      <c r="S460" t="s">
        <v>671</v>
      </c>
      <c r="T460" s="4">
        <v>8.9280000000000008</v>
      </c>
      <c r="U460">
        <v>2</v>
      </c>
      <c r="V460">
        <v>0.2</v>
      </c>
      <c r="W460" s="4">
        <v>3.3479999999999999</v>
      </c>
    </row>
    <row r="461" spans="1:23" x14ac:dyDescent="0.3">
      <c r="A461">
        <v>460</v>
      </c>
      <c r="B461" t="s">
        <v>1596</v>
      </c>
      <c r="C461" s="3">
        <v>42441</v>
      </c>
      <c r="D461" s="7" t="str">
        <f t="shared" si="14"/>
        <v>March</v>
      </c>
      <c r="E461" s="3">
        <f t="shared" si="15"/>
        <v>42460</v>
      </c>
      <c r="F461" s="3">
        <v>42655</v>
      </c>
      <c r="G461" t="s">
        <v>50</v>
      </c>
      <c r="H461" t="s">
        <v>832</v>
      </c>
      <c r="I461" t="s">
        <v>833</v>
      </c>
      <c r="J461" t="s">
        <v>26</v>
      </c>
      <c r="K461" t="s">
        <v>27</v>
      </c>
      <c r="L461" t="s">
        <v>95</v>
      </c>
      <c r="M461" t="s">
        <v>96</v>
      </c>
      <c r="N461">
        <v>98115</v>
      </c>
      <c r="O461" t="s">
        <v>44</v>
      </c>
      <c r="P461" t="s">
        <v>1597</v>
      </c>
      <c r="Q461" t="s">
        <v>46</v>
      </c>
      <c r="R461" t="s">
        <v>78</v>
      </c>
      <c r="S461" t="s">
        <v>1598</v>
      </c>
      <c r="T461" s="4">
        <v>103.92</v>
      </c>
      <c r="U461">
        <v>4</v>
      </c>
      <c r="V461">
        <v>0</v>
      </c>
      <c r="W461" s="4">
        <v>36.372</v>
      </c>
    </row>
    <row r="462" spans="1:23" x14ac:dyDescent="0.3">
      <c r="A462">
        <v>461</v>
      </c>
      <c r="B462" t="s">
        <v>1596</v>
      </c>
      <c r="C462" s="3">
        <v>42441</v>
      </c>
      <c r="D462" s="7" t="str">
        <f t="shared" si="14"/>
        <v>March</v>
      </c>
      <c r="E462" s="3">
        <f t="shared" si="15"/>
        <v>42460</v>
      </c>
      <c r="F462" s="3">
        <v>42655</v>
      </c>
      <c r="G462" t="s">
        <v>50</v>
      </c>
      <c r="H462" t="s">
        <v>832</v>
      </c>
      <c r="I462" t="s">
        <v>833</v>
      </c>
      <c r="J462" t="s">
        <v>26</v>
      </c>
      <c r="K462" t="s">
        <v>27</v>
      </c>
      <c r="L462" t="s">
        <v>95</v>
      </c>
      <c r="M462" t="s">
        <v>96</v>
      </c>
      <c r="N462">
        <v>98115</v>
      </c>
      <c r="O462" t="s">
        <v>44</v>
      </c>
      <c r="P462" t="s">
        <v>1599</v>
      </c>
      <c r="Q462" t="s">
        <v>71</v>
      </c>
      <c r="R462" t="s">
        <v>161</v>
      </c>
      <c r="S462" t="s">
        <v>1600</v>
      </c>
      <c r="T462" s="4">
        <v>899.91</v>
      </c>
      <c r="U462">
        <v>9</v>
      </c>
      <c r="V462">
        <v>0</v>
      </c>
      <c r="W462" s="4">
        <v>377.9622</v>
      </c>
    </row>
    <row r="463" spans="1:23" x14ac:dyDescent="0.3">
      <c r="A463">
        <v>462</v>
      </c>
      <c r="B463" t="s">
        <v>1596</v>
      </c>
      <c r="C463" s="3">
        <v>42441</v>
      </c>
      <c r="D463" s="7" t="str">
        <f t="shared" si="14"/>
        <v>March</v>
      </c>
      <c r="E463" s="3">
        <f t="shared" si="15"/>
        <v>42460</v>
      </c>
      <c r="F463" s="3">
        <v>42655</v>
      </c>
      <c r="G463" t="s">
        <v>50</v>
      </c>
      <c r="H463" t="s">
        <v>832</v>
      </c>
      <c r="I463" t="s">
        <v>833</v>
      </c>
      <c r="J463" t="s">
        <v>26</v>
      </c>
      <c r="K463" t="s">
        <v>27</v>
      </c>
      <c r="L463" t="s">
        <v>95</v>
      </c>
      <c r="M463" t="s">
        <v>96</v>
      </c>
      <c r="N463">
        <v>98115</v>
      </c>
      <c r="O463" t="s">
        <v>44</v>
      </c>
      <c r="P463" t="s">
        <v>1601</v>
      </c>
      <c r="Q463" t="s">
        <v>46</v>
      </c>
      <c r="R463" t="s">
        <v>75</v>
      </c>
      <c r="S463" t="s">
        <v>1602</v>
      </c>
      <c r="T463" s="4">
        <v>51.311999999999998</v>
      </c>
      <c r="U463">
        <v>3</v>
      </c>
      <c r="V463">
        <v>0.2</v>
      </c>
      <c r="W463" s="4">
        <v>18.6006</v>
      </c>
    </row>
    <row r="464" spans="1:23" x14ac:dyDescent="0.3">
      <c r="A464">
        <v>463</v>
      </c>
      <c r="B464" t="s">
        <v>1603</v>
      </c>
      <c r="C464" s="3">
        <v>43012</v>
      </c>
      <c r="D464" s="7" t="str">
        <f t="shared" si="14"/>
        <v>October</v>
      </c>
      <c r="E464" s="3">
        <f t="shared" si="15"/>
        <v>43039</v>
      </c>
      <c r="F464" s="3">
        <v>43224</v>
      </c>
      <c r="G464" t="s">
        <v>50</v>
      </c>
      <c r="H464" t="s">
        <v>1604</v>
      </c>
      <c r="I464" t="s">
        <v>1605</v>
      </c>
      <c r="J464" t="s">
        <v>102</v>
      </c>
      <c r="K464" t="s">
        <v>27</v>
      </c>
      <c r="L464" t="s">
        <v>544</v>
      </c>
      <c r="M464" t="s">
        <v>310</v>
      </c>
      <c r="N464">
        <v>85023</v>
      </c>
      <c r="O464" t="s">
        <v>44</v>
      </c>
      <c r="P464" t="s">
        <v>1287</v>
      </c>
      <c r="Q464" t="s">
        <v>32</v>
      </c>
      <c r="R464" t="s">
        <v>65</v>
      </c>
      <c r="S464" t="s">
        <v>1288</v>
      </c>
      <c r="T464" s="4">
        <v>23.56</v>
      </c>
      <c r="U464">
        <v>5</v>
      </c>
      <c r="V464">
        <v>0.2</v>
      </c>
      <c r="W464" s="4">
        <v>7.0679999999999996</v>
      </c>
    </row>
    <row r="465" spans="1:23" x14ac:dyDescent="0.3">
      <c r="A465">
        <v>464</v>
      </c>
      <c r="B465" t="s">
        <v>1603</v>
      </c>
      <c r="C465" s="3">
        <v>43012</v>
      </c>
      <c r="D465" s="7" t="str">
        <f t="shared" si="14"/>
        <v>October</v>
      </c>
      <c r="E465" s="3">
        <f t="shared" si="15"/>
        <v>43039</v>
      </c>
      <c r="F465" s="3">
        <v>43224</v>
      </c>
      <c r="G465" t="s">
        <v>50</v>
      </c>
      <c r="H465" t="s">
        <v>1604</v>
      </c>
      <c r="I465" t="s">
        <v>1605</v>
      </c>
      <c r="J465" t="s">
        <v>102</v>
      </c>
      <c r="K465" t="s">
        <v>27</v>
      </c>
      <c r="L465" t="s">
        <v>544</v>
      </c>
      <c r="M465" t="s">
        <v>310</v>
      </c>
      <c r="N465">
        <v>85023</v>
      </c>
      <c r="O465" t="s">
        <v>44</v>
      </c>
      <c r="P465" t="s">
        <v>1606</v>
      </c>
      <c r="Q465" t="s">
        <v>32</v>
      </c>
      <c r="R465" t="s">
        <v>56</v>
      </c>
      <c r="S465" t="s">
        <v>1607</v>
      </c>
      <c r="T465" s="4">
        <v>1272.6300000000001</v>
      </c>
      <c r="U465">
        <v>6</v>
      </c>
      <c r="V465">
        <v>0.5</v>
      </c>
      <c r="W465" s="4">
        <v>-814.48320000000001</v>
      </c>
    </row>
    <row r="466" spans="1:23" x14ac:dyDescent="0.3">
      <c r="A466">
        <v>465</v>
      </c>
      <c r="B466" t="s">
        <v>1603</v>
      </c>
      <c r="C466" s="3">
        <v>43012</v>
      </c>
      <c r="D466" s="7" t="str">
        <f t="shared" si="14"/>
        <v>October</v>
      </c>
      <c r="E466" s="3">
        <f t="shared" si="15"/>
        <v>43039</v>
      </c>
      <c r="F466" s="3">
        <v>43224</v>
      </c>
      <c r="G466" t="s">
        <v>50</v>
      </c>
      <c r="H466" t="s">
        <v>1604</v>
      </c>
      <c r="I466" t="s">
        <v>1605</v>
      </c>
      <c r="J466" t="s">
        <v>102</v>
      </c>
      <c r="K466" t="s">
        <v>27</v>
      </c>
      <c r="L466" t="s">
        <v>544</v>
      </c>
      <c r="M466" t="s">
        <v>310</v>
      </c>
      <c r="N466">
        <v>85023</v>
      </c>
      <c r="O466" t="s">
        <v>44</v>
      </c>
      <c r="P466" t="s">
        <v>1608</v>
      </c>
      <c r="Q466" t="s">
        <v>46</v>
      </c>
      <c r="R466" t="s">
        <v>75</v>
      </c>
      <c r="S466" t="s">
        <v>1609</v>
      </c>
      <c r="T466" s="4">
        <v>28.484999999999999</v>
      </c>
      <c r="U466">
        <v>5</v>
      </c>
      <c r="V466">
        <v>0.7</v>
      </c>
      <c r="W466" s="4">
        <v>-20.888999999999999</v>
      </c>
    </row>
    <row r="467" spans="1:23" x14ac:dyDescent="0.3">
      <c r="A467">
        <v>466</v>
      </c>
      <c r="B467" t="s">
        <v>1603</v>
      </c>
      <c r="C467" s="3">
        <v>43012</v>
      </c>
      <c r="D467" s="7" t="str">
        <f t="shared" si="14"/>
        <v>October</v>
      </c>
      <c r="E467" s="3">
        <f t="shared" si="15"/>
        <v>43039</v>
      </c>
      <c r="F467" s="3">
        <v>43224</v>
      </c>
      <c r="G467" t="s">
        <v>50</v>
      </c>
      <c r="H467" t="s">
        <v>1604</v>
      </c>
      <c r="I467" t="s">
        <v>1605</v>
      </c>
      <c r="J467" t="s">
        <v>102</v>
      </c>
      <c r="K467" t="s">
        <v>27</v>
      </c>
      <c r="L467" t="s">
        <v>544</v>
      </c>
      <c r="M467" t="s">
        <v>310</v>
      </c>
      <c r="N467">
        <v>85023</v>
      </c>
      <c r="O467" t="s">
        <v>44</v>
      </c>
      <c r="P467" t="s">
        <v>1610</v>
      </c>
      <c r="Q467" t="s">
        <v>46</v>
      </c>
      <c r="R467" t="s">
        <v>579</v>
      </c>
      <c r="S467" t="s">
        <v>1611</v>
      </c>
      <c r="T467" s="4">
        <v>185.376</v>
      </c>
      <c r="U467">
        <v>2</v>
      </c>
      <c r="V467">
        <v>0.2</v>
      </c>
      <c r="W467" s="4">
        <v>-34.758000000000003</v>
      </c>
    </row>
    <row r="468" spans="1:23" x14ac:dyDescent="0.3">
      <c r="A468">
        <v>467</v>
      </c>
      <c r="B468" t="s">
        <v>1603</v>
      </c>
      <c r="C468" s="3">
        <v>43012</v>
      </c>
      <c r="D468" s="7" t="str">
        <f t="shared" si="14"/>
        <v>October</v>
      </c>
      <c r="E468" s="3">
        <f t="shared" si="15"/>
        <v>43039</v>
      </c>
      <c r="F468" s="3">
        <v>43224</v>
      </c>
      <c r="G468" t="s">
        <v>50</v>
      </c>
      <c r="H468" t="s">
        <v>1604</v>
      </c>
      <c r="I468" t="s">
        <v>1605</v>
      </c>
      <c r="J468" t="s">
        <v>102</v>
      </c>
      <c r="K468" t="s">
        <v>27</v>
      </c>
      <c r="L468" t="s">
        <v>544</v>
      </c>
      <c r="M468" t="s">
        <v>310</v>
      </c>
      <c r="N468">
        <v>85023</v>
      </c>
      <c r="O468" t="s">
        <v>44</v>
      </c>
      <c r="P468" t="s">
        <v>1612</v>
      </c>
      <c r="Q468" t="s">
        <v>46</v>
      </c>
      <c r="R468" t="s">
        <v>78</v>
      </c>
      <c r="S468" t="s">
        <v>1613</v>
      </c>
      <c r="T468" s="4">
        <v>78.272000000000006</v>
      </c>
      <c r="U468">
        <v>2</v>
      </c>
      <c r="V468">
        <v>0.2</v>
      </c>
      <c r="W468" s="4">
        <v>5.8704000000000001</v>
      </c>
    </row>
    <row r="469" spans="1:23" x14ac:dyDescent="0.3">
      <c r="A469">
        <v>468</v>
      </c>
      <c r="B469" t="s">
        <v>1614</v>
      </c>
      <c r="C469" s="3">
        <v>42491</v>
      </c>
      <c r="D469" s="7" t="str">
        <f t="shared" si="14"/>
        <v>May</v>
      </c>
      <c r="E469" s="3">
        <f t="shared" si="15"/>
        <v>42521</v>
      </c>
      <c r="F469" s="3">
        <v>42705</v>
      </c>
      <c r="G469" t="s">
        <v>50</v>
      </c>
      <c r="H469" t="s">
        <v>1615</v>
      </c>
      <c r="I469" t="s">
        <v>1616</v>
      </c>
      <c r="J469" t="s">
        <v>102</v>
      </c>
      <c r="K469" t="s">
        <v>27</v>
      </c>
      <c r="L469" t="s">
        <v>1617</v>
      </c>
      <c r="M469" t="s">
        <v>211</v>
      </c>
      <c r="N469">
        <v>60068</v>
      </c>
      <c r="O469" t="s">
        <v>105</v>
      </c>
      <c r="P469" t="s">
        <v>1089</v>
      </c>
      <c r="Q469" t="s">
        <v>32</v>
      </c>
      <c r="R469" t="s">
        <v>65</v>
      </c>
      <c r="S469" t="s">
        <v>1090</v>
      </c>
      <c r="T469" s="4">
        <v>254.744</v>
      </c>
      <c r="U469">
        <v>7</v>
      </c>
      <c r="V469">
        <v>0.6</v>
      </c>
      <c r="W469" s="4">
        <v>-312.06139999999999</v>
      </c>
    </row>
    <row r="470" spans="1:23" x14ac:dyDescent="0.3">
      <c r="A470">
        <v>469</v>
      </c>
      <c r="B470" t="s">
        <v>1618</v>
      </c>
      <c r="C470" s="3">
        <v>43649</v>
      </c>
      <c r="D470" s="7" t="str">
        <f t="shared" si="14"/>
        <v>July</v>
      </c>
      <c r="E470" s="3">
        <f t="shared" si="15"/>
        <v>43677</v>
      </c>
      <c r="F470" s="3">
        <v>42829</v>
      </c>
      <c r="G470" t="s">
        <v>50</v>
      </c>
      <c r="H470" t="s">
        <v>880</v>
      </c>
      <c r="I470" t="s">
        <v>881</v>
      </c>
      <c r="J470" t="s">
        <v>41</v>
      </c>
      <c r="K470" t="s">
        <v>27</v>
      </c>
      <c r="L470" t="s">
        <v>1619</v>
      </c>
      <c r="M470" t="s">
        <v>104</v>
      </c>
      <c r="N470">
        <v>79109</v>
      </c>
      <c r="O470" t="s">
        <v>105</v>
      </c>
      <c r="P470" t="s">
        <v>1620</v>
      </c>
      <c r="Q470" t="s">
        <v>32</v>
      </c>
      <c r="R470" t="s">
        <v>33</v>
      </c>
      <c r="S470" t="s">
        <v>1621</v>
      </c>
      <c r="T470" s="4">
        <v>205.33279999999999</v>
      </c>
      <c r="U470">
        <v>2</v>
      </c>
      <c r="V470">
        <v>0.32</v>
      </c>
      <c r="W470" s="4">
        <v>-36.235199999999999</v>
      </c>
    </row>
    <row r="471" spans="1:23" x14ac:dyDescent="0.3">
      <c r="A471">
        <v>470</v>
      </c>
      <c r="B471" t="s">
        <v>1622</v>
      </c>
      <c r="C471" s="3">
        <v>42837</v>
      </c>
      <c r="D471" s="7" t="str">
        <f t="shared" si="14"/>
        <v>April</v>
      </c>
      <c r="E471" s="3">
        <f t="shared" si="15"/>
        <v>42855</v>
      </c>
      <c r="F471" s="3">
        <v>42959</v>
      </c>
      <c r="G471" t="s">
        <v>23</v>
      </c>
      <c r="H471" t="s">
        <v>968</v>
      </c>
      <c r="I471" t="s">
        <v>969</v>
      </c>
      <c r="J471" t="s">
        <v>26</v>
      </c>
      <c r="K471" t="s">
        <v>27</v>
      </c>
      <c r="L471" t="s">
        <v>303</v>
      </c>
      <c r="M471" t="s">
        <v>211</v>
      </c>
      <c r="N471">
        <v>60610</v>
      </c>
      <c r="O471" t="s">
        <v>105</v>
      </c>
      <c r="P471" t="s">
        <v>1623</v>
      </c>
      <c r="Q471" t="s">
        <v>46</v>
      </c>
      <c r="R471" t="s">
        <v>75</v>
      </c>
      <c r="S471" t="s">
        <v>1624</v>
      </c>
      <c r="T471" s="4">
        <v>4.7880000000000003</v>
      </c>
      <c r="U471">
        <v>3</v>
      </c>
      <c r="V471">
        <v>0.8</v>
      </c>
      <c r="W471" s="4">
        <v>-7.9001999999999999</v>
      </c>
    </row>
    <row r="472" spans="1:23" x14ac:dyDescent="0.3">
      <c r="A472">
        <v>471</v>
      </c>
      <c r="B472" t="s">
        <v>1625</v>
      </c>
      <c r="C472" s="3">
        <v>42594</v>
      </c>
      <c r="D472" s="7" t="str">
        <f t="shared" si="14"/>
        <v>August</v>
      </c>
      <c r="E472" s="3">
        <f t="shared" si="15"/>
        <v>42613</v>
      </c>
      <c r="F472" s="3">
        <v>42716</v>
      </c>
      <c r="G472" t="s">
        <v>50</v>
      </c>
      <c r="H472" t="s">
        <v>1626</v>
      </c>
      <c r="I472" t="s">
        <v>1627</v>
      </c>
      <c r="J472" t="s">
        <v>41</v>
      </c>
      <c r="K472" t="s">
        <v>27</v>
      </c>
      <c r="L472" t="s">
        <v>1628</v>
      </c>
      <c r="M472" t="s">
        <v>267</v>
      </c>
      <c r="N472">
        <v>11757</v>
      </c>
      <c r="O472" t="s">
        <v>148</v>
      </c>
      <c r="P472" t="s">
        <v>1629</v>
      </c>
      <c r="Q472" t="s">
        <v>46</v>
      </c>
      <c r="R472" t="s">
        <v>90</v>
      </c>
      <c r="S472" t="s">
        <v>1630</v>
      </c>
      <c r="T472" s="4">
        <v>55.48</v>
      </c>
      <c r="U472">
        <v>1</v>
      </c>
      <c r="V472">
        <v>0</v>
      </c>
      <c r="W472" s="4">
        <v>26.630400000000002</v>
      </c>
    </row>
    <row r="473" spans="1:23" x14ac:dyDescent="0.3">
      <c r="A473">
        <v>472</v>
      </c>
      <c r="B473" t="s">
        <v>1631</v>
      </c>
      <c r="C473" s="3">
        <v>41893</v>
      </c>
      <c r="D473" s="7" t="str">
        <f t="shared" si="14"/>
        <v>September</v>
      </c>
      <c r="E473" s="3">
        <f t="shared" si="15"/>
        <v>41912</v>
      </c>
      <c r="F473" s="3">
        <v>41954</v>
      </c>
      <c r="G473" t="s">
        <v>23</v>
      </c>
      <c r="H473" t="s">
        <v>1632</v>
      </c>
      <c r="I473" t="s">
        <v>1633</v>
      </c>
      <c r="J473" t="s">
        <v>26</v>
      </c>
      <c r="K473" t="s">
        <v>27</v>
      </c>
      <c r="L473" t="s">
        <v>127</v>
      </c>
      <c r="M473" t="s">
        <v>43</v>
      </c>
      <c r="N473">
        <v>94110</v>
      </c>
      <c r="O473" t="s">
        <v>44</v>
      </c>
      <c r="P473" t="s">
        <v>1634</v>
      </c>
      <c r="Q473" t="s">
        <v>46</v>
      </c>
      <c r="R473" t="s">
        <v>59</v>
      </c>
      <c r="S473" t="s">
        <v>1635</v>
      </c>
      <c r="T473" s="4">
        <v>340.92</v>
      </c>
      <c r="U473">
        <v>3</v>
      </c>
      <c r="V473">
        <v>0</v>
      </c>
      <c r="W473" s="4">
        <v>3.4091999999999998</v>
      </c>
    </row>
    <row r="474" spans="1:23" x14ac:dyDescent="0.3">
      <c r="A474">
        <v>473</v>
      </c>
      <c r="B474" t="s">
        <v>1631</v>
      </c>
      <c r="C474" s="3">
        <v>41893</v>
      </c>
      <c r="D474" s="7" t="str">
        <f t="shared" si="14"/>
        <v>September</v>
      </c>
      <c r="E474" s="3">
        <f t="shared" si="15"/>
        <v>41912</v>
      </c>
      <c r="F474" s="3">
        <v>41954</v>
      </c>
      <c r="G474" t="s">
        <v>23</v>
      </c>
      <c r="H474" t="s">
        <v>1632</v>
      </c>
      <c r="I474" t="s">
        <v>1633</v>
      </c>
      <c r="J474" t="s">
        <v>26</v>
      </c>
      <c r="K474" t="s">
        <v>27</v>
      </c>
      <c r="L474" t="s">
        <v>127</v>
      </c>
      <c r="M474" t="s">
        <v>43</v>
      </c>
      <c r="N474">
        <v>94110</v>
      </c>
      <c r="O474" t="s">
        <v>44</v>
      </c>
      <c r="P474" t="s">
        <v>1636</v>
      </c>
      <c r="Q474" t="s">
        <v>32</v>
      </c>
      <c r="R474" t="s">
        <v>33</v>
      </c>
      <c r="S474" t="s">
        <v>1637</v>
      </c>
      <c r="T474" s="4">
        <v>222.666</v>
      </c>
      <c r="U474">
        <v>2</v>
      </c>
      <c r="V474">
        <v>0.15</v>
      </c>
      <c r="W474" s="4">
        <v>10.478400000000001</v>
      </c>
    </row>
    <row r="475" spans="1:23" x14ac:dyDescent="0.3">
      <c r="A475">
        <v>474</v>
      </c>
      <c r="B475" t="s">
        <v>1631</v>
      </c>
      <c r="C475" s="3">
        <v>41893</v>
      </c>
      <c r="D475" s="7" t="str">
        <f t="shared" si="14"/>
        <v>September</v>
      </c>
      <c r="E475" s="3">
        <f t="shared" si="15"/>
        <v>41912</v>
      </c>
      <c r="F475" s="3">
        <v>41954</v>
      </c>
      <c r="G475" t="s">
        <v>23</v>
      </c>
      <c r="H475" t="s">
        <v>1632</v>
      </c>
      <c r="I475" t="s">
        <v>1633</v>
      </c>
      <c r="J475" t="s">
        <v>26</v>
      </c>
      <c r="K475" t="s">
        <v>27</v>
      </c>
      <c r="L475" t="s">
        <v>127</v>
      </c>
      <c r="M475" t="s">
        <v>43</v>
      </c>
      <c r="N475">
        <v>94110</v>
      </c>
      <c r="O475" t="s">
        <v>44</v>
      </c>
      <c r="P475" t="s">
        <v>1638</v>
      </c>
      <c r="Q475" t="s">
        <v>71</v>
      </c>
      <c r="R475" t="s">
        <v>72</v>
      </c>
      <c r="S475" t="s">
        <v>1639</v>
      </c>
      <c r="T475" s="4">
        <v>703.96799999999996</v>
      </c>
      <c r="U475">
        <v>4</v>
      </c>
      <c r="V475">
        <v>0.2</v>
      </c>
      <c r="W475" s="4">
        <v>87.995999999999995</v>
      </c>
    </row>
    <row r="476" spans="1:23" x14ac:dyDescent="0.3">
      <c r="A476">
        <v>475</v>
      </c>
      <c r="B476" t="s">
        <v>1631</v>
      </c>
      <c r="C476" s="3">
        <v>41893</v>
      </c>
      <c r="D476" s="7" t="str">
        <f t="shared" si="14"/>
        <v>September</v>
      </c>
      <c r="E476" s="3">
        <f t="shared" si="15"/>
        <v>41912</v>
      </c>
      <c r="F476" s="3">
        <v>41954</v>
      </c>
      <c r="G476" t="s">
        <v>23</v>
      </c>
      <c r="H476" t="s">
        <v>1632</v>
      </c>
      <c r="I476" t="s">
        <v>1633</v>
      </c>
      <c r="J476" t="s">
        <v>26</v>
      </c>
      <c r="K476" t="s">
        <v>27</v>
      </c>
      <c r="L476" t="s">
        <v>127</v>
      </c>
      <c r="M476" t="s">
        <v>43</v>
      </c>
      <c r="N476">
        <v>94110</v>
      </c>
      <c r="O476" t="s">
        <v>44</v>
      </c>
      <c r="P476" t="s">
        <v>1640</v>
      </c>
      <c r="Q476" t="s">
        <v>46</v>
      </c>
      <c r="R476" t="s">
        <v>59</v>
      </c>
      <c r="S476" t="s">
        <v>1641</v>
      </c>
      <c r="T476" s="4">
        <v>92.52</v>
      </c>
      <c r="U476">
        <v>6</v>
      </c>
      <c r="V476">
        <v>0</v>
      </c>
      <c r="W476" s="4">
        <v>24.980399999999999</v>
      </c>
    </row>
    <row r="477" spans="1:23" x14ac:dyDescent="0.3">
      <c r="A477">
        <v>476</v>
      </c>
      <c r="B477" t="s">
        <v>1631</v>
      </c>
      <c r="C477" s="3">
        <v>41893</v>
      </c>
      <c r="D477" s="7" t="str">
        <f t="shared" si="14"/>
        <v>September</v>
      </c>
      <c r="E477" s="3">
        <f t="shared" si="15"/>
        <v>41912</v>
      </c>
      <c r="F477" s="3">
        <v>41954</v>
      </c>
      <c r="G477" t="s">
        <v>23</v>
      </c>
      <c r="H477" t="s">
        <v>1632</v>
      </c>
      <c r="I477" t="s">
        <v>1633</v>
      </c>
      <c r="J477" t="s">
        <v>26</v>
      </c>
      <c r="K477" t="s">
        <v>27</v>
      </c>
      <c r="L477" t="s">
        <v>127</v>
      </c>
      <c r="M477" t="s">
        <v>43</v>
      </c>
      <c r="N477">
        <v>94110</v>
      </c>
      <c r="O477" t="s">
        <v>44</v>
      </c>
      <c r="P477" t="s">
        <v>1642</v>
      </c>
      <c r="Q477" t="s">
        <v>46</v>
      </c>
      <c r="R477" t="s">
        <v>90</v>
      </c>
      <c r="S477" t="s">
        <v>1643</v>
      </c>
      <c r="T477" s="4">
        <v>62.65</v>
      </c>
      <c r="U477">
        <v>7</v>
      </c>
      <c r="V477">
        <v>0</v>
      </c>
      <c r="W477" s="4">
        <v>28.818999999999999</v>
      </c>
    </row>
    <row r="478" spans="1:23" x14ac:dyDescent="0.3">
      <c r="A478">
        <v>477</v>
      </c>
      <c r="B478" t="s">
        <v>1631</v>
      </c>
      <c r="C478" s="3">
        <v>41893</v>
      </c>
      <c r="D478" s="7" t="str">
        <f t="shared" si="14"/>
        <v>September</v>
      </c>
      <c r="E478" s="3">
        <f t="shared" si="15"/>
        <v>41912</v>
      </c>
      <c r="F478" s="3">
        <v>41954</v>
      </c>
      <c r="G478" t="s">
        <v>23</v>
      </c>
      <c r="H478" t="s">
        <v>1632</v>
      </c>
      <c r="I478" t="s">
        <v>1633</v>
      </c>
      <c r="J478" t="s">
        <v>26</v>
      </c>
      <c r="K478" t="s">
        <v>27</v>
      </c>
      <c r="L478" t="s">
        <v>127</v>
      </c>
      <c r="M478" t="s">
        <v>43</v>
      </c>
      <c r="N478">
        <v>94110</v>
      </c>
      <c r="O478" t="s">
        <v>44</v>
      </c>
      <c r="P478" t="s">
        <v>1644</v>
      </c>
      <c r="Q478" t="s">
        <v>46</v>
      </c>
      <c r="R478" t="s">
        <v>90</v>
      </c>
      <c r="S478" t="s">
        <v>1645</v>
      </c>
      <c r="T478" s="4">
        <v>94.85</v>
      </c>
      <c r="U478">
        <v>5</v>
      </c>
      <c r="V478">
        <v>0</v>
      </c>
      <c r="W478" s="4">
        <v>45.527999999999999</v>
      </c>
    </row>
    <row r="479" spans="1:23" x14ac:dyDescent="0.3">
      <c r="A479">
        <v>478</v>
      </c>
      <c r="B479" t="s">
        <v>1646</v>
      </c>
      <c r="C479" s="3">
        <v>42711</v>
      </c>
      <c r="D479" s="7" t="str">
        <f t="shared" si="14"/>
        <v>December</v>
      </c>
      <c r="E479" s="3">
        <f t="shared" si="15"/>
        <v>42735</v>
      </c>
      <c r="F479" s="3">
        <v>42923</v>
      </c>
      <c r="G479" t="s">
        <v>50</v>
      </c>
      <c r="H479" t="s">
        <v>1016</v>
      </c>
      <c r="I479" t="s">
        <v>1017</v>
      </c>
      <c r="J479" t="s">
        <v>41</v>
      </c>
      <c r="K479" t="s">
        <v>27</v>
      </c>
      <c r="L479" t="s">
        <v>42</v>
      </c>
      <c r="M479" t="s">
        <v>43</v>
      </c>
      <c r="N479">
        <v>90008</v>
      </c>
      <c r="O479" t="s">
        <v>44</v>
      </c>
      <c r="P479" t="s">
        <v>1647</v>
      </c>
      <c r="Q479" t="s">
        <v>71</v>
      </c>
      <c r="R479" t="s">
        <v>72</v>
      </c>
      <c r="S479" t="s">
        <v>1648</v>
      </c>
      <c r="T479" s="4">
        <v>95.76</v>
      </c>
      <c r="U479">
        <v>6</v>
      </c>
      <c r="V479">
        <v>0.2</v>
      </c>
      <c r="W479" s="4">
        <v>7.1820000000000004</v>
      </c>
    </row>
    <row r="480" spans="1:23" x14ac:dyDescent="0.3">
      <c r="A480">
        <v>479</v>
      </c>
      <c r="B480" t="s">
        <v>1649</v>
      </c>
      <c r="C480" s="3">
        <v>43169</v>
      </c>
      <c r="D480" s="7" t="str">
        <f t="shared" si="14"/>
        <v>March</v>
      </c>
      <c r="E480" s="3">
        <f t="shared" si="15"/>
        <v>43190</v>
      </c>
      <c r="F480" s="3">
        <v>42411</v>
      </c>
      <c r="G480" t="s">
        <v>50</v>
      </c>
      <c r="H480" t="s">
        <v>1650</v>
      </c>
      <c r="I480" t="s">
        <v>1651</v>
      </c>
      <c r="J480" t="s">
        <v>26</v>
      </c>
      <c r="K480" t="s">
        <v>27</v>
      </c>
      <c r="L480" t="s">
        <v>276</v>
      </c>
      <c r="M480" t="s">
        <v>267</v>
      </c>
      <c r="N480">
        <v>12180</v>
      </c>
      <c r="O480" t="s">
        <v>148</v>
      </c>
      <c r="P480" t="s">
        <v>1113</v>
      </c>
      <c r="Q480" t="s">
        <v>32</v>
      </c>
      <c r="R480" t="s">
        <v>65</v>
      </c>
      <c r="S480" t="s">
        <v>1114</v>
      </c>
      <c r="T480" s="4">
        <v>40.200000000000003</v>
      </c>
      <c r="U480">
        <v>3</v>
      </c>
      <c r="V480">
        <v>0</v>
      </c>
      <c r="W480" s="4">
        <v>19.295999999999999</v>
      </c>
    </row>
    <row r="481" spans="1:23" x14ac:dyDescent="0.3">
      <c r="A481">
        <v>480</v>
      </c>
      <c r="B481" t="s">
        <v>1652</v>
      </c>
      <c r="C481" s="3">
        <v>43137</v>
      </c>
      <c r="D481" s="7" t="str">
        <f t="shared" si="14"/>
        <v>February</v>
      </c>
      <c r="E481" s="3">
        <f t="shared" si="15"/>
        <v>43159</v>
      </c>
      <c r="F481" s="3">
        <v>42407</v>
      </c>
      <c r="G481" t="s">
        <v>50</v>
      </c>
      <c r="H481" t="s">
        <v>1653</v>
      </c>
      <c r="I481" t="s">
        <v>1654</v>
      </c>
      <c r="J481" t="s">
        <v>41</v>
      </c>
      <c r="K481" t="s">
        <v>27</v>
      </c>
      <c r="L481" t="s">
        <v>266</v>
      </c>
      <c r="M481" t="s">
        <v>267</v>
      </c>
      <c r="N481">
        <v>10024</v>
      </c>
      <c r="O481" t="s">
        <v>148</v>
      </c>
      <c r="P481" t="s">
        <v>1655</v>
      </c>
      <c r="Q481" t="s">
        <v>46</v>
      </c>
      <c r="R481" t="s">
        <v>68</v>
      </c>
      <c r="S481" t="s">
        <v>1656</v>
      </c>
      <c r="T481" s="4">
        <v>14.7</v>
      </c>
      <c r="U481">
        <v>5</v>
      </c>
      <c r="V481">
        <v>0</v>
      </c>
      <c r="W481" s="4">
        <v>6.6150000000000002</v>
      </c>
    </row>
    <row r="482" spans="1:23" x14ac:dyDescent="0.3">
      <c r="A482">
        <v>481</v>
      </c>
      <c r="B482" t="s">
        <v>1652</v>
      </c>
      <c r="C482" s="3">
        <v>43137</v>
      </c>
      <c r="D482" s="7" t="str">
        <f t="shared" si="14"/>
        <v>February</v>
      </c>
      <c r="E482" s="3">
        <f t="shared" si="15"/>
        <v>43159</v>
      </c>
      <c r="F482" s="3">
        <v>42407</v>
      </c>
      <c r="G482" t="s">
        <v>50</v>
      </c>
      <c r="H482" t="s">
        <v>1653</v>
      </c>
      <c r="I482" t="s">
        <v>1654</v>
      </c>
      <c r="J482" t="s">
        <v>41</v>
      </c>
      <c r="K482" t="s">
        <v>27</v>
      </c>
      <c r="L482" t="s">
        <v>266</v>
      </c>
      <c r="M482" t="s">
        <v>267</v>
      </c>
      <c r="N482">
        <v>10024</v>
      </c>
      <c r="O482" t="s">
        <v>148</v>
      </c>
      <c r="P482" t="s">
        <v>1657</v>
      </c>
      <c r="Q482" t="s">
        <v>46</v>
      </c>
      <c r="R482" t="s">
        <v>59</v>
      </c>
      <c r="S482" t="s">
        <v>1658</v>
      </c>
      <c r="T482" s="4">
        <v>704.25</v>
      </c>
      <c r="U482">
        <v>5</v>
      </c>
      <c r="V482">
        <v>0</v>
      </c>
      <c r="W482" s="4">
        <v>84.51</v>
      </c>
    </row>
    <row r="483" spans="1:23" x14ac:dyDescent="0.3">
      <c r="A483">
        <v>482</v>
      </c>
      <c r="B483" t="s">
        <v>1659</v>
      </c>
      <c r="C483" s="3">
        <v>41800</v>
      </c>
      <c r="D483" s="7" t="str">
        <f t="shared" si="14"/>
        <v>June</v>
      </c>
      <c r="E483" s="3">
        <f t="shared" si="15"/>
        <v>41820</v>
      </c>
      <c r="F483" s="3">
        <v>41922</v>
      </c>
      <c r="G483" t="s">
        <v>50</v>
      </c>
      <c r="H483" t="s">
        <v>1660</v>
      </c>
      <c r="I483" t="s">
        <v>1661</v>
      </c>
      <c r="J483" t="s">
        <v>26</v>
      </c>
      <c r="K483" t="s">
        <v>27</v>
      </c>
      <c r="L483" t="s">
        <v>950</v>
      </c>
      <c r="M483" t="s">
        <v>43</v>
      </c>
      <c r="N483">
        <v>92024</v>
      </c>
      <c r="O483" t="s">
        <v>44</v>
      </c>
      <c r="P483" t="s">
        <v>1662</v>
      </c>
      <c r="Q483" t="s">
        <v>71</v>
      </c>
      <c r="R483" t="s">
        <v>161</v>
      </c>
      <c r="S483" t="s">
        <v>1663</v>
      </c>
      <c r="T483" s="4">
        <v>9.09</v>
      </c>
      <c r="U483">
        <v>3</v>
      </c>
      <c r="V483">
        <v>0</v>
      </c>
      <c r="W483" s="4">
        <v>1.9089</v>
      </c>
    </row>
    <row r="484" spans="1:23" x14ac:dyDescent="0.3">
      <c r="A484">
        <v>483</v>
      </c>
      <c r="B484" t="s">
        <v>1664</v>
      </c>
      <c r="C484" s="3">
        <v>42284</v>
      </c>
      <c r="D484" s="7" t="str">
        <f t="shared" si="14"/>
        <v>October</v>
      </c>
      <c r="E484" s="3">
        <f t="shared" si="15"/>
        <v>42308</v>
      </c>
      <c r="F484" s="3">
        <v>42436</v>
      </c>
      <c r="G484" t="s">
        <v>50</v>
      </c>
      <c r="H484" t="s">
        <v>1665</v>
      </c>
      <c r="I484" t="s">
        <v>1666</v>
      </c>
      <c r="J484" t="s">
        <v>26</v>
      </c>
      <c r="K484" t="s">
        <v>27</v>
      </c>
      <c r="L484" t="s">
        <v>266</v>
      </c>
      <c r="M484" t="s">
        <v>267</v>
      </c>
      <c r="N484">
        <v>10024</v>
      </c>
      <c r="O484" t="s">
        <v>148</v>
      </c>
      <c r="P484" t="s">
        <v>366</v>
      </c>
      <c r="Q484" t="s">
        <v>46</v>
      </c>
      <c r="R484" t="s">
        <v>68</v>
      </c>
      <c r="S484" t="s">
        <v>367</v>
      </c>
      <c r="T484" s="4">
        <v>5.96</v>
      </c>
      <c r="U484">
        <v>2</v>
      </c>
      <c r="V484">
        <v>0</v>
      </c>
      <c r="W484" s="4">
        <v>1.6688000000000001</v>
      </c>
    </row>
    <row r="485" spans="1:23" x14ac:dyDescent="0.3">
      <c r="A485">
        <v>484</v>
      </c>
      <c r="B485" t="s">
        <v>1664</v>
      </c>
      <c r="C485" s="3">
        <v>42284</v>
      </c>
      <c r="D485" s="7" t="str">
        <f t="shared" si="14"/>
        <v>October</v>
      </c>
      <c r="E485" s="3">
        <f t="shared" si="15"/>
        <v>42308</v>
      </c>
      <c r="F485" s="3">
        <v>42436</v>
      </c>
      <c r="G485" t="s">
        <v>50</v>
      </c>
      <c r="H485" t="s">
        <v>1665</v>
      </c>
      <c r="I485" t="s">
        <v>1666</v>
      </c>
      <c r="J485" t="s">
        <v>26</v>
      </c>
      <c r="K485" t="s">
        <v>27</v>
      </c>
      <c r="L485" t="s">
        <v>266</v>
      </c>
      <c r="M485" t="s">
        <v>267</v>
      </c>
      <c r="N485">
        <v>10024</v>
      </c>
      <c r="O485" t="s">
        <v>148</v>
      </c>
      <c r="P485" t="s">
        <v>1667</v>
      </c>
      <c r="Q485" t="s">
        <v>71</v>
      </c>
      <c r="R485" t="s">
        <v>161</v>
      </c>
      <c r="S485" t="s">
        <v>1668</v>
      </c>
      <c r="T485" s="4">
        <v>159.97999999999999</v>
      </c>
      <c r="U485">
        <v>2</v>
      </c>
      <c r="V485">
        <v>0</v>
      </c>
      <c r="W485" s="4">
        <v>57.592799999999997</v>
      </c>
    </row>
    <row r="486" spans="1:23" x14ac:dyDescent="0.3">
      <c r="A486">
        <v>485</v>
      </c>
      <c r="B486" t="s">
        <v>1669</v>
      </c>
      <c r="C486" s="3">
        <v>43014</v>
      </c>
      <c r="D486" s="7" t="str">
        <f t="shared" si="14"/>
        <v>October</v>
      </c>
      <c r="E486" s="3">
        <f t="shared" si="15"/>
        <v>43039</v>
      </c>
      <c r="F486" s="3">
        <v>43106</v>
      </c>
      <c r="G486" t="s">
        <v>188</v>
      </c>
      <c r="H486" t="s">
        <v>1670</v>
      </c>
      <c r="I486" t="s">
        <v>1671</v>
      </c>
      <c r="J486" t="s">
        <v>102</v>
      </c>
      <c r="K486" t="s">
        <v>27</v>
      </c>
      <c r="L486" t="s">
        <v>42</v>
      </c>
      <c r="M486" t="s">
        <v>43</v>
      </c>
      <c r="N486">
        <v>90045</v>
      </c>
      <c r="O486" t="s">
        <v>44</v>
      </c>
      <c r="P486" t="s">
        <v>1672</v>
      </c>
      <c r="Q486" t="s">
        <v>46</v>
      </c>
      <c r="R486" t="s">
        <v>47</v>
      </c>
      <c r="S486" t="s">
        <v>1673</v>
      </c>
      <c r="T486" s="4">
        <v>29.6</v>
      </c>
      <c r="U486">
        <v>2</v>
      </c>
      <c r="V486">
        <v>0</v>
      </c>
      <c r="W486" s="4">
        <v>14.8</v>
      </c>
    </row>
    <row r="487" spans="1:23" x14ac:dyDescent="0.3">
      <c r="A487">
        <v>486</v>
      </c>
      <c r="B487" t="s">
        <v>1669</v>
      </c>
      <c r="C487" s="3">
        <v>43014</v>
      </c>
      <c r="D487" s="7" t="str">
        <f t="shared" si="14"/>
        <v>October</v>
      </c>
      <c r="E487" s="3">
        <f t="shared" si="15"/>
        <v>43039</v>
      </c>
      <c r="F487" s="3">
        <v>43106</v>
      </c>
      <c r="G487" t="s">
        <v>188</v>
      </c>
      <c r="H487" t="s">
        <v>1670</v>
      </c>
      <c r="I487" t="s">
        <v>1671</v>
      </c>
      <c r="J487" t="s">
        <v>102</v>
      </c>
      <c r="K487" t="s">
        <v>27</v>
      </c>
      <c r="L487" t="s">
        <v>42</v>
      </c>
      <c r="M487" t="s">
        <v>43</v>
      </c>
      <c r="N487">
        <v>90045</v>
      </c>
      <c r="O487" t="s">
        <v>44</v>
      </c>
      <c r="P487" t="s">
        <v>1674</v>
      </c>
      <c r="Q487" t="s">
        <v>32</v>
      </c>
      <c r="R487" t="s">
        <v>33</v>
      </c>
      <c r="S487" t="s">
        <v>1675</v>
      </c>
      <c r="T487" s="4">
        <v>514.16499999999996</v>
      </c>
      <c r="U487">
        <v>5</v>
      </c>
      <c r="V487">
        <v>0.15</v>
      </c>
      <c r="W487" s="4">
        <v>-30.245000000000001</v>
      </c>
    </row>
    <row r="488" spans="1:23" x14ac:dyDescent="0.3">
      <c r="A488">
        <v>487</v>
      </c>
      <c r="B488" t="s">
        <v>1669</v>
      </c>
      <c r="C488" s="3">
        <v>43014</v>
      </c>
      <c r="D488" s="7" t="str">
        <f t="shared" si="14"/>
        <v>October</v>
      </c>
      <c r="E488" s="3">
        <f t="shared" si="15"/>
        <v>43039</v>
      </c>
      <c r="F488" s="3">
        <v>43106</v>
      </c>
      <c r="G488" t="s">
        <v>188</v>
      </c>
      <c r="H488" t="s">
        <v>1670</v>
      </c>
      <c r="I488" t="s">
        <v>1671</v>
      </c>
      <c r="J488" t="s">
        <v>102</v>
      </c>
      <c r="K488" t="s">
        <v>27</v>
      </c>
      <c r="L488" t="s">
        <v>42</v>
      </c>
      <c r="M488" t="s">
        <v>43</v>
      </c>
      <c r="N488">
        <v>90045</v>
      </c>
      <c r="O488" t="s">
        <v>44</v>
      </c>
      <c r="P488" t="s">
        <v>1676</v>
      </c>
      <c r="Q488" t="s">
        <v>71</v>
      </c>
      <c r="R488" t="s">
        <v>72</v>
      </c>
      <c r="S488" t="s">
        <v>1677</v>
      </c>
      <c r="T488" s="4">
        <v>279.95999999999998</v>
      </c>
      <c r="U488">
        <v>5</v>
      </c>
      <c r="V488">
        <v>0.2</v>
      </c>
      <c r="W488" s="4">
        <v>17.497499999999999</v>
      </c>
    </row>
    <row r="489" spans="1:23" x14ac:dyDescent="0.3">
      <c r="A489">
        <v>488</v>
      </c>
      <c r="B489" t="s">
        <v>1678</v>
      </c>
      <c r="C489" s="3">
        <v>42500</v>
      </c>
      <c r="D489" s="7" t="str">
        <f t="shared" si="14"/>
        <v>May</v>
      </c>
      <c r="E489" s="3">
        <f t="shared" si="15"/>
        <v>42521</v>
      </c>
      <c r="F489" s="3">
        <v>42561</v>
      </c>
      <c r="G489" t="s">
        <v>188</v>
      </c>
      <c r="H489" t="s">
        <v>1679</v>
      </c>
      <c r="I489" t="s">
        <v>1680</v>
      </c>
      <c r="J489" t="s">
        <v>26</v>
      </c>
      <c r="K489" t="s">
        <v>27</v>
      </c>
      <c r="L489" t="s">
        <v>303</v>
      </c>
      <c r="M489" t="s">
        <v>211</v>
      </c>
      <c r="N489">
        <v>60610</v>
      </c>
      <c r="O489" t="s">
        <v>105</v>
      </c>
      <c r="P489" t="s">
        <v>1681</v>
      </c>
      <c r="Q489" t="s">
        <v>71</v>
      </c>
      <c r="R489" t="s">
        <v>72</v>
      </c>
      <c r="S489" t="s">
        <v>1682</v>
      </c>
      <c r="T489" s="4">
        <v>2735.9520000000002</v>
      </c>
      <c r="U489">
        <v>6</v>
      </c>
      <c r="V489">
        <v>0.2</v>
      </c>
      <c r="W489" s="4">
        <v>341.99400000000003</v>
      </c>
    </row>
    <row r="490" spans="1:23" x14ac:dyDescent="0.3">
      <c r="A490">
        <v>489</v>
      </c>
      <c r="B490" t="s">
        <v>1683</v>
      </c>
      <c r="C490" s="3">
        <v>41888</v>
      </c>
      <c r="D490" s="7" t="str">
        <f t="shared" si="14"/>
        <v>September</v>
      </c>
      <c r="E490" s="3">
        <f t="shared" si="15"/>
        <v>41912</v>
      </c>
      <c r="F490" s="3">
        <v>42010</v>
      </c>
      <c r="G490" t="s">
        <v>23</v>
      </c>
      <c r="H490" t="s">
        <v>1684</v>
      </c>
      <c r="I490" t="s">
        <v>1685</v>
      </c>
      <c r="J490" t="s">
        <v>102</v>
      </c>
      <c r="K490" t="s">
        <v>27</v>
      </c>
      <c r="L490" t="s">
        <v>1686</v>
      </c>
      <c r="M490" t="s">
        <v>104</v>
      </c>
      <c r="N490">
        <v>77340</v>
      </c>
      <c r="O490" t="s">
        <v>105</v>
      </c>
      <c r="P490" t="s">
        <v>1687</v>
      </c>
      <c r="Q490" t="s">
        <v>71</v>
      </c>
      <c r="R490" t="s">
        <v>72</v>
      </c>
      <c r="S490" t="s">
        <v>1688</v>
      </c>
      <c r="T490" s="4">
        <v>7.992</v>
      </c>
      <c r="U490">
        <v>1</v>
      </c>
      <c r="V490">
        <v>0.2</v>
      </c>
      <c r="W490" s="4">
        <v>0.59940000000000004</v>
      </c>
    </row>
    <row r="491" spans="1:23" x14ac:dyDescent="0.3">
      <c r="A491">
        <v>490</v>
      </c>
      <c r="B491" t="s">
        <v>1683</v>
      </c>
      <c r="C491" s="3">
        <v>41888</v>
      </c>
      <c r="D491" s="7" t="str">
        <f t="shared" si="14"/>
        <v>September</v>
      </c>
      <c r="E491" s="3">
        <f t="shared" si="15"/>
        <v>41912</v>
      </c>
      <c r="F491" s="3">
        <v>42010</v>
      </c>
      <c r="G491" t="s">
        <v>23</v>
      </c>
      <c r="H491" t="s">
        <v>1684</v>
      </c>
      <c r="I491" t="s">
        <v>1685</v>
      </c>
      <c r="J491" t="s">
        <v>102</v>
      </c>
      <c r="K491" t="s">
        <v>27</v>
      </c>
      <c r="L491" t="s">
        <v>1686</v>
      </c>
      <c r="M491" t="s">
        <v>104</v>
      </c>
      <c r="N491">
        <v>77340</v>
      </c>
      <c r="O491" t="s">
        <v>105</v>
      </c>
      <c r="P491" t="s">
        <v>1689</v>
      </c>
      <c r="Q491" t="s">
        <v>71</v>
      </c>
      <c r="R491" t="s">
        <v>161</v>
      </c>
      <c r="S491" t="s">
        <v>1690</v>
      </c>
      <c r="T491" s="4">
        <v>63.984000000000002</v>
      </c>
      <c r="U491">
        <v>2</v>
      </c>
      <c r="V491">
        <v>0.2</v>
      </c>
      <c r="W491" s="4">
        <v>10.397399999999999</v>
      </c>
    </row>
    <row r="492" spans="1:23" x14ac:dyDescent="0.3">
      <c r="A492">
        <v>491</v>
      </c>
      <c r="B492" t="s">
        <v>1683</v>
      </c>
      <c r="C492" s="3">
        <v>41888</v>
      </c>
      <c r="D492" s="7" t="str">
        <f t="shared" si="14"/>
        <v>September</v>
      </c>
      <c r="E492" s="3">
        <f t="shared" si="15"/>
        <v>41912</v>
      </c>
      <c r="F492" s="3">
        <v>42010</v>
      </c>
      <c r="G492" t="s">
        <v>23</v>
      </c>
      <c r="H492" t="s">
        <v>1684</v>
      </c>
      <c r="I492" t="s">
        <v>1685</v>
      </c>
      <c r="J492" t="s">
        <v>102</v>
      </c>
      <c r="K492" t="s">
        <v>27</v>
      </c>
      <c r="L492" t="s">
        <v>1686</v>
      </c>
      <c r="M492" t="s">
        <v>104</v>
      </c>
      <c r="N492">
        <v>77340</v>
      </c>
      <c r="O492" t="s">
        <v>105</v>
      </c>
      <c r="P492" t="s">
        <v>1570</v>
      </c>
      <c r="Q492" t="s">
        <v>46</v>
      </c>
      <c r="R492" t="s">
        <v>68</v>
      </c>
      <c r="S492" t="s">
        <v>1571</v>
      </c>
      <c r="T492" s="4">
        <v>70.367999999999995</v>
      </c>
      <c r="U492">
        <v>2</v>
      </c>
      <c r="V492">
        <v>0.2</v>
      </c>
      <c r="W492" s="4">
        <v>6.1571999999999996</v>
      </c>
    </row>
    <row r="493" spans="1:23" x14ac:dyDescent="0.3">
      <c r="A493">
        <v>492</v>
      </c>
      <c r="B493" t="s">
        <v>1691</v>
      </c>
      <c r="C493" s="3">
        <v>42044</v>
      </c>
      <c r="D493" s="7" t="str">
        <f t="shared" si="14"/>
        <v>February</v>
      </c>
      <c r="E493" s="3">
        <f t="shared" si="15"/>
        <v>42063</v>
      </c>
      <c r="F493" s="3">
        <v>42194</v>
      </c>
      <c r="G493" t="s">
        <v>50</v>
      </c>
      <c r="H493" t="s">
        <v>1692</v>
      </c>
      <c r="I493" t="s">
        <v>1693</v>
      </c>
      <c r="J493" t="s">
        <v>26</v>
      </c>
      <c r="K493" t="s">
        <v>27</v>
      </c>
      <c r="L493" t="s">
        <v>389</v>
      </c>
      <c r="M493" t="s">
        <v>267</v>
      </c>
      <c r="N493">
        <v>14609</v>
      </c>
      <c r="O493" t="s">
        <v>148</v>
      </c>
      <c r="P493" t="s">
        <v>1694</v>
      </c>
      <c r="Q493" t="s">
        <v>46</v>
      </c>
      <c r="R493" t="s">
        <v>59</v>
      </c>
      <c r="S493" t="s">
        <v>1695</v>
      </c>
      <c r="T493" s="4">
        <v>449.15</v>
      </c>
      <c r="U493">
        <v>5</v>
      </c>
      <c r="V493">
        <v>0</v>
      </c>
      <c r="W493" s="4">
        <v>8.9830000000000005</v>
      </c>
    </row>
    <row r="494" spans="1:23" x14ac:dyDescent="0.3">
      <c r="A494">
        <v>493</v>
      </c>
      <c r="B494" t="s">
        <v>1691</v>
      </c>
      <c r="C494" s="3">
        <v>42044</v>
      </c>
      <c r="D494" s="7" t="str">
        <f t="shared" si="14"/>
        <v>February</v>
      </c>
      <c r="E494" s="3">
        <f t="shared" si="15"/>
        <v>42063</v>
      </c>
      <c r="F494" s="3">
        <v>42194</v>
      </c>
      <c r="G494" t="s">
        <v>50</v>
      </c>
      <c r="H494" t="s">
        <v>1692</v>
      </c>
      <c r="I494" t="s">
        <v>1693</v>
      </c>
      <c r="J494" t="s">
        <v>26</v>
      </c>
      <c r="K494" t="s">
        <v>27</v>
      </c>
      <c r="L494" t="s">
        <v>389</v>
      </c>
      <c r="M494" t="s">
        <v>267</v>
      </c>
      <c r="N494">
        <v>14609</v>
      </c>
      <c r="O494" t="s">
        <v>148</v>
      </c>
      <c r="P494" t="s">
        <v>1696</v>
      </c>
      <c r="Q494" t="s">
        <v>46</v>
      </c>
      <c r="R494" t="s">
        <v>173</v>
      </c>
      <c r="S494" t="s">
        <v>1697</v>
      </c>
      <c r="T494" s="4">
        <v>11.07</v>
      </c>
      <c r="U494">
        <v>3</v>
      </c>
      <c r="V494">
        <v>0</v>
      </c>
      <c r="W494" s="4">
        <v>5.0922000000000001</v>
      </c>
    </row>
    <row r="495" spans="1:23" x14ac:dyDescent="0.3">
      <c r="A495">
        <v>494</v>
      </c>
      <c r="B495" t="s">
        <v>1698</v>
      </c>
      <c r="C495" s="3">
        <v>42618</v>
      </c>
      <c r="D495" s="7" t="str">
        <f t="shared" si="14"/>
        <v>September</v>
      </c>
      <c r="E495" s="3">
        <f t="shared" si="15"/>
        <v>42643</v>
      </c>
      <c r="F495" s="3">
        <v>42771</v>
      </c>
      <c r="G495" t="s">
        <v>50</v>
      </c>
      <c r="H495" t="s">
        <v>1699</v>
      </c>
      <c r="I495" t="s">
        <v>1700</v>
      </c>
      <c r="J495" t="s">
        <v>26</v>
      </c>
      <c r="K495" t="s">
        <v>27</v>
      </c>
      <c r="L495" t="s">
        <v>95</v>
      </c>
      <c r="M495" t="s">
        <v>96</v>
      </c>
      <c r="N495">
        <v>98115</v>
      </c>
      <c r="O495" t="s">
        <v>44</v>
      </c>
      <c r="P495" t="s">
        <v>1701</v>
      </c>
      <c r="Q495" t="s">
        <v>71</v>
      </c>
      <c r="R495" t="s">
        <v>161</v>
      </c>
      <c r="S495" t="s">
        <v>1702</v>
      </c>
      <c r="T495" s="4">
        <v>93.98</v>
      </c>
      <c r="U495">
        <v>2</v>
      </c>
      <c r="V495">
        <v>0</v>
      </c>
      <c r="W495" s="4">
        <v>13.1572</v>
      </c>
    </row>
    <row r="496" spans="1:23" x14ac:dyDescent="0.3">
      <c r="A496">
        <v>495</v>
      </c>
      <c r="B496" t="s">
        <v>1703</v>
      </c>
      <c r="C496" s="3">
        <v>42889</v>
      </c>
      <c r="D496" s="7" t="str">
        <f t="shared" si="14"/>
        <v>June</v>
      </c>
      <c r="E496" s="3">
        <f t="shared" si="15"/>
        <v>42916</v>
      </c>
      <c r="F496" s="3">
        <v>42981</v>
      </c>
      <c r="G496" t="s">
        <v>23</v>
      </c>
      <c r="H496" t="s">
        <v>1704</v>
      </c>
      <c r="I496" t="s">
        <v>1705</v>
      </c>
      <c r="J496" t="s">
        <v>26</v>
      </c>
      <c r="K496" t="s">
        <v>27</v>
      </c>
      <c r="L496" t="s">
        <v>334</v>
      </c>
      <c r="M496" t="s">
        <v>335</v>
      </c>
      <c r="N496">
        <v>38109</v>
      </c>
      <c r="O496" t="s">
        <v>30</v>
      </c>
      <c r="P496" t="s">
        <v>1706</v>
      </c>
      <c r="Q496" t="s">
        <v>32</v>
      </c>
      <c r="R496" t="s">
        <v>56</v>
      </c>
      <c r="S496" t="s">
        <v>1707</v>
      </c>
      <c r="T496" s="4">
        <v>189.88200000000001</v>
      </c>
      <c r="U496">
        <v>3</v>
      </c>
      <c r="V496">
        <v>0.4</v>
      </c>
      <c r="W496" s="4">
        <v>-94.941000000000003</v>
      </c>
    </row>
    <row r="497" spans="1:23" x14ac:dyDescent="0.3">
      <c r="A497">
        <v>496</v>
      </c>
      <c r="B497" t="s">
        <v>1708</v>
      </c>
      <c r="C497" s="3">
        <v>42806</v>
      </c>
      <c r="D497" s="7" t="str">
        <f t="shared" si="14"/>
        <v>March</v>
      </c>
      <c r="E497" s="3">
        <f t="shared" si="15"/>
        <v>42825</v>
      </c>
      <c r="F497" s="3">
        <v>42928</v>
      </c>
      <c r="G497" t="s">
        <v>50</v>
      </c>
      <c r="H497" t="s">
        <v>1709</v>
      </c>
      <c r="I497" t="s">
        <v>1710</v>
      </c>
      <c r="J497" t="s">
        <v>26</v>
      </c>
      <c r="K497" t="s">
        <v>27</v>
      </c>
      <c r="L497" t="s">
        <v>1711</v>
      </c>
      <c r="M497" t="s">
        <v>1712</v>
      </c>
      <c r="N497">
        <v>72701</v>
      </c>
      <c r="O497" t="s">
        <v>30</v>
      </c>
      <c r="P497" t="s">
        <v>1713</v>
      </c>
      <c r="Q497" t="s">
        <v>46</v>
      </c>
      <c r="R497" t="s">
        <v>173</v>
      </c>
      <c r="S497" t="s">
        <v>1714</v>
      </c>
      <c r="T497" s="4">
        <v>105.42</v>
      </c>
      <c r="U497">
        <v>2</v>
      </c>
      <c r="V497">
        <v>0</v>
      </c>
      <c r="W497" s="4">
        <v>51.655799999999999</v>
      </c>
    </row>
    <row r="498" spans="1:23" x14ac:dyDescent="0.3">
      <c r="A498">
        <v>497</v>
      </c>
      <c r="B498" t="s">
        <v>1715</v>
      </c>
      <c r="C498" s="3">
        <v>43107</v>
      </c>
      <c r="D498" s="7" t="str">
        <f t="shared" si="14"/>
        <v>January</v>
      </c>
      <c r="E498" s="3">
        <f t="shared" si="15"/>
        <v>43131</v>
      </c>
      <c r="F498" s="3">
        <v>43288</v>
      </c>
      <c r="G498" t="s">
        <v>50</v>
      </c>
      <c r="H498" t="s">
        <v>1588</v>
      </c>
      <c r="I498" t="s">
        <v>1589</v>
      </c>
      <c r="J498" t="s">
        <v>26</v>
      </c>
      <c r="K498" t="s">
        <v>27</v>
      </c>
      <c r="L498" t="s">
        <v>1716</v>
      </c>
      <c r="M498" t="s">
        <v>43</v>
      </c>
      <c r="N498">
        <v>92627</v>
      </c>
      <c r="O498" t="s">
        <v>44</v>
      </c>
      <c r="P498" t="s">
        <v>1717</v>
      </c>
      <c r="Q498" t="s">
        <v>46</v>
      </c>
      <c r="R498" t="s">
        <v>75</v>
      </c>
      <c r="S498" t="s">
        <v>1718</v>
      </c>
      <c r="T498" s="4">
        <v>119.616</v>
      </c>
      <c r="U498">
        <v>8</v>
      </c>
      <c r="V498">
        <v>0.2</v>
      </c>
      <c r="W498" s="4">
        <v>40.370399999999997</v>
      </c>
    </row>
    <row r="499" spans="1:23" x14ac:dyDescent="0.3">
      <c r="A499">
        <v>498</v>
      </c>
      <c r="B499" t="s">
        <v>1715</v>
      </c>
      <c r="C499" s="3">
        <v>43107</v>
      </c>
      <c r="D499" s="7" t="str">
        <f t="shared" si="14"/>
        <v>January</v>
      </c>
      <c r="E499" s="3">
        <f t="shared" si="15"/>
        <v>43131</v>
      </c>
      <c r="F499" s="3">
        <v>43288</v>
      </c>
      <c r="G499" t="s">
        <v>50</v>
      </c>
      <c r="H499" t="s">
        <v>1588</v>
      </c>
      <c r="I499" t="s">
        <v>1589</v>
      </c>
      <c r="J499" t="s">
        <v>26</v>
      </c>
      <c r="K499" t="s">
        <v>27</v>
      </c>
      <c r="L499" t="s">
        <v>1716</v>
      </c>
      <c r="M499" t="s">
        <v>43</v>
      </c>
      <c r="N499">
        <v>92627</v>
      </c>
      <c r="O499" t="s">
        <v>44</v>
      </c>
      <c r="P499" t="s">
        <v>1719</v>
      </c>
      <c r="Q499" t="s">
        <v>32</v>
      </c>
      <c r="R499" t="s">
        <v>65</v>
      </c>
      <c r="S499" t="s">
        <v>1720</v>
      </c>
      <c r="T499" s="4">
        <v>255.76</v>
      </c>
      <c r="U499">
        <v>4</v>
      </c>
      <c r="V499">
        <v>0</v>
      </c>
      <c r="W499" s="4">
        <v>81.843199999999996</v>
      </c>
    </row>
    <row r="500" spans="1:23" x14ac:dyDescent="0.3">
      <c r="A500">
        <v>499</v>
      </c>
      <c r="B500" t="s">
        <v>1715</v>
      </c>
      <c r="C500" s="3">
        <v>43107</v>
      </c>
      <c r="D500" s="7" t="str">
        <f t="shared" si="14"/>
        <v>January</v>
      </c>
      <c r="E500" s="3">
        <f t="shared" si="15"/>
        <v>43131</v>
      </c>
      <c r="F500" s="3">
        <v>43288</v>
      </c>
      <c r="G500" t="s">
        <v>50</v>
      </c>
      <c r="H500" t="s">
        <v>1588</v>
      </c>
      <c r="I500" t="s">
        <v>1589</v>
      </c>
      <c r="J500" t="s">
        <v>26</v>
      </c>
      <c r="K500" t="s">
        <v>27</v>
      </c>
      <c r="L500" t="s">
        <v>1716</v>
      </c>
      <c r="M500" t="s">
        <v>43</v>
      </c>
      <c r="N500">
        <v>92627</v>
      </c>
      <c r="O500" t="s">
        <v>44</v>
      </c>
      <c r="P500" t="s">
        <v>1167</v>
      </c>
      <c r="Q500" t="s">
        <v>32</v>
      </c>
      <c r="R500" t="s">
        <v>36</v>
      </c>
      <c r="S500" t="s">
        <v>1168</v>
      </c>
      <c r="T500" s="4">
        <v>241.56800000000001</v>
      </c>
      <c r="U500">
        <v>2</v>
      </c>
      <c r="V500">
        <v>0.2</v>
      </c>
      <c r="W500" s="4">
        <v>18.117599999999999</v>
      </c>
    </row>
    <row r="501" spans="1:23" x14ac:dyDescent="0.3">
      <c r="A501">
        <v>500</v>
      </c>
      <c r="B501" t="s">
        <v>1715</v>
      </c>
      <c r="C501" s="3">
        <v>43107</v>
      </c>
      <c r="D501" s="7" t="str">
        <f t="shared" si="14"/>
        <v>January</v>
      </c>
      <c r="E501" s="3">
        <f t="shared" si="15"/>
        <v>43131</v>
      </c>
      <c r="F501" s="3">
        <v>43288</v>
      </c>
      <c r="G501" t="s">
        <v>50</v>
      </c>
      <c r="H501" t="s">
        <v>1588</v>
      </c>
      <c r="I501" t="s">
        <v>1589</v>
      </c>
      <c r="J501" t="s">
        <v>26</v>
      </c>
      <c r="K501" t="s">
        <v>27</v>
      </c>
      <c r="L501" t="s">
        <v>1716</v>
      </c>
      <c r="M501" t="s">
        <v>43</v>
      </c>
      <c r="N501">
        <v>92627</v>
      </c>
      <c r="O501" t="s">
        <v>44</v>
      </c>
      <c r="P501" t="s">
        <v>1721</v>
      </c>
      <c r="Q501" t="s">
        <v>32</v>
      </c>
      <c r="R501" t="s">
        <v>65</v>
      </c>
      <c r="S501" t="s">
        <v>1722</v>
      </c>
      <c r="T501" s="4">
        <v>69.3</v>
      </c>
      <c r="U501">
        <v>9</v>
      </c>
      <c r="V501">
        <v>0</v>
      </c>
      <c r="W501" s="4">
        <v>22.869</v>
      </c>
    </row>
    <row r="502" spans="1:23" x14ac:dyDescent="0.3">
      <c r="A502">
        <v>501</v>
      </c>
      <c r="B502" t="s">
        <v>1723</v>
      </c>
      <c r="C502" s="3">
        <v>43256</v>
      </c>
      <c r="D502" s="7" t="str">
        <f t="shared" si="14"/>
        <v>June</v>
      </c>
      <c r="E502" s="3">
        <f t="shared" si="15"/>
        <v>43281</v>
      </c>
      <c r="F502" s="3">
        <v>42466</v>
      </c>
      <c r="G502" t="s">
        <v>50</v>
      </c>
      <c r="H502" t="s">
        <v>1724</v>
      </c>
      <c r="I502" t="s">
        <v>1725</v>
      </c>
      <c r="J502" t="s">
        <v>41</v>
      </c>
      <c r="K502" t="s">
        <v>27</v>
      </c>
      <c r="L502" t="s">
        <v>1726</v>
      </c>
      <c r="M502" t="s">
        <v>457</v>
      </c>
      <c r="N502">
        <v>80134</v>
      </c>
      <c r="O502" t="s">
        <v>44</v>
      </c>
      <c r="P502" t="s">
        <v>1727</v>
      </c>
      <c r="Q502" t="s">
        <v>46</v>
      </c>
      <c r="R502" t="s">
        <v>75</v>
      </c>
      <c r="S502" t="s">
        <v>1728</v>
      </c>
      <c r="T502" s="4">
        <v>22.62</v>
      </c>
      <c r="U502">
        <v>2</v>
      </c>
      <c r="V502">
        <v>0.7</v>
      </c>
      <c r="W502" s="4">
        <v>-15.08</v>
      </c>
    </row>
    <row r="503" spans="1:23" x14ac:dyDescent="0.3">
      <c r="A503">
        <v>502</v>
      </c>
      <c r="B503" t="s">
        <v>1723</v>
      </c>
      <c r="C503" s="3">
        <v>43256</v>
      </c>
      <c r="D503" s="7" t="str">
        <f t="shared" si="14"/>
        <v>June</v>
      </c>
      <c r="E503" s="3">
        <f t="shared" si="15"/>
        <v>43281</v>
      </c>
      <c r="F503" s="3">
        <v>42466</v>
      </c>
      <c r="G503" t="s">
        <v>50</v>
      </c>
      <c r="H503" t="s">
        <v>1724</v>
      </c>
      <c r="I503" t="s">
        <v>1725</v>
      </c>
      <c r="J503" t="s">
        <v>41</v>
      </c>
      <c r="K503" t="s">
        <v>27</v>
      </c>
      <c r="L503" t="s">
        <v>1726</v>
      </c>
      <c r="M503" t="s">
        <v>457</v>
      </c>
      <c r="N503">
        <v>80134</v>
      </c>
      <c r="O503" t="s">
        <v>44</v>
      </c>
      <c r="P503" t="s">
        <v>1729</v>
      </c>
      <c r="Q503" t="s">
        <v>46</v>
      </c>
      <c r="R503" t="s">
        <v>75</v>
      </c>
      <c r="S503" t="s">
        <v>1730</v>
      </c>
      <c r="T503" s="4">
        <v>14.952</v>
      </c>
      <c r="U503">
        <v>2</v>
      </c>
      <c r="V503">
        <v>0.7</v>
      </c>
      <c r="W503" s="4">
        <v>-11.961600000000001</v>
      </c>
    </row>
    <row r="504" spans="1:23" x14ac:dyDescent="0.3">
      <c r="A504">
        <v>503</v>
      </c>
      <c r="B504" t="s">
        <v>1723</v>
      </c>
      <c r="C504" s="3">
        <v>43256</v>
      </c>
      <c r="D504" s="7" t="str">
        <f t="shared" si="14"/>
        <v>June</v>
      </c>
      <c r="E504" s="3">
        <f t="shared" si="15"/>
        <v>43281</v>
      </c>
      <c r="F504" s="3">
        <v>42466</v>
      </c>
      <c r="G504" t="s">
        <v>50</v>
      </c>
      <c r="H504" t="s">
        <v>1724</v>
      </c>
      <c r="I504" t="s">
        <v>1725</v>
      </c>
      <c r="J504" t="s">
        <v>41</v>
      </c>
      <c r="K504" t="s">
        <v>27</v>
      </c>
      <c r="L504" t="s">
        <v>1726</v>
      </c>
      <c r="M504" t="s">
        <v>457</v>
      </c>
      <c r="N504">
        <v>80134</v>
      </c>
      <c r="O504" t="s">
        <v>44</v>
      </c>
      <c r="P504" t="s">
        <v>1731</v>
      </c>
      <c r="Q504" t="s">
        <v>32</v>
      </c>
      <c r="R504" t="s">
        <v>36</v>
      </c>
      <c r="S504" t="s">
        <v>1732</v>
      </c>
      <c r="T504" s="4">
        <v>801.56799999999998</v>
      </c>
      <c r="U504">
        <v>2</v>
      </c>
      <c r="V504">
        <v>0.2</v>
      </c>
      <c r="W504" s="4">
        <v>50.097999999999999</v>
      </c>
    </row>
    <row r="505" spans="1:23" x14ac:dyDescent="0.3">
      <c r="A505">
        <v>504</v>
      </c>
      <c r="B505" t="s">
        <v>1723</v>
      </c>
      <c r="C505" s="3">
        <v>43256</v>
      </c>
      <c r="D505" s="7" t="str">
        <f t="shared" si="14"/>
        <v>June</v>
      </c>
      <c r="E505" s="3">
        <f t="shared" si="15"/>
        <v>43281</v>
      </c>
      <c r="F505" s="3">
        <v>42466</v>
      </c>
      <c r="G505" t="s">
        <v>50</v>
      </c>
      <c r="H505" t="s">
        <v>1724</v>
      </c>
      <c r="I505" t="s">
        <v>1725</v>
      </c>
      <c r="J505" t="s">
        <v>41</v>
      </c>
      <c r="K505" t="s">
        <v>27</v>
      </c>
      <c r="L505" t="s">
        <v>1726</v>
      </c>
      <c r="M505" t="s">
        <v>457</v>
      </c>
      <c r="N505">
        <v>80134</v>
      </c>
      <c r="O505" t="s">
        <v>44</v>
      </c>
      <c r="P505" t="s">
        <v>1733</v>
      </c>
      <c r="Q505" t="s">
        <v>46</v>
      </c>
      <c r="R505" t="s">
        <v>75</v>
      </c>
      <c r="S505" t="s">
        <v>1734</v>
      </c>
      <c r="T505" s="4">
        <v>2.3759999999999999</v>
      </c>
      <c r="U505">
        <v>3</v>
      </c>
      <c r="V505">
        <v>0.7</v>
      </c>
      <c r="W505" s="4">
        <v>-1.9008</v>
      </c>
    </row>
    <row r="506" spans="1:23" x14ac:dyDescent="0.3">
      <c r="A506">
        <v>505</v>
      </c>
      <c r="B506" t="s">
        <v>1723</v>
      </c>
      <c r="C506" s="3">
        <v>43256</v>
      </c>
      <c r="D506" s="7" t="str">
        <f t="shared" si="14"/>
        <v>June</v>
      </c>
      <c r="E506" s="3">
        <f t="shared" si="15"/>
        <v>43281</v>
      </c>
      <c r="F506" s="3">
        <v>42466</v>
      </c>
      <c r="G506" t="s">
        <v>50</v>
      </c>
      <c r="H506" t="s">
        <v>1724</v>
      </c>
      <c r="I506" t="s">
        <v>1725</v>
      </c>
      <c r="J506" t="s">
        <v>41</v>
      </c>
      <c r="K506" t="s">
        <v>27</v>
      </c>
      <c r="L506" t="s">
        <v>1726</v>
      </c>
      <c r="M506" t="s">
        <v>457</v>
      </c>
      <c r="N506">
        <v>80134</v>
      </c>
      <c r="O506" t="s">
        <v>44</v>
      </c>
      <c r="P506" t="s">
        <v>1735</v>
      </c>
      <c r="Q506" t="s">
        <v>46</v>
      </c>
      <c r="R506" t="s">
        <v>90</v>
      </c>
      <c r="S506" t="s">
        <v>1736</v>
      </c>
      <c r="T506" s="4">
        <v>32.792000000000002</v>
      </c>
      <c r="U506">
        <v>1</v>
      </c>
      <c r="V506">
        <v>0.2</v>
      </c>
      <c r="W506" s="4">
        <v>11.8871</v>
      </c>
    </row>
    <row r="507" spans="1:23" x14ac:dyDescent="0.3">
      <c r="A507">
        <v>506</v>
      </c>
      <c r="B507" t="s">
        <v>1737</v>
      </c>
      <c r="C507" s="3">
        <v>43080</v>
      </c>
      <c r="D507" s="7" t="str">
        <f t="shared" si="14"/>
        <v>December</v>
      </c>
      <c r="E507" s="3">
        <f t="shared" si="15"/>
        <v>43100</v>
      </c>
      <c r="F507" s="3">
        <v>43170</v>
      </c>
      <c r="G507" t="s">
        <v>23</v>
      </c>
      <c r="H507" t="s">
        <v>1579</v>
      </c>
      <c r="I507" t="s">
        <v>1580</v>
      </c>
      <c r="J507" t="s">
        <v>41</v>
      </c>
      <c r="K507" t="s">
        <v>27</v>
      </c>
      <c r="L507" t="s">
        <v>266</v>
      </c>
      <c r="M507" t="s">
        <v>267</v>
      </c>
      <c r="N507">
        <v>10024</v>
      </c>
      <c r="O507" t="s">
        <v>148</v>
      </c>
      <c r="P507" t="s">
        <v>545</v>
      </c>
      <c r="Q507" t="s">
        <v>46</v>
      </c>
      <c r="R507" t="s">
        <v>75</v>
      </c>
      <c r="S507" t="s">
        <v>546</v>
      </c>
      <c r="T507" s="4">
        <v>15.92</v>
      </c>
      <c r="U507">
        <v>5</v>
      </c>
      <c r="V507">
        <v>0.2</v>
      </c>
      <c r="W507" s="4">
        <v>5.3730000000000002</v>
      </c>
    </row>
    <row r="508" spans="1:23" x14ac:dyDescent="0.3">
      <c r="A508">
        <v>507</v>
      </c>
      <c r="B508" t="s">
        <v>1738</v>
      </c>
      <c r="C508" s="3">
        <v>42463</v>
      </c>
      <c r="D508" s="7" t="str">
        <f t="shared" si="14"/>
        <v>April</v>
      </c>
      <c r="E508" s="3">
        <f t="shared" si="15"/>
        <v>42490</v>
      </c>
      <c r="F508" s="3">
        <v>42646</v>
      </c>
      <c r="G508" t="s">
        <v>50</v>
      </c>
      <c r="H508" t="s">
        <v>1739</v>
      </c>
      <c r="I508" t="s">
        <v>1740</v>
      </c>
      <c r="J508" t="s">
        <v>26</v>
      </c>
      <c r="K508" t="s">
        <v>27</v>
      </c>
      <c r="L508" t="s">
        <v>1741</v>
      </c>
      <c r="M508" t="s">
        <v>1275</v>
      </c>
      <c r="N508">
        <v>30318</v>
      </c>
      <c r="O508" t="s">
        <v>30</v>
      </c>
      <c r="P508" t="s">
        <v>1742</v>
      </c>
      <c r="Q508" t="s">
        <v>46</v>
      </c>
      <c r="R508" t="s">
        <v>68</v>
      </c>
      <c r="S508" t="s">
        <v>1743</v>
      </c>
      <c r="T508" s="4">
        <v>2.74</v>
      </c>
      <c r="U508">
        <v>1</v>
      </c>
      <c r="V508">
        <v>0</v>
      </c>
      <c r="W508" s="4">
        <v>0.73980000000000001</v>
      </c>
    </row>
    <row r="509" spans="1:23" x14ac:dyDescent="0.3">
      <c r="A509">
        <v>508</v>
      </c>
      <c r="B509" t="s">
        <v>1738</v>
      </c>
      <c r="C509" s="3">
        <v>42463</v>
      </c>
      <c r="D509" s="7" t="str">
        <f t="shared" si="14"/>
        <v>April</v>
      </c>
      <c r="E509" s="3">
        <f t="shared" si="15"/>
        <v>42490</v>
      </c>
      <c r="F509" s="3">
        <v>42646</v>
      </c>
      <c r="G509" t="s">
        <v>50</v>
      </c>
      <c r="H509" t="s">
        <v>1739</v>
      </c>
      <c r="I509" t="s">
        <v>1740</v>
      </c>
      <c r="J509" t="s">
        <v>26</v>
      </c>
      <c r="K509" t="s">
        <v>27</v>
      </c>
      <c r="L509" t="s">
        <v>1741</v>
      </c>
      <c r="M509" t="s">
        <v>1275</v>
      </c>
      <c r="N509">
        <v>30318</v>
      </c>
      <c r="O509" t="s">
        <v>30</v>
      </c>
      <c r="P509" t="s">
        <v>1744</v>
      </c>
      <c r="Q509" t="s">
        <v>46</v>
      </c>
      <c r="R509" t="s">
        <v>68</v>
      </c>
      <c r="S509" t="s">
        <v>1745</v>
      </c>
      <c r="T509" s="4">
        <v>8.34</v>
      </c>
      <c r="U509">
        <v>3</v>
      </c>
      <c r="V509">
        <v>0</v>
      </c>
      <c r="W509" s="4">
        <v>2.1684000000000001</v>
      </c>
    </row>
    <row r="510" spans="1:23" x14ac:dyDescent="0.3">
      <c r="A510">
        <v>509</v>
      </c>
      <c r="B510" t="s">
        <v>1738</v>
      </c>
      <c r="C510" s="3">
        <v>42463</v>
      </c>
      <c r="D510" s="7" t="str">
        <f t="shared" si="14"/>
        <v>April</v>
      </c>
      <c r="E510" s="3">
        <f t="shared" si="15"/>
        <v>42490</v>
      </c>
      <c r="F510" s="3">
        <v>42646</v>
      </c>
      <c r="G510" t="s">
        <v>50</v>
      </c>
      <c r="H510" t="s">
        <v>1739</v>
      </c>
      <c r="I510" t="s">
        <v>1740</v>
      </c>
      <c r="J510" t="s">
        <v>26</v>
      </c>
      <c r="K510" t="s">
        <v>27</v>
      </c>
      <c r="L510" t="s">
        <v>1741</v>
      </c>
      <c r="M510" t="s">
        <v>1275</v>
      </c>
      <c r="N510">
        <v>30318</v>
      </c>
      <c r="O510" t="s">
        <v>30</v>
      </c>
      <c r="P510" t="s">
        <v>956</v>
      </c>
      <c r="Q510" t="s">
        <v>46</v>
      </c>
      <c r="R510" t="s">
        <v>59</v>
      </c>
      <c r="S510" t="s">
        <v>1746</v>
      </c>
      <c r="T510" s="4">
        <v>46.74</v>
      </c>
      <c r="U510">
        <v>3</v>
      </c>
      <c r="V510">
        <v>0</v>
      </c>
      <c r="W510" s="4">
        <v>11.685</v>
      </c>
    </row>
    <row r="511" spans="1:23" x14ac:dyDescent="0.3">
      <c r="A511">
        <v>510</v>
      </c>
      <c r="B511" t="s">
        <v>1738</v>
      </c>
      <c r="C511" s="3">
        <v>42463</v>
      </c>
      <c r="D511" s="7" t="str">
        <f t="shared" si="14"/>
        <v>April</v>
      </c>
      <c r="E511" s="3">
        <f t="shared" si="15"/>
        <v>42490</v>
      </c>
      <c r="F511" s="3">
        <v>42646</v>
      </c>
      <c r="G511" t="s">
        <v>50</v>
      </c>
      <c r="H511" t="s">
        <v>1739</v>
      </c>
      <c r="I511" t="s">
        <v>1740</v>
      </c>
      <c r="J511" t="s">
        <v>26</v>
      </c>
      <c r="K511" t="s">
        <v>27</v>
      </c>
      <c r="L511" t="s">
        <v>1741</v>
      </c>
      <c r="M511" t="s">
        <v>1275</v>
      </c>
      <c r="N511">
        <v>30318</v>
      </c>
      <c r="O511" t="s">
        <v>30</v>
      </c>
      <c r="P511" t="s">
        <v>1747</v>
      </c>
      <c r="Q511" t="s">
        <v>46</v>
      </c>
      <c r="R511" t="s">
        <v>75</v>
      </c>
      <c r="S511" t="s">
        <v>1748</v>
      </c>
      <c r="T511" s="4">
        <v>6354.95</v>
      </c>
      <c r="U511">
        <v>5</v>
      </c>
      <c r="V511">
        <v>0</v>
      </c>
      <c r="W511" s="4">
        <v>3177.4749999999999</v>
      </c>
    </row>
    <row r="512" spans="1:23" x14ac:dyDescent="0.3">
      <c r="A512">
        <v>511</v>
      </c>
      <c r="B512" t="s">
        <v>1749</v>
      </c>
      <c r="C512" s="3">
        <v>43507</v>
      </c>
      <c r="D512" s="7" t="str">
        <f t="shared" si="14"/>
        <v>February</v>
      </c>
      <c r="E512" s="3">
        <f t="shared" si="15"/>
        <v>43524</v>
      </c>
      <c r="F512" s="3">
        <v>43535</v>
      </c>
      <c r="G512" t="s">
        <v>188</v>
      </c>
      <c r="H512" t="s">
        <v>1750</v>
      </c>
      <c r="I512" t="s">
        <v>1751</v>
      </c>
      <c r="J512" t="s">
        <v>26</v>
      </c>
      <c r="K512" t="s">
        <v>27</v>
      </c>
      <c r="L512" t="s">
        <v>1752</v>
      </c>
      <c r="M512" t="s">
        <v>597</v>
      </c>
      <c r="N512">
        <v>64118</v>
      </c>
      <c r="O512" t="s">
        <v>105</v>
      </c>
      <c r="P512" t="s">
        <v>1753</v>
      </c>
      <c r="Q512" t="s">
        <v>32</v>
      </c>
      <c r="R512" t="s">
        <v>65</v>
      </c>
      <c r="S512" t="s">
        <v>1754</v>
      </c>
      <c r="T512" s="4">
        <v>126.3</v>
      </c>
      <c r="U512">
        <v>3</v>
      </c>
      <c r="V512">
        <v>0</v>
      </c>
      <c r="W512" s="4">
        <v>40.415999999999997</v>
      </c>
    </row>
    <row r="513" spans="1:23" x14ac:dyDescent="0.3">
      <c r="A513">
        <v>512</v>
      </c>
      <c r="B513" t="s">
        <v>1749</v>
      </c>
      <c r="C513" s="3">
        <v>43507</v>
      </c>
      <c r="D513" s="7" t="str">
        <f t="shared" si="14"/>
        <v>February</v>
      </c>
      <c r="E513" s="3">
        <f t="shared" si="15"/>
        <v>43524</v>
      </c>
      <c r="F513" s="3">
        <v>43535</v>
      </c>
      <c r="G513" t="s">
        <v>188</v>
      </c>
      <c r="H513" t="s">
        <v>1750</v>
      </c>
      <c r="I513" t="s">
        <v>1751</v>
      </c>
      <c r="J513" t="s">
        <v>26</v>
      </c>
      <c r="K513" t="s">
        <v>27</v>
      </c>
      <c r="L513" t="s">
        <v>1752</v>
      </c>
      <c r="M513" t="s">
        <v>597</v>
      </c>
      <c r="N513">
        <v>64118</v>
      </c>
      <c r="O513" t="s">
        <v>105</v>
      </c>
      <c r="P513" t="s">
        <v>1755</v>
      </c>
      <c r="Q513" t="s">
        <v>71</v>
      </c>
      <c r="R513" t="s">
        <v>161</v>
      </c>
      <c r="S513" t="s">
        <v>1756</v>
      </c>
      <c r="T513" s="4">
        <v>38.04</v>
      </c>
      <c r="U513">
        <v>2</v>
      </c>
      <c r="V513">
        <v>0</v>
      </c>
      <c r="W513" s="4">
        <v>12.172800000000001</v>
      </c>
    </row>
    <row r="514" spans="1:23" x14ac:dyDescent="0.3">
      <c r="A514">
        <v>513</v>
      </c>
      <c r="B514" t="s">
        <v>1757</v>
      </c>
      <c r="C514" s="3">
        <v>42957</v>
      </c>
      <c r="D514" s="7" t="str">
        <f t="shared" si="14"/>
        <v>August</v>
      </c>
      <c r="E514" s="3">
        <f t="shared" si="15"/>
        <v>42978</v>
      </c>
      <c r="F514" s="3">
        <v>43049</v>
      </c>
      <c r="G514" t="s">
        <v>188</v>
      </c>
      <c r="H514" t="s">
        <v>1421</v>
      </c>
      <c r="I514" t="s">
        <v>1422</v>
      </c>
      <c r="J514" t="s">
        <v>26</v>
      </c>
      <c r="K514" t="s">
        <v>27</v>
      </c>
      <c r="L514" t="s">
        <v>607</v>
      </c>
      <c r="M514" t="s">
        <v>498</v>
      </c>
      <c r="N514">
        <v>43055</v>
      </c>
      <c r="O514" t="s">
        <v>148</v>
      </c>
      <c r="P514" t="s">
        <v>366</v>
      </c>
      <c r="Q514" t="s">
        <v>46</v>
      </c>
      <c r="R514" t="s">
        <v>68</v>
      </c>
      <c r="S514" t="s">
        <v>367</v>
      </c>
      <c r="T514" s="4">
        <v>7.1520000000000001</v>
      </c>
      <c r="U514">
        <v>3</v>
      </c>
      <c r="V514">
        <v>0.2</v>
      </c>
      <c r="W514" s="4">
        <v>0.71519999999999995</v>
      </c>
    </row>
    <row r="515" spans="1:23" x14ac:dyDescent="0.3">
      <c r="A515">
        <v>514</v>
      </c>
      <c r="B515" t="s">
        <v>1758</v>
      </c>
      <c r="C515" s="3">
        <v>43355</v>
      </c>
      <c r="D515" s="7" t="str">
        <f t="shared" ref="D515:D578" si="16">TEXT(C515,"mmmm")</f>
        <v>September</v>
      </c>
      <c r="E515" s="3">
        <f t="shared" ref="E515:E578" si="17">EOMONTH(C515,0)</f>
        <v>43373</v>
      </c>
      <c r="F515" s="3">
        <v>43477</v>
      </c>
      <c r="G515" t="s">
        <v>50</v>
      </c>
      <c r="H515" t="s">
        <v>1759</v>
      </c>
      <c r="I515" t="s">
        <v>1760</v>
      </c>
      <c r="J515" t="s">
        <v>26</v>
      </c>
      <c r="K515" t="s">
        <v>27</v>
      </c>
      <c r="L515" t="s">
        <v>42</v>
      </c>
      <c r="M515" t="s">
        <v>43</v>
      </c>
      <c r="N515">
        <v>90049</v>
      </c>
      <c r="O515" t="s">
        <v>44</v>
      </c>
      <c r="P515" t="s">
        <v>1761</v>
      </c>
      <c r="Q515" t="s">
        <v>46</v>
      </c>
      <c r="R515" t="s">
        <v>68</v>
      </c>
      <c r="S515" t="s">
        <v>1762</v>
      </c>
      <c r="T515" s="4">
        <v>6.63</v>
      </c>
      <c r="U515">
        <v>3</v>
      </c>
      <c r="V515">
        <v>0</v>
      </c>
      <c r="W515" s="4">
        <v>1.7901</v>
      </c>
    </row>
    <row r="516" spans="1:23" x14ac:dyDescent="0.3">
      <c r="A516">
        <v>515</v>
      </c>
      <c r="B516" t="s">
        <v>1758</v>
      </c>
      <c r="C516" s="3">
        <v>43355</v>
      </c>
      <c r="D516" s="7" t="str">
        <f t="shared" si="16"/>
        <v>September</v>
      </c>
      <c r="E516" s="3">
        <f t="shared" si="17"/>
        <v>43373</v>
      </c>
      <c r="F516" s="3">
        <v>43477</v>
      </c>
      <c r="G516" t="s">
        <v>50</v>
      </c>
      <c r="H516" t="s">
        <v>1759</v>
      </c>
      <c r="I516" t="s">
        <v>1760</v>
      </c>
      <c r="J516" t="s">
        <v>26</v>
      </c>
      <c r="K516" t="s">
        <v>27</v>
      </c>
      <c r="L516" t="s">
        <v>42</v>
      </c>
      <c r="M516" t="s">
        <v>43</v>
      </c>
      <c r="N516">
        <v>90049</v>
      </c>
      <c r="O516" t="s">
        <v>44</v>
      </c>
      <c r="P516" t="s">
        <v>1763</v>
      </c>
      <c r="Q516" t="s">
        <v>46</v>
      </c>
      <c r="R516" t="s">
        <v>68</v>
      </c>
      <c r="S516" t="s">
        <v>1764</v>
      </c>
      <c r="T516" s="4">
        <v>5.88</v>
      </c>
      <c r="U516">
        <v>2</v>
      </c>
      <c r="V516">
        <v>0</v>
      </c>
      <c r="W516" s="4">
        <v>1.7052</v>
      </c>
    </row>
    <row r="517" spans="1:23" x14ac:dyDescent="0.3">
      <c r="A517">
        <v>516</v>
      </c>
      <c r="B517" t="s">
        <v>1765</v>
      </c>
      <c r="C517" s="3">
        <v>43374</v>
      </c>
      <c r="D517" s="7" t="str">
        <f t="shared" si="16"/>
        <v>October</v>
      </c>
      <c r="E517" s="3">
        <f t="shared" si="17"/>
        <v>43404</v>
      </c>
      <c r="F517" s="3">
        <v>43525</v>
      </c>
      <c r="G517" t="s">
        <v>50</v>
      </c>
      <c r="H517" t="s">
        <v>531</v>
      </c>
      <c r="I517" t="s">
        <v>532</v>
      </c>
      <c r="J517" t="s">
        <v>102</v>
      </c>
      <c r="K517" t="s">
        <v>27</v>
      </c>
      <c r="L517" t="s">
        <v>1766</v>
      </c>
      <c r="M517" t="s">
        <v>1767</v>
      </c>
      <c r="N517">
        <v>59405</v>
      </c>
      <c r="O517" t="s">
        <v>44</v>
      </c>
      <c r="P517" t="s">
        <v>1768</v>
      </c>
      <c r="Q517" t="s">
        <v>71</v>
      </c>
      <c r="R517" t="s">
        <v>1219</v>
      </c>
      <c r="S517" t="s">
        <v>1769</v>
      </c>
      <c r="T517" s="4">
        <v>2999.95</v>
      </c>
      <c r="U517">
        <v>5</v>
      </c>
      <c r="V517">
        <v>0</v>
      </c>
      <c r="W517" s="4">
        <v>1379.9770000000001</v>
      </c>
    </row>
    <row r="518" spans="1:23" x14ac:dyDescent="0.3">
      <c r="A518">
        <v>517</v>
      </c>
      <c r="B518" t="s">
        <v>1765</v>
      </c>
      <c r="C518" s="3">
        <v>43374</v>
      </c>
      <c r="D518" s="7" t="str">
        <f t="shared" si="16"/>
        <v>October</v>
      </c>
      <c r="E518" s="3">
        <f t="shared" si="17"/>
        <v>43404</v>
      </c>
      <c r="F518" s="3">
        <v>43525</v>
      </c>
      <c r="G518" t="s">
        <v>50</v>
      </c>
      <c r="H518" t="s">
        <v>531</v>
      </c>
      <c r="I518" t="s">
        <v>532</v>
      </c>
      <c r="J518" t="s">
        <v>102</v>
      </c>
      <c r="K518" t="s">
        <v>27</v>
      </c>
      <c r="L518" t="s">
        <v>1766</v>
      </c>
      <c r="M518" t="s">
        <v>1767</v>
      </c>
      <c r="N518">
        <v>59405</v>
      </c>
      <c r="O518" t="s">
        <v>44</v>
      </c>
      <c r="P518" t="s">
        <v>1770</v>
      </c>
      <c r="Q518" t="s">
        <v>46</v>
      </c>
      <c r="R518" t="s">
        <v>59</v>
      </c>
      <c r="S518" t="s">
        <v>1771</v>
      </c>
      <c r="T518" s="4">
        <v>51.45</v>
      </c>
      <c r="U518">
        <v>3</v>
      </c>
      <c r="V518">
        <v>0</v>
      </c>
      <c r="W518" s="4">
        <v>13.891500000000001</v>
      </c>
    </row>
    <row r="519" spans="1:23" x14ac:dyDescent="0.3">
      <c r="A519">
        <v>518</v>
      </c>
      <c r="B519" t="s">
        <v>1765</v>
      </c>
      <c r="C519" s="3">
        <v>43374</v>
      </c>
      <c r="D519" s="7" t="str">
        <f t="shared" si="16"/>
        <v>October</v>
      </c>
      <c r="E519" s="3">
        <f t="shared" si="17"/>
        <v>43404</v>
      </c>
      <c r="F519" s="3">
        <v>43525</v>
      </c>
      <c r="G519" t="s">
        <v>50</v>
      </c>
      <c r="H519" t="s">
        <v>531</v>
      </c>
      <c r="I519" t="s">
        <v>532</v>
      </c>
      <c r="J519" t="s">
        <v>102</v>
      </c>
      <c r="K519" t="s">
        <v>27</v>
      </c>
      <c r="L519" t="s">
        <v>1766</v>
      </c>
      <c r="M519" t="s">
        <v>1767</v>
      </c>
      <c r="N519">
        <v>59405</v>
      </c>
      <c r="O519" t="s">
        <v>44</v>
      </c>
      <c r="P519" t="s">
        <v>1772</v>
      </c>
      <c r="Q519" t="s">
        <v>46</v>
      </c>
      <c r="R519" t="s">
        <v>90</v>
      </c>
      <c r="S519" t="s">
        <v>1773</v>
      </c>
      <c r="T519" s="4">
        <v>11.96</v>
      </c>
      <c r="U519">
        <v>2</v>
      </c>
      <c r="V519">
        <v>0</v>
      </c>
      <c r="W519" s="4">
        <v>5.3819999999999997</v>
      </c>
    </row>
    <row r="520" spans="1:23" x14ac:dyDescent="0.3">
      <c r="A520">
        <v>519</v>
      </c>
      <c r="B520" t="s">
        <v>1765</v>
      </c>
      <c r="C520" s="3">
        <v>43374</v>
      </c>
      <c r="D520" s="7" t="str">
        <f t="shared" si="16"/>
        <v>October</v>
      </c>
      <c r="E520" s="3">
        <f t="shared" si="17"/>
        <v>43404</v>
      </c>
      <c r="F520" s="3">
        <v>43525</v>
      </c>
      <c r="G520" t="s">
        <v>50</v>
      </c>
      <c r="H520" t="s">
        <v>531</v>
      </c>
      <c r="I520" t="s">
        <v>532</v>
      </c>
      <c r="J520" t="s">
        <v>102</v>
      </c>
      <c r="K520" t="s">
        <v>27</v>
      </c>
      <c r="L520" t="s">
        <v>1766</v>
      </c>
      <c r="M520" t="s">
        <v>1767</v>
      </c>
      <c r="N520">
        <v>59405</v>
      </c>
      <c r="O520" t="s">
        <v>44</v>
      </c>
      <c r="P520" t="s">
        <v>1774</v>
      </c>
      <c r="Q520" t="s">
        <v>46</v>
      </c>
      <c r="R520" t="s">
        <v>59</v>
      </c>
      <c r="S520" t="s">
        <v>1775</v>
      </c>
      <c r="T520" s="4">
        <v>1126.02</v>
      </c>
      <c r="U520">
        <v>3</v>
      </c>
      <c r="V520">
        <v>0</v>
      </c>
      <c r="W520" s="4">
        <v>56.301000000000002</v>
      </c>
    </row>
    <row r="521" spans="1:23" x14ac:dyDescent="0.3">
      <c r="A521">
        <v>520</v>
      </c>
      <c r="B521" t="s">
        <v>1776</v>
      </c>
      <c r="C521" s="3">
        <v>42646</v>
      </c>
      <c r="D521" s="7" t="str">
        <f t="shared" si="16"/>
        <v>October</v>
      </c>
      <c r="E521" s="3">
        <f t="shared" si="17"/>
        <v>42674</v>
      </c>
      <c r="F521" s="3">
        <v>42769</v>
      </c>
      <c r="G521" t="s">
        <v>50</v>
      </c>
      <c r="H521" t="s">
        <v>1777</v>
      </c>
      <c r="I521" t="s">
        <v>1778</v>
      </c>
      <c r="J521" t="s">
        <v>26</v>
      </c>
      <c r="K521" t="s">
        <v>27</v>
      </c>
      <c r="L521" t="s">
        <v>184</v>
      </c>
      <c r="M521" t="s">
        <v>104</v>
      </c>
      <c r="N521">
        <v>77041</v>
      </c>
      <c r="O521" t="s">
        <v>105</v>
      </c>
      <c r="P521" t="s">
        <v>230</v>
      </c>
      <c r="Q521" t="s">
        <v>71</v>
      </c>
      <c r="R521" t="s">
        <v>161</v>
      </c>
      <c r="S521" t="s">
        <v>231</v>
      </c>
      <c r="T521" s="4">
        <v>18.391999999999999</v>
      </c>
      <c r="U521">
        <v>1</v>
      </c>
      <c r="V521">
        <v>0.2</v>
      </c>
      <c r="W521" s="4">
        <v>5.2877000000000001</v>
      </c>
    </row>
    <row r="522" spans="1:23" x14ac:dyDescent="0.3">
      <c r="A522">
        <v>521</v>
      </c>
      <c r="B522" t="s">
        <v>1776</v>
      </c>
      <c r="C522" s="3">
        <v>42646</v>
      </c>
      <c r="D522" s="7" t="str">
        <f t="shared" si="16"/>
        <v>October</v>
      </c>
      <c r="E522" s="3">
        <f t="shared" si="17"/>
        <v>42674</v>
      </c>
      <c r="F522" s="3">
        <v>42769</v>
      </c>
      <c r="G522" t="s">
        <v>50</v>
      </c>
      <c r="H522" t="s">
        <v>1777</v>
      </c>
      <c r="I522" t="s">
        <v>1778</v>
      </c>
      <c r="J522" t="s">
        <v>26</v>
      </c>
      <c r="K522" t="s">
        <v>27</v>
      </c>
      <c r="L522" t="s">
        <v>184</v>
      </c>
      <c r="M522" t="s">
        <v>104</v>
      </c>
      <c r="N522">
        <v>77041</v>
      </c>
      <c r="O522" t="s">
        <v>105</v>
      </c>
      <c r="P522" t="s">
        <v>1779</v>
      </c>
      <c r="Q522" t="s">
        <v>46</v>
      </c>
      <c r="R522" t="s">
        <v>59</v>
      </c>
      <c r="S522" t="s">
        <v>1780</v>
      </c>
      <c r="T522" s="4">
        <v>129.56800000000001</v>
      </c>
      <c r="U522">
        <v>2</v>
      </c>
      <c r="V522">
        <v>0.2</v>
      </c>
      <c r="W522" s="4">
        <v>-25.913599999999999</v>
      </c>
    </row>
    <row r="523" spans="1:23" x14ac:dyDescent="0.3">
      <c r="A523">
        <v>522</v>
      </c>
      <c r="B523" t="s">
        <v>1776</v>
      </c>
      <c r="C523" s="3">
        <v>42646</v>
      </c>
      <c r="D523" s="7" t="str">
        <f t="shared" si="16"/>
        <v>October</v>
      </c>
      <c r="E523" s="3">
        <f t="shared" si="17"/>
        <v>42674</v>
      </c>
      <c r="F523" s="3">
        <v>42769</v>
      </c>
      <c r="G523" t="s">
        <v>50</v>
      </c>
      <c r="H523" t="s">
        <v>1777</v>
      </c>
      <c r="I523" t="s">
        <v>1778</v>
      </c>
      <c r="J523" t="s">
        <v>26</v>
      </c>
      <c r="K523" t="s">
        <v>27</v>
      </c>
      <c r="L523" t="s">
        <v>184</v>
      </c>
      <c r="M523" t="s">
        <v>104</v>
      </c>
      <c r="N523">
        <v>77041</v>
      </c>
      <c r="O523" t="s">
        <v>105</v>
      </c>
      <c r="P523" t="s">
        <v>1781</v>
      </c>
      <c r="Q523" t="s">
        <v>46</v>
      </c>
      <c r="R523" t="s">
        <v>75</v>
      </c>
      <c r="S523" t="s">
        <v>1782</v>
      </c>
      <c r="T523" s="4">
        <v>14.112</v>
      </c>
      <c r="U523">
        <v>9</v>
      </c>
      <c r="V523">
        <v>0.8</v>
      </c>
      <c r="W523" s="4">
        <v>-21.167999999999999</v>
      </c>
    </row>
    <row r="524" spans="1:23" x14ac:dyDescent="0.3">
      <c r="A524">
        <v>523</v>
      </c>
      <c r="B524" t="s">
        <v>1783</v>
      </c>
      <c r="C524" s="3">
        <v>43405</v>
      </c>
      <c r="D524" s="7" t="str">
        <f t="shared" si="16"/>
        <v>November</v>
      </c>
      <c r="E524" s="3">
        <f t="shared" si="17"/>
        <v>43434</v>
      </c>
      <c r="F524" s="3">
        <v>43466</v>
      </c>
      <c r="G524" t="s">
        <v>188</v>
      </c>
      <c r="H524" t="s">
        <v>1784</v>
      </c>
      <c r="I524" t="s">
        <v>1785</v>
      </c>
      <c r="J524" t="s">
        <v>41</v>
      </c>
      <c r="K524" t="s">
        <v>27</v>
      </c>
      <c r="L524" t="s">
        <v>882</v>
      </c>
      <c r="M524" t="s">
        <v>238</v>
      </c>
      <c r="N524">
        <v>48234</v>
      </c>
      <c r="O524" t="s">
        <v>105</v>
      </c>
      <c r="P524" t="s">
        <v>1706</v>
      </c>
      <c r="Q524" t="s">
        <v>32</v>
      </c>
      <c r="R524" t="s">
        <v>56</v>
      </c>
      <c r="S524" t="s">
        <v>1707</v>
      </c>
      <c r="T524" s="4">
        <v>210.98</v>
      </c>
      <c r="U524">
        <v>2</v>
      </c>
      <c r="V524">
        <v>0</v>
      </c>
      <c r="W524" s="4">
        <v>21.097999999999999</v>
      </c>
    </row>
    <row r="525" spans="1:23" x14ac:dyDescent="0.3">
      <c r="A525">
        <v>524</v>
      </c>
      <c r="B525" t="s">
        <v>1786</v>
      </c>
      <c r="C525" s="3">
        <v>42983</v>
      </c>
      <c r="D525" s="7" t="str">
        <f t="shared" si="16"/>
        <v>September</v>
      </c>
      <c r="E525" s="3">
        <f t="shared" si="17"/>
        <v>43008</v>
      </c>
      <c r="F525" s="3">
        <v>43044</v>
      </c>
      <c r="G525" t="s">
        <v>188</v>
      </c>
      <c r="H525" t="s">
        <v>943</v>
      </c>
      <c r="I525" t="s">
        <v>944</v>
      </c>
      <c r="J525" t="s">
        <v>26</v>
      </c>
      <c r="K525" t="s">
        <v>27</v>
      </c>
      <c r="L525" t="s">
        <v>42</v>
      </c>
      <c r="M525" t="s">
        <v>43</v>
      </c>
      <c r="N525">
        <v>90032</v>
      </c>
      <c r="O525" t="s">
        <v>44</v>
      </c>
      <c r="P525" t="s">
        <v>1787</v>
      </c>
      <c r="Q525" t="s">
        <v>71</v>
      </c>
      <c r="R525" t="s">
        <v>72</v>
      </c>
      <c r="S525" t="s">
        <v>1788</v>
      </c>
      <c r="T525" s="4">
        <v>55.176000000000002</v>
      </c>
      <c r="U525">
        <v>3</v>
      </c>
      <c r="V525">
        <v>0.2</v>
      </c>
      <c r="W525" s="4">
        <v>-12.4146</v>
      </c>
    </row>
    <row r="526" spans="1:23" x14ac:dyDescent="0.3">
      <c r="A526">
        <v>525</v>
      </c>
      <c r="B526" t="s">
        <v>1786</v>
      </c>
      <c r="C526" s="3">
        <v>42983</v>
      </c>
      <c r="D526" s="7" t="str">
        <f t="shared" si="16"/>
        <v>September</v>
      </c>
      <c r="E526" s="3">
        <f t="shared" si="17"/>
        <v>43008</v>
      </c>
      <c r="F526" s="3">
        <v>43044</v>
      </c>
      <c r="G526" t="s">
        <v>188</v>
      </c>
      <c r="H526" t="s">
        <v>943</v>
      </c>
      <c r="I526" t="s">
        <v>944</v>
      </c>
      <c r="J526" t="s">
        <v>26</v>
      </c>
      <c r="K526" t="s">
        <v>27</v>
      </c>
      <c r="L526" t="s">
        <v>42</v>
      </c>
      <c r="M526" t="s">
        <v>43</v>
      </c>
      <c r="N526">
        <v>90032</v>
      </c>
      <c r="O526" t="s">
        <v>44</v>
      </c>
      <c r="P526" t="s">
        <v>909</v>
      </c>
      <c r="Q526" t="s">
        <v>71</v>
      </c>
      <c r="R526" t="s">
        <v>161</v>
      </c>
      <c r="S526" t="s">
        <v>1789</v>
      </c>
      <c r="T526" s="4">
        <v>66.260000000000005</v>
      </c>
      <c r="U526">
        <v>2</v>
      </c>
      <c r="V526">
        <v>0</v>
      </c>
      <c r="W526" s="4">
        <v>27.166599999999999</v>
      </c>
    </row>
    <row r="527" spans="1:23" x14ac:dyDescent="0.3">
      <c r="A527">
        <v>526</v>
      </c>
      <c r="B527" t="s">
        <v>1790</v>
      </c>
      <c r="C527" s="3">
        <v>42778</v>
      </c>
      <c r="D527" s="7" t="str">
        <f t="shared" si="16"/>
        <v>February</v>
      </c>
      <c r="E527" s="3">
        <f t="shared" si="17"/>
        <v>42794</v>
      </c>
      <c r="F527" s="3">
        <v>42401</v>
      </c>
      <c r="G527" t="s">
        <v>50</v>
      </c>
      <c r="H527" t="s">
        <v>1791</v>
      </c>
      <c r="I527" t="s">
        <v>1792</v>
      </c>
      <c r="J527" t="s">
        <v>26</v>
      </c>
      <c r="K527" t="s">
        <v>27</v>
      </c>
      <c r="L527" t="s">
        <v>1484</v>
      </c>
      <c r="M527" t="s">
        <v>1248</v>
      </c>
      <c r="N527">
        <v>1841</v>
      </c>
      <c r="O527" t="s">
        <v>148</v>
      </c>
      <c r="P527" t="s">
        <v>1793</v>
      </c>
      <c r="Q527" t="s">
        <v>46</v>
      </c>
      <c r="R527" t="s">
        <v>269</v>
      </c>
      <c r="S527" t="s">
        <v>563</v>
      </c>
      <c r="T527" s="4">
        <v>22.2</v>
      </c>
      <c r="U527">
        <v>5</v>
      </c>
      <c r="V527">
        <v>0</v>
      </c>
      <c r="W527" s="4">
        <v>10.433999999999999</v>
      </c>
    </row>
    <row r="528" spans="1:23" x14ac:dyDescent="0.3">
      <c r="A528">
        <v>527</v>
      </c>
      <c r="B528" t="s">
        <v>1794</v>
      </c>
      <c r="C528" s="3">
        <v>43353</v>
      </c>
      <c r="D528" s="7" t="str">
        <f t="shared" si="16"/>
        <v>September</v>
      </c>
      <c r="E528" s="3">
        <f t="shared" si="17"/>
        <v>43373</v>
      </c>
      <c r="F528" s="3">
        <v>43506</v>
      </c>
      <c r="G528" t="s">
        <v>50</v>
      </c>
      <c r="H528" t="s">
        <v>1795</v>
      </c>
      <c r="I528" t="s">
        <v>1796</v>
      </c>
      <c r="J528" t="s">
        <v>102</v>
      </c>
      <c r="K528" t="s">
        <v>27</v>
      </c>
      <c r="L528" t="s">
        <v>1797</v>
      </c>
      <c r="M528" t="s">
        <v>54</v>
      </c>
      <c r="N528">
        <v>33801</v>
      </c>
      <c r="O528" t="s">
        <v>30</v>
      </c>
      <c r="P528" t="s">
        <v>1798</v>
      </c>
      <c r="Q528" t="s">
        <v>32</v>
      </c>
      <c r="R528" t="s">
        <v>36</v>
      </c>
      <c r="S528" t="s">
        <v>1799</v>
      </c>
      <c r="T528" s="4">
        <v>683.952</v>
      </c>
      <c r="U528">
        <v>3</v>
      </c>
      <c r="V528">
        <v>0.2</v>
      </c>
      <c r="W528" s="4">
        <v>42.747</v>
      </c>
    </row>
    <row r="529" spans="1:23" x14ac:dyDescent="0.3">
      <c r="A529">
        <v>528</v>
      </c>
      <c r="B529" t="s">
        <v>1794</v>
      </c>
      <c r="C529" s="3">
        <v>43353</v>
      </c>
      <c r="D529" s="7" t="str">
        <f t="shared" si="16"/>
        <v>September</v>
      </c>
      <c r="E529" s="3">
        <f t="shared" si="17"/>
        <v>43373</v>
      </c>
      <c r="F529" s="3">
        <v>43506</v>
      </c>
      <c r="G529" t="s">
        <v>50</v>
      </c>
      <c r="H529" t="s">
        <v>1795</v>
      </c>
      <c r="I529" t="s">
        <v>1796</v>
      </c>
      <c r="J529" t="s">
        <v>102</v>
      </c>
      <c r="K529" t="s">
        <v>27</v>
      </c>
      <c r="L529" t="s">
        <v>1797</v>
      </c>
      <c r="M529" t="s">
        <v>54</v>
      </c>
      <c r="N529">
        <v>33801</v>
      </c>
      <c r="O529" t="s">
        <v>30</v>
      </c>
      <c r="P529" t="s">
        <v>1141</v>
      </c>
      <c r="Q529" t="s">
        <v>32</v>
      </c>
      <c r="R529" t="s">
        <v>65</v>
      </c>
      <c r="S529" t="s">
        <v>1142</v>
      </c>
      <c r="T529" s="4">
        <v>45.695999999999998</v>
      </c>
      <c r="U529">
        <v>3</v>
      </c>
      <c r="V529">
        <v>0.2</v>
      </c>
      <c r="W529" s="4">
        <v>5.1407999999999996</v>
      </c>
    </row>
    <row r="530" spans="1:23" x14ac:dyDescent="0.3">
      <c r="A530">
        <v>529</v>
      </c>
      <c r="B530" t="s">
        <v>1800</v>
      </c>
      <c r="C530" s="3">
        <v>42072</v>
      </c>
      <c r="D530" s="7" t="str">
        <f t="shared" si="16"/>
        <v>March</v>
      </c>
      <c r="E530" s="3">
        <f t="shared" si="17"/>
        <v>42094</v>
      </c>
      <c r="F530" s="3">
        <v>42194</v>
      </c>
      <c r="G530" t="s">
        <v>50</v>
      </c>
      <c r="H530" t="s">
        <v>1801</v>
      </c>
      <c r="I530" t="s">
        <v>1802</v>
      </c>
      <c r="J530" t="s">
        <v>26</v>
      </c>
      <c r="K530" t="s">
        <v>27</v>
      </c>
      <c r="L530" t="s">
        <v>146</v>
      </c>
      <c r="M530" t="s">
        <v>147</v>
      </c>
      <c r="N530">
        <v>19134</v>
      </c>
      <c r="O530" t="s">
        <v>148</v>
      </c>
      <c r="P530" t="s">
        <v>1803</v>
      </c>
      <c r="Q530" t="s">
        <v>46</v>
      </c>
      <c r="R530" t="s">
        <v>59</v>
      </c>
      <c r="S530" t="s">
        <v>1804</v>
      </c>
      <c r="T530" s="4">
        <v>36.335999999999999</v>
      </c>
      <c r="U530">
        <v>3</v>
      </c>
      <c r="V530">
        <v>0.2</v>
      </c>
      <c r="W530" s="4">
        <v>-7.2671999999999999</v>
      </c>
    </row>
    <row r="531" spans="1:23" x14ac:dyDescent="0.3">
      <c r="A531">
        <v>530</v>
      </c>
      <c r="B531" t="s">
        <v>1800</v>
      </c>
      <c r="C531" s="3">
        <v>42072</v>
      </c>
      <c r="D531" s="7" t="str">
        <f t="shared" si="16"/>
        <v>March</v>
      </c>
      <c r="E531" s="3">
        <f t="shared" si="17"/>
        <v>42094</v>
      </c>
      <c r="F531" s="3">
        <v>42194</v>
      </c>
      <c r="G531" t="s">
        <v>50</v>
      </c>
      <c r="H531" t="s">
        <v>1801</v>
      </c>
      <c r="I531" t="s">
        <v>1802</v>
      </c>
      <c r="J531" t="s">
        <v>26</v>
      </c>
      <c r="K531" t="s">
        <v>27</v>
      </c>
      <c r="L531" t="s">
        <v>146</v>
      </c>
      <c r="M531" t="s">
        <v>147</v>
      </c>
      <c r="N531">
        <v>19134</v>
      </c>
      <c r="O531" t="s">
        <v>148</v>
      </c>
      <c r="P531" t="s">
        <v>1805</v>
      </c>
      <c r="Q531" t="s">
        <v>46</v>
      </c>
      <c r="R531" t="s">
        <v>579</v>
      </c>
      <c r="S531" t="s">
        <v>1806</v>
      </c>
      <c r="T531" s="4">
        <v>666.24800000000005</v>
      </c>
      <c r="U531">
        <v>1</v>
      </c>
      <c r="V531">
        <v>0.2</v>
      </c>
      <c r="W531" s="4">
        <v>-149.9058</v>
      </c>
    </row>
    <row r="532" spans="1:23" x14ac:dyDescent="0.3">
      <c r="A532">
        <v>531</v>
      </c>
      <c r="B532" t="s">
        <v>1800</v>
      </c>
      <c r="C532" s="3">
        <v>42072</v>
      </c>
      <c r="D532" s="7" t="str">
        <f t="shared" si="16"/>
        <v>March</v>
      </c>
      <c r="E532" s="3">
        <f t="shared" si="17"/>
        <v>42094</v>
      </c>
      <c r="F532" s="3">
        <v>42194</v>
      </c>
      <c r="G532" t="s">
        <v>50</v>
      </c>
      <c r="H532" t="s">
        <v>1801</v>
      </c>
      <c r="I532" t="s">
        <v>1802</v>
      </c>
      <c r="J532" t="s">
        <v>26</v>
      </c>
      <c r="K532" t="s">
        <v>27</v>
      </c>
      <c r="L532" t="s">
        <v>146</v>
      </c>
      <c r="M532" t="s">
        <v>147</v>
      </c>
      <c r="N532">
        <v>19134</v>
      </c>
      <c r="O532" t="s">
        <v>148</v>
      </c>
      <c r="P532" t="s">
        <v>1807</v>
      </c>
      <c r="Q532" t="s">
        <v>46</v>
      </c>
      <c r="R532" t="s">
        <v>173</v>
      </c>
      <c r="S532" t="s">
        <v>1808</v>
      </c>
      <c r="T532" s="4">
        <v>52.512</v>
      </c>
      <c r="U532">
        <v>6</v>
      </c>
      <c r="V532">
        <v>0.2</v>
      </c>
      <c r="W532" s="4">
        <v>19.692</v>
      </c>
    </row>
    <row r="533" spans="1:23" x14ac:dyDescent="0.3">
      <c r="A533">
        <v>532</v>
      </c>
      <c r="B533" t="s">
        <v>1809</v>
      </c>
      <c r="C533" s="3">
        <v>42196</v>
      </c>
      <c r="D533" s="7" t="str">
        <f t="shared" si="16"/>
        <v>July</v>
      </c>
      <c r="E533" s="3">
        <f t="shared" si="17"/>
        <v>42216</v>
      </c>
      <c r="F533" s="3">
        <v>42258</v>
      </c>
      <c r="G533" t="s">
        <v>23</v>
      </c>
      <c r="H533" t="s">
        <v>1810</v>
      </c>
      <c r="I533" t="s">
        <v>1811</v>
      </c>
      <c r="J533" t="s">
        <v>41</v>
      </c>
      <c r="K533" t="s">
        <v>27</v>
      </c>
      <c r="L533" t="s">
        <v>42</v>
      </c>
      <c r="M533" t="s">
        <v>43</v>
      </c>
      <c r="N533">
        <v>90036</v>
      </c>
      <c r="O533" t="s">
        <v>44</v>
      </c>
      <c r="P533" t="s">
        <v>1812</v>
      </c>
      <c r="Q533" t="s">
        <v>32</v>
      </c>
      <c r="R533" t="s">
        <v>36</v>
      </c>
      <c r="S533" t="s">
        <v>1813</v>
      </c>
      <c r="T533" s="4">
        <v>190.72</v>
      </c>
      <c r="U533">
        <v>1</v>
      </c>
      <c r="V533">
        <v>0.2</v>
      </c>
      <c r="W533" s="4">
        <v>11.92</v>
      </c>
    </row>
    <row r="534" spans="1:23" x14ac:dyDescent="0.3">
      <c r="A534">
        <v>533</v>
      </c>
      <c r="B534" t="s">
        <v>1814</v>
      </c>
      <c r="C534" s="3">
        <v>42925</v>
      </c>
      <c r="D534" s="7" t="str">
        <f t="shared" si="16"/>
        <v>July</v>
      </c>
      <c r="E534" s="3">
        <f t="shared" si="17"/>
        <v>42947</v>
      </c>
      <c r="F534" s="3">
        <v>43048</v>
      </c>
      <c r="G534" t="s">
        <v>50</v>
      </c>
      <c r="H534" t="s">
        <v>1815</v>
      </c>
      <c r="I534" t="s">
        <v>1816</v>
      </c>
      <c r="J534" t="s">
        <v>26</v>
      </c>
      <c r="K534" t="s">
        <v>27</v>
      </c>
      <c r="L534" t="s">
        <v>42</v>
      </c>
      <c r="M534" t="s">
        <v>43</v>
      </c>
      <c r="N534">
        <v>90032</v>
      </c>
      <c r="O534" t="s">
        <v>44</v>
      </c>
      <c r="P534" t="s">
        <v>1817</v>
      </c>
      <c r="Q534" t="s">
        <v>32</v>
      </c>
      <c r="R534" t="s">
        <v>65</v>
      </c>
      <c r="S534" t="s">
        <v>1818</v>
      </c>
      <c r="T534" s="4">
        <v>47.94</v>
      </c>
      <c r="U534">
        <v>3</v>
      </c>
      <c r="V534">
        <v>0</v>
      </c>
      <c r="W534" s="4">
        <v>2.3969999999999998</v>
      </c>
    </row>
    <row r="535" spans="1:23" x14ac:dyDescent="0.3">
      <c r="A535">
        <v>534</v>
      </c>
      <c r="B535" t="s">
        <v>1819</v>
      </c>
      <c r="C535" s="3">
        <v>43225</v>
      </c>
      <c r="D535" s="7" t="str">
        <f t="shared" si="16"/>
        <v>May</v>
      </c>
      <c r="E535" s="3">
        <f t="shared" si="17"/>
        <v>43251</v>
      </c>
      <c r="F535" s="3">
        <v>42375</v>
      </c>
      <c r="G535" t="s">
        <v>23</v>
      </c>
      <c r="H535" t="s">
        <v>1820</v>
      </c>
      <c r="I535" t="s">
        <v>1821</v>
      </c>
      <c r="J535" t="s">
        <v>26</v>
      </c>
      <c r="K535" t="s">
        <v>27</v>
      </c>
      <c r="L535" t="s">
        <v>1822</v>
      </c>
      <c r="M535" t="s">
        <v>358</v>
      </c>
      <c r="N535">
        <v>36116</v>
      </c>
      <c r="O535" t="s">
        <v>30</v>
      </c>
      <c r="P535" t="s">
        <v>1823</v>
      </c>
      <c r="Q535" t="s">
        <v>71</v>
      </c>
      <c r="R535" t="s">
        <v>72</v>
      </c>
      <c r="S535" t="s">
        <v>1824</v>
      </c>
      <c r="T535" s="4">
        <v>979.95</v>
      </c>
      <c r="U535">
        <v>5</v>
      </c>
      <c r="V535">
        <v>0</v>
      </c>
      <c r="W535" s="4">
        <v>274.38600000000002</v>
      </c>
    </row>
    <row r="536" spans="1:23" x14ac:dyDescent="0.3">
      <c r="A536">
        <v>535</v>
      </c>
      <c r="B536" t="s">
        <v>1819</v>
      </c>
      <c r="C536" s="3">
        <v>43225</v>
      </c>
      <c r="D536" s="7" t="str">
        <f t="shared" si="16"/>
        <v>May</v>
      </c>
      <c r="E536" s="3">
        <f t="shared" si="17"/>
        <v>43251</v>
      </c>
      <c r="F536" s="3">
        <v>42375</v>
      </c>
      <c r="G536" t="s">
        <v>23</v>
      </c>
      <c r="H536" t="s">
        <v>1820</v>
      </c>
      <c r="I536" t="s">
        <v>1821</v>
      </c>
      <c r="J536" t="s">
        <v>26</v>
      </c>
      <c r="K536" t="s">
        <v>27</v>
      </c>
      <c r="L536" t="s">
        <v>1822</v>
      </c>
      <c r="M536" t="s">
        <v>358</v>
      </c>
      <c r="N536">
        <v>36116</v>
      </c>
      <c r="O536" t="s">
        <v>30</v>
      </c>
      <c r="P536" t="s">
        <v>1025</v>
      </c>
      <c r="Q536" t="s">
        <v>46</v>
      </c>
      <c r="R536" t="s">
        <v>75</v>
      </c>
      <c r="S536" t="s">
        <v>1026</v>
      </c>
      <c r="T536" s="4">
        <v>22.75</v>
      </c>
      <c r="U536">
        <v>5</v>
      </c>
      <c r="V536">
        <v>0</v>
      </c>
      <c r="W536" s="4">
        <v>11.375</v>
      </c>
    </row>
    <row r="537" spans="1:23" x14ac:dyDescent="0.3">
      <c r="A537">
        <v>536</v>
      </c>
      <c r="B537" t="s">
        <v>1825</v>
      </c>
      <c r="C537" s="3">
        <v>42650</v>
      </c>
      <c r="D537" s="7" t="str">
        <f t="shared" si="16"/>
        <v>October</v>
      </c>
      <c r="E537" s="3">
        <f t="shared" si="17"/>
        <v>42674</v>
      </c>
      <c r="F537" s="3">
        <v>42832</v>
      </c>
      <c r="G537" t="s">
        <v>50</v>
      </c>
      <c r="H537" t="s">
        <v>1826</v>
      </c>
      <c r="I537" t="s">
        <v>1827</v>
      </c>
      <c r="J537" t="s">
        <v>26</v>
      </c>
      <c r="K537" t="s">
        <v>27</v>
      </c>
      <c r="L537" t="s">
        <v>1828</v>
      </c>
      <c r="M537" t="s">
        <v>310</v>
      </c>
      <c r="N537">
        <v>85204</v>
      </c>
      <c r="O537" t="s">
        <v>44</v>
      </c>
      <c r="P537" t="s">
        <v>1829</v>
      </c>
      <c r="Q537" t="s">
        <v>46</v>
      </c>
      <c r="R537" t="s">
        <v>59</v>
      </c>
      <c r="S537" t="s">
        <v>1830</v>
      </c>
      <c r="T537" s="4">
        <v>16.768000000000001</v>
      </c>
      <c r="U537">
        <v>2</v>
      </c>
      <c r="V537">
        <v>0.2</v>
      </c>
      <c r="W537" s="4">
        <v>1.4672000000000001</v>
      </c>
    </row>
    <row r="538" spans="1:23" x14ac:dyDescent="0.3">
      <c r="A538">
        <v>537</v>
      </c>
      <c r="B538" t="s">
        <v>1831</v>
      </c>
      <c r="C538" s="3">
        <v>42803</v>
      </c>
      <c r="D538" s="7" t="str">
        <f t="shared" si="16"/>
        <v>March</v>
      </c>
      <c r="E538" s="3">
        <f t="shared" si="17"/>
        <v>42825</v>
      </c>
      <c r="F538" s="3">
        <v>42956</v>
      </c>
      <c r="G538" t="s">
        <v>23</v>
      </c>
      <c r="H538" t="s">
        <v>1832</v>
      </c>
      <c r="I538" t="s">
        <v>1833</v>
      </c>
      <c r="J538" t="s">
        <v>26</v>
      </c>
      <c r="K538" t="s">
        <v>27</v>
      </c>
      <c r="L538" t="s">
        <v>303</v>
      </c>
      <c r="M538" t="s">
        <v>211</v>
      </c>
      <c r="N538">
        <v>60653</v>
      </c>
      <c r="O538" t="s">
        <v>105</v>
      </c>
      <c r="P538" t="s">
        <v>1834</v>
      </c>
      <c r="Q538" t="s">
        <v>46</v>
      </c>
      <c r="R538" t="s">
        <v>75</v>
      </c>
      <c r="S538" t="s">
        <v>1835</v>
      </c>
      <c r="T538" s="4">
        <v>42.616</v>
      </c>
      <c r="U538">
        <v>7</v>
      </c>
      <c r="V538">
        <v>0.8</v>
      </c>
      <c r="W538" s="4">
        <v>-68.185599999999994</v>
      </c>
    </row>
    <row r="539" spans="1:23" x14ac:dyDescent="0.3">
      <c r="A539">
        <v>538</v>
      </c>
      <c r="B539" t="s">
        <v>1836</v>
      </c>
      <c r="C539" s="3">
        <v>42075</v>
      </c>
      <c r="D539" s="7" t="str">
        <f t="shared" si="16"/>
        <v>March</v>
      </c>
      <c r="E539" s="3">
        <f t="shared" si="17"/>
        <v>42094</v>
      </c>
      <c r="F539" s="3">
        <v>42228</v>
      </c>
      <c r="G539" t="s">
        <v>50</v>
      </c>
      <c r="H539" t="s">
        <v>764</v>
      </c>
      <c r="I539" t="s">
        <v>765</v>
      </c>
      <c r="J539" t="s">
        <v>102</v>
      </c>
      <c r="K539" t="s">
        <v>27</v>
      </c>
      <c r="L539" t="s">
        <v>266</v>
      </c>
      <c r="M539" t="s">
        <v>267</v>
      </c>
      <c r="N539">
        <v>10009</v>
      </c>
      <c r="O539" t="s">
        <v>148</v>
      </c>
      <c r="P539" t="s">
        <v>1837</v>
      </c>
      <c r="Q539" t="s">
        <v>46</v>
      </c>
      <c r="R539" t="s">
        <v>75</v>
      </c>
      <c r="S539" t="s">
        <v>1838</v>
      </c>
      <c r="T539" s="4">
        <v>10.752000000000001</v>
      </c>
      <c r="U539">
        <v>4</v>
      </c>
      <c r="V539">
        <v>0.2</v>
      </c>
      <c r="W539" s="4">
        <v>3.36</v>
      </c>
    </row>
    <row r="540" spans="1:23" x14ac:dyDescent="0.3">
      <c r="A540">
        <v>539</v>
      </c>
      <c r="B540" t="s">
        <v>1839</v>
      </c>
      <c r="C540" s="3">
        <v>42197</v>
      </c>
      <c r="D540" s="7" t="str">
        <f t="shared" si="16"/>
        <v>July</v>
      </c>
      <c r="E540" s="3">
        <f t="shared" si="17"/>
        <v>42216</v>
      </c>
      <c r="F540" s="3">
        <v>42320</v>
      </c>
      <c r="G540" t="s">
        <v>50</v>
      </c>
      <c r="H540" t="s">
        <v>1840</v>
      </c>
      <c r="I540" t="s">
        <v>1841</v>
      </c>
      <c r="J540" t="s">
        <v>26</v>
      </c>
      <c r="K540" t="s">
        <v>27</v>
      </c>
      <c r="L540" t="s">
        <v>28</v>
      </c>
      <c r="M540" t="s">
        <v>29</v>
      </c>
      <c r="N540">
        <v>42420</v>
      </c>
      <c r="O540" t="s">
        <v>30</v>
      </c>
      <c r="P540" t="s">
        <v>1842</v>
      </c>
      <c r="Q540" t="s">
        <v>46</v>
      </c>
      <c r="R540" t="s">
        <v>78</v>
      </c>
      <c r="S540" t="s">
        <v>1843</v>
      </c>
      <c r="T540" s="4">
        <v>152.94</v>
      </c>
      <c r="U540">
        <v>3</v>
      </c>
      <c r="V540">
        <v>0</v>
      </c>
      <c r="W540" s="4">
        <v>41.293799999999997</v>
      </c>
    </row>
    <row r="541" spans="1:23" x14ac:dyDescent="0.3">
      <c r="A541">
        <v>540</v>
      </c>
      <c r="B541" t="s">
        <v>1839</v>
      </c>
      <c r="C541" s="3">
        <v>42197</v>
      </c>
      <c r="D541" s="7" t="str">
        <f t="shared" si="16"/>
        <v>July</v>
      </c>
      <c r="E541" s="3">
        <f t="shared" si="17"/>
        <v>42216</v>
      </c>
      <c r="F541" s="3">
        <v>42320</v>
      </c>
      <c r="G541" t="s">
        <v>50</v>
      </c>
      <c r="H541" t="s">
        <v>1840</v>
      </c>
      <c r="I541" t="s">
        <v>1841</v>
      </c>
      <c r="J541" t="s">
        <v>26</v>
      </c>
      <c r="K541" t="s">
        <v>27</v>
      </c>
      <c r="L541" t="s">
        <v>28</v>
      </c>
      <c r="M541" t="s">
        <v>29</v>
      </c>
      <c r="N541">
        <v>42420</v>
      </c>
      <c r="O541" t="s">
        <v>30</v>
      </c>
      <c r="P541" t="s">
        <v>1844</v>
      </c>
      <c r="Q541" t="s">
        <v>32</v>
      </c>
      <c r="R541" t="s">
        <v>36</v>
      </c>
      <c r="S541" t="s">
        <v>1845</v>
      </c>
      <c r="T541" s="4">
        <v>283.92</v>
      </c>
      <c r="U541">
        <v>4</v>
      </c>
      <c r="V541">
        <v>0</v>
      </c>
      <c r="W541" s="4">
        <v>70.98</v>
      </c>
    </row>
    <row r="542" spans="1:23" x14ac:dyDescent="0.3">
      <c r="A542">
        <v>541</v>
      </c>
      <c r="B542" t="s">
        <v>1846</v>
      </c>
      <c r="C542" s="3">
        <v>41641</v>
      </c>
      <c r="D542" s="7" t="str">
        <f t="shared" si="16"/>
        <v>January</v>
      </c>
      <c r="E542" s="3">
        <f t="shared" si="17"/>
        <v>41670</v>
      </c>
      <c r="F542" s="3">
        <v>41700</v>
      </c>
      <c r="G542" t="s">
        <v>188</v>
      </c>
      <c r="H542" t="s">
        <v>1847</v>
      </c>
      <c r="I542" t="s">
        <v>1848</v>
      </c>
      <c r="J542" t="s">
        <v>26</v>
      </c>
      <c r="K542" t="s">
        <v>27</v>
      </c>
      <c r="L542" t="s">
        <v>1849</v>
      </c>
      <c r="M542" t="s">
        <v>114</v>
      </c>
      <c r="N542">
        <v>54302</v>
      </c>
      <c r="O542" t="s">
        <v>105</v>
      </c>
      <c r="P542" t="s">
        <v>1850</v>
      </c>
      <c r="Q542" t="s">
        <v>71</v>
      </c>
      <c r="R542" t="s">
        <v>161</v>
      </c>
      <c r="S542" t="s">
        <v>1851</v>
      </c>
      <c r="T542" s="4">
        <v>468.9</v>
      </c>
      <c r="U542">
        <v>6</v>
      </c>
      <c r="V542">
        <v>0</v>
      </c>
      <c r="W542" s="4">
        <v>206.316</v>
      </c>
    </row>
    <row r="543" spans="1:23" x14ac:dyDescent="0.3">
      <c r="A543">
        <v>542</v>
      </c>
      <c r="B543" t="s">
        <v>1852</v>
      </c>
      <c r="C543" s="3">
        <v>42773</v>
      </c>
      <c r="D543" s="7" t="str">
        <f t="shared" si="16"/>
        <v>February</v>
      </c>
      <c r="E543" s="3">
        <f t="shared" si="17"/>
        <v>42794</v>
      </c>
      <c r="F543" s="3">
        <v>42862</v>
      </c>
      <c r="G543" t="s">
        <v>188</v>
      </c>
      <c r="H543" t="s">
        <v>220</v>
      </c>
      <c r="I543" t="s">
        <v>221</v>
      </c>
      <c r="J543" t="s">
        <v>41</v>
      </c>
      <c r="K543" t="s">
        <v>27</v>
      </c>
      <c r="L543" t="s">
        <v>1314</v>
      </c>
      <c r="M543" t="s">
        <v>310</v>
      </c>
      <c r="N543">
        <v>85705</v>
      </c>
      <c r="O543" t="s">
        <v>44</v>
      </c>
      <c r="P543" t="s">
        <v>1853</v>
      </c>
      <c r="Q543" t="s">
        <v>71</v>
      </c>
      <c r="R543" t="s">
        <v>72</v>
      </c>
      <c r="S543" t="s">
        <v>1854</v>
      </c>
      <c r="T543" s="4">
        <v>380.86399999999998</v>
      </c>
      <c r="U543">
        <v>8</v>
      </c>
      <c r="V543">
        <v>0.2</v>
      </c>
      <c r="W543" s="4">
        <v>38.086399999999998</v>
      </c>
    </row>
    <row r="544" spans="1:23" x14ac:dyDescent="0.3">
      <c r="A544">
        <v>543</v>
      </c>
      <c r="B544" t="s">
        <v>1855</v>
      </c>
      <c r="C544" s="3">
        <v>42533</v>
      </c>
      <c r="D544" s="7" t="str">
        <f t="shared" si="16"/>
        <v>June</v>
      </c>
      <c r="E544" s="3">
        <f t="shared" si="17"/>
        <v>42551</v>
      </c>
      <c r="F544" s="3">
        <v>42686</v>
      </c>
      <c r="G544" t="s">
        <v>50</v>
      </c>
      <c r="H544" t="s">
        <v>1856</v>
      </c>
      <c r="I544" t="s">
        <v>1857</v>
      </c>
      <c r="J544" t="s">
        <v>26</v>
      </c>
      <c r="K544" t="s">
        <v>27</v>
      </c>
      <c r="L544" t="s">
        <v>318</v>
      </c>
      <c r="M544" t="s">
        <v>498</v>
      </c>
      <c r="N544">
        <v>45503</v>
      </c>
      <c r="O544" t="s">
        <v>148</v>
      </c>
      <c r="P544" t="s">
        <v>1694</v>
      </c>
      <c r="Q544" t="s">
        <v>46</v>
      </c>
      <c r="R544" t="s">
        <v>59</v>
      </c>
      <c r="S544" t="s">
        <v>1695</v>
      </c>
      <c r="T544" s="4">
        <v>646.77599999999995</v>
      </c>
      <c r="U544">
        <v>9</v>
      </c>
      <c r="V544">
        <v>0.2</v>
      </c>
      <c r="W544" s="4">
        <v>-145.52459999999999</v>
      </c>
    </row>
    <row r="545" spans="1:23" x14ac:dyDescent="0.3">
      <c r="A545">
        <v>544</v>
      </c>
      <c r="B545" t="s">
        <v>1858</v>
      </c>
      <c r="C545" s="3">
        <v>41948</v>
      </c>
      <c r="D545" s="7" t="str">
        <f t="shared" si="16"/>
        <v>November</v>
      </c>
      <c r="E545" s="3">
        <f t="shared" si="17"/>
        <v>41973</v>
      </c>
      <c r="F545" s="3">
        <v>42099</v>
      </c>
      <c r="G545" t="s">
        <v>50</v>
      </c>
      <c r="H545" t="s">
        <v>387</v>
      </c>
      <c r="I545" t="s">
        <v>388</v>
      </c>
      <c r="J545" t="s">
        <v>26</v>
      </c>
      <c r="K545" t="s">
        <v>27</v>
      </c>
      <c r="L545" t="s">
        <v>103</v>
      </c>
      <c r="M545" t="s">
        <v>104</v>
      </c>
      <c r="N545">
        <v>76106</v>
      </c>
      <c r="O545" t="s">
        <v>105</v>
      </c>
      <c r="P545" t="s">
        <v>1859</v>
      </c>
      <c r="Q545" t="s">
        <v>71</v>
      </c>
      <c r="R545" t="s">
        <v>161</v>
      </c>
      <c r="S545" t="s">
        <v>1860</v>
      </c>
      <c r="T545" s="4">
        <v>58.112000000000002</v>
      </c>
      <c r="U545">
        <v>2</v>
      </c>
      <c r="V545">
        <v>0.2</v>
      </c>
      <c r="W545" s="4">
        <v>7.2640000000000002</v>
      </c>
    </row>
    <row r="546" spans="1:23" x14ac:dyDescent="0.3">
      <c r="A546">
        <v>545</v>
      </c>
      <c r="B546" t="s">
        <v>1858</v>
      </c>
      <c r="C546" s="3">
        <v>41948</v>
      </c>
      <c r="D546" s="7" t="str">
        <f t="shared" si="16"/>
        <v>November</v>
      </c>
      <c r="E546" s="3">
        <f t="shared" si="17"/>
        <v>41973</v>
      </c>
      <c r="F546" s="3">
        <v>42099</v>
      </c>
      <c r="G546" t="s">
        <v>50</v>
      </c>
      <c r="H546" t="s">
        <v>387</v>
      </c>
      <c r="I546" t="s">
        <v>388</v>
      </c>
      <c r="J546" t="s">
        <v>26</v>
      </c>
      <c r="K546" t="s">
        <v>27</v>
      </c>
      <c r="L546" t="s">
        <v>103</v>
      </c>
      <c r="M546" t="s">
        <v>104</v>
      </c>
      <c r="N546">
        <v>76106</v>
      </c>
      <c r="O546" t="s">
        <v>105</v>
      </c>
      <c r="P546" t="s">
        <v>1861</v>
      </c>
      <c r="Q546" t="s">
        <v>71</v>
      </c>
      <c r="R546" t="s">
        <v>72</v>
      </c>
      <c r="S546" t="s">
        <v>1862</v>
      </c>
      <c r="T546" s="4">
        <v>100.792</v>
      </c>
      <c r="U546">
        <v>1</v>
      </c>
      <c r="V546">
        <v>0.2</v>
      </c>
      <c r="W546" s="4">
        <v>6.2995000000000001</v>
      </c>
    </row>
    <row r="547" spans="1:23" x14ac:dyDescent="0.3">
      <c r="A547">
        <v>546</v>
      </c>
      <c r="B547" t="s">
        <v>1858</v>
      </c>
      <c r="C547" s="3">
        <v>41948</v>
      </c>
      <c r="D547" s="7" t="str">
        <f t="shared" si="16"/>
        <v>November</v>
      </c>
      <c r="E547" s="3">
        <f t="shared" si="17"/>
        <v>41973</v>
      </c>
      <c r="F547" s="3">
        <v>42099</v>
      </c>
      <c r="G547" t="s">
        <v>50</v>
      </c>
      <c r="H547" t="s">
        <v>387</v>
      </c>
      <c r="I547" t="s">
        <v>388</v>
      </c>
      <c r="J547" t="s">
        <v>26</v>
      </c>
      <c r="K547" t="s">
        <v>27</v>
      </c>
      <c r="L547" t="s">
        <v>103</v>
      </c>
      <c r="M547" t="s">
        <v>104</v>
      </c>
      <c r="N547">
        <v>76106</v>
      </c>
      <c r="O547" t="s">
        <v>105</v>
      </c>
      <c r="P547" t="s">
        <v>1863</v>
      </c>
      <c r="Q547" t="s">
        <v>32</v>
      </c>
      <c r="R547" t="s">
        <v>65</v>
      </c>
      <c r="S547" t="s">
        <v>1864</v>
      </c>
      <c r="T547" s="4">
        <v>66.111999999999995</v>
      </c>
      <c r="U547">
        <v>4</v>
      </c>
      <c r="V547">
        <v>0.6</v>
      </c>
      <c r="W547" s="4">
        <v>-84.2928</v>
      </c>
    </row>
    <row r="548" spans="1:23" x14ac:dyDescent="0.3">
      <c r="A548">
        <v>547</v>
      </c>
      <c r="B548" t="s">
        <v>1865</v>
      </c>
      <c r="C548" s="3">
        <v>43292</v>
      </c>
      <c r="D548" s="7" t="str">
        <f t="shared" si="16"/>
        <v>July</v>
      </c>
      <c r="E548" s="3">
        <f t="shared" si="17"/>
        <v>43312</v>
      </c>
      <c r="F548" s="3">
        <v>43384</v>
      </c>
      <c r="G548" t="s">
        <v>188</v>
      </c>
      <c r="H548" t="s">
        <v>1866</v>
      </c>
      <c r="I548" t="s">
        <v>1867</v>
      </c>
      <c r="J548" t="s">
        <v>102</v>
      </c>
      <c r="K548" t="s">
        <v>27</v>
      </c>
      <c r="L548" t="s">
        <v>266</v>
      </c>
      <c r="M548" t="s">
        <v>267</v>
      </c>
      <c r="N548">
        <v>10035</v>
      </c>
      <c r="O548" t="s">
        <v>148</v>
      </c>
      <c r="P548" t="s">
        <v>1868</v>
      </c>
      <c r="Q548" t="s">
        <v>46</v>
      </c>
      <c r="R548" t="s">
        <v>75</v>
      </c>
      <c r="S548" t="s">
        <v>1869</v>
      </c>
      <c r="T548" s="4">
        <v>41.28</v>
      </c>
      <c r="U548">
        <v>6</v>
      </c>
      <c r="V548">
        <v>0.2</v>
      </c>
      <c r="W548" s="4">
        <v>13.932</v>
      </c>
    </row>
    <row r="549" spans="1:23" x14ac:dyDescent="0.3">
      <c r="A549">
        <v>548</v>
      </c>
      <c r="B549" t="s">
        <v>1865</v>
      </c>
      <c r="C549" s="3">
        <v>43292</v>
      </c>
      <c r="D549" s="7" t="str">
        <f t="shared" si="16"/>
        <v>July</v>
      </c>
      <c r="E549" s="3">
        <f t="shared" si="17"/>
        <v>43312</v>
      </c>
      <c r="F549" s="3">
        <v>43384</v>
      </c>
      <c r="G549" t="s">
        <v>188</v>
      </c>
      <c r="H549" t="s">
        <v>1866</v>
      </c>
      <c r="I549" t="s">
        <v>1867</v>
      </c>
      <c r="J549" t="s">
        <v>102</v>
      </c>
      <c r="K549" t="s">
        <v>27</v>
      </c>
      <c r="L549" t="s">
        <v>266</v>
      </c>
      <c r="M549" t="s">
        <v>267</v>
      </c>
      <c r="N549">
        <v>10035</v>
      </c>
      <c r="O549" t="s">
        <v>148</v>
      </c>
      <c r="P549" t="s">
        <v>1870</v>
      </c>
      <c r="Q549" t="s">
        <v>46</v>
      </c>
      <c r="R549" t="s">
        <v>90</v>
      </c>
      <c r="S549" t="s">
        <v>1871</v>
      </c>
      <c r="T549" s="4">
        <v>13.36</v>
      </c>
      <c r="U549">
        <v>2</v>
      </c>
      <c r="V549">
        <v>0</v>
      </c>
      <c r="W549" s="4">
        <v>6.4127999999999998</v>
      </c>
    </row>
    <row r="550" spans="1:23" x14ac:dyDescent="0.3">
      <c r="A550">
        <v>549</v>
      </c>
      <c r="B550" t="s">
        <v>1872</v>
      </c>
      <c r="C550" s="3">
        <v>42440</v>
      </c>
      <c r="D550" s="7" t="str">
        <f t="shared" si="16"/>
        <v>March</v>
      </c>
      <c r="E550" s="3">
        <f t="shared" si="17"/>
        <v>42460</v>
      </c>
      <c r="F550" s="3">
        <v>42501</v>
      </c>
      <c r="G550" t="s">
        <v>23</v>
      </c>
      <c r="H550" t="s">
        <v>1362</v>
      </c>
      <c r="I550" t="s">
        <v>1363</v>
      </c>
      <c r="J550" t="s">
        <v>41</v>
      </c>
      <c r="K550" t="s">
        <v>27</v>
      </c>
      <c r="L550" t="s">
        <v>303</v>
      </c>
      <c r="M550" t="s">
        <v>211</v>
      </c>
      <c r="N550">
        <v>60653</v>
      </c>
      <c r="O550" t="s">
        <v>105</v>
      </c>
      <c r="P550" t="s">
        <v>277</v>
      </c>
      <c r="Q550" t="s">
        <v>46</v>
      </c>
      <c r="R550" t="s">
        <v>59</v>
      </c>
      <c r="S550" t="s">
        <v>278</v>
      </c>
      <c r="T550" s="4">
        <v>250.27199999999999</v>
      </c>
      <c r="U550">
        <v>9</v>
      </c>
      <c r="V550">
        <v>0.2</v>
      </c>
      <c r="W550" s="4">
        <v>15.641999999999999</v>
      </c>
    </row>
    <row r="551" spans="1:23" x14ac:dyDescent="0.3">
      <c r="A551">
        <v>550</v>
      </c>
      <c r="B551" t="s">
        <v>1872</v>
      </c>
      <c r="C551" s="3">
        <v>42440</v>
      </c>
      <c r="D551" s="7" t="str">
        <f t="shared" si="16"/>
        <v>March</v>
      </c>
      <c r="E551" s="3">
        <f t="shared" si="17"/>
        <v>42460</v>
      </c>
      <c r="F551" s="3">
        <v>42501</v>
      </c>
      <c r="G551" t="s">
        <v>23</v>
      </c>
      <c r="H551" t="s">
        <v>1362</v>
      </c>
      <c r="I551" t="s">
        <v>1363</v>
      </c>
      <c r="J551" t="s">
        <v>41</v>
      </c>
      <c r="K551" t="s">
        <v>27</v>
      </c>
      <c r="L551" t="s">
        <v>303</v>
      </c>
      <c r="M551" t="s">
        <v>211</v>
      </c>
      <c r="N551">
        <v>60653</v>
      </c>
      <c r="O551" t="s">
        <v>105</v>
      </c>
      <c r="P551" t="s">
        <v>421</v>
      </c>
      <c r="Q551" t="s">
        <v>46</v>
      </c>
      <c r="R551" t="s">
        <v>75</v>
      </c>
      <c r="S551" t="s">
        <v>422</v>
      </c>
      <c r="T551" s="4">
        <v>11.364000000000001</v>
      </c>
      <c r="U551">
        <v>3</v>
      </c>
      <c r="V551">
        <v>0.8</v>
      </c>
      <c r="W551" s="4">
        <v>-17.045999999999999</v>
      </c>
    </row>
    <row r="552" spans="1:23" x14ac:dyDescent="0.3">
      <c r="A552">
        <v>551</v>
      </c>
      <c r="B552" t="s">
        <v>1872</v>
      </c>
      <c r="C552" s="3">
        <v>42440</v>
      </c>
      <c r="D552" s="7" t="str">
        <f t="shared" si="16"/>
        <v>March</v>
      </c>
      <c r="E552" s="3">
        <f t="shared" si="17"/>
        <v>42460</v>
      </c>
      <c r="F552" s="3">
        <v>42501</v>
      </c>
      <c r="G552" t="s">
        <v>23</v>
      </c>
      <c r="H552" t="s">
        <v>1362</v>
      </c>
      <c r="I552" t="s">
        <v>1363</v>
      </c>
      <c r="J552" t="s">
        <v>41</v>
      </c>
      <c r="K552" t="s">
        <v>27</v>
      </c>
      <c r="L552" t="s">
        <v>303</v>
      </c>
      <c r="M552" t="s">
        <v>211</v>
      </c>
      <c r="N552">
        <v>60653</v>
      </c>
      <c r="O552" t="s">
        <v>105</v>
      </c>
      <c r="P552" t="s">
        <v>1873</v>
      </c>
      <c r="Q552" t="s">
        <v>46</v>
      </c>
      <c r="R552" t="s">
        <v>579</v>
      </c>
      <c r="S552" t="s">
        <v>1300</v>
      </c>
      <c r="T552" s="4">
        <v>8.7200000000000006</v>
      </c>
      <c r="U552">
        <v>5</v>
      </c>
      <c r="V552">
        <v>0.2</v>
      </c>
      <c r="W552" s="4">
        <v>-1.744</v>
      </c>
    </row>
    <row r="553" spans="1:23" x14ac:dyDescent="0.3">
      <c r="A553">
        <v>552</v>
      </c>
      <c r="B553" t="s">
        <v>1874</v>
      </c>
      <c r="C553" s="3">
        <v>42798</v>
      </c>
      <c r="D553" s="7" t="str">
        <f t="shared" si="16"/>
        <v>March</v>
      </c>
      <c r="E553" s="3">
        <f t="shared" si="17"/>
        <v>42825</v>
      </c>
      <c r="F553" s="3">
        <v>42859</v>
      </c>
      <c r="G553" t="s">
        <v>23</v>
      </c>
      <c r="H553" t="s">
        <v>1875</v>
      </c>
      <c r="I553" t="s">
        <v>1876</v>
      </c>
      <c r="J553" t="s">
        <v>26</v>
      </c>
      <c r="K553" t="s">
        <v>27</v>
      </c>
      <c r="L553" t="s">
        <v>127</v>
      </c>
      <c r="M553" t="s">
        <v>43</v>
      </c>
      <c r="N553">
        <v>94110</v>
      </c>
      <c r="O553" t="s">
        <v>44</v>
      </c>
      <c r="P553" t="s">
        <v>1877</v>
      </c>
      <c r="Q553" t="s">
        <v>32</v>
      </c>
      <c r="R553" t="s">
        <v>36</v>
      </c>
      <c r="S553" t="s">
        <v>1878</v>
      </c>
      <c r="T553" s="4">
        <v>1121.568</v>
      </c>
      <c r="U553">
        <v>2</v>
      </c>
      <c r="V553">
        <v>0.2</v>
      </c>
      <c r="W553" s="4">
        <v>0</v>
      </c>
    </row>
    <row r="554" spans="1:23" x14ac:dyDescent="0.3">
      <c r="A554">
        <v>553</v>
      </c>
      <c r="B554" t="s">
        <v>1879</v>
      </c>
      <c r="C554" s="3">
        <v>43048</v>
      </c>
      <c r="D554" s="7" t="str">
        <f t="shared" si="16"/>
        <v>November</v>
      </c>
      <c r="E554" s="3">
        <f t="shared" si="17"/>
        <v>43069</v>
      </c>
      <c r="F554" s="3">
        <v>43078</v>
      </c>
      <c r="G554" t="s">
        <v>188</v>
      </c>
      <c r="H554" t="s">
        <v>495</v>
      </c>
      <c r="I554" t="s">
        <v>496</v>
      </c>
      <c r="J554" t="s">
        <v>26</v>
      </c>
      <c r="K554" t="s">
        <v>27</v>
      </c>
      <c r="L554" t="s">
        <v>1526</v>
      </c>
      <c r="M554" t="s">
        <v>54</v>
      </c>
      <c r="N554">
        <v>32216</v>
      </c>
      <c r="O554" t="s">
        <v>30</v>
      </c>
      <c r="P554" t="s">
        <v>1880</v>
      </c>
      <c r="Q554" t="s">
        <v>32</v>
      </c>
      <c r="R554" t="s">
        <v>65</v>
      </c>
      <c r="S554" t="s">
        <v>1881</v>
      </c>
      <c r="T554" s="4">
        <v>34.503999999999998</v>
      </c>
      <c r="U554">
        <v>1</v>
      </c>
      <c r="V554">
        <v>0.2</v>
      </c>
      <c r="W554" s="4">
        <v>6.0381999999999998</v>
      </c>
    </row>
    <row r="555" spans="1:23" x14ac:dyDescent="0.3">
      <c r="A555">
        <v>554</v>
      </c>
      <c r="B555" t="s">
        <v>1882</v>
      </c>
      <c r="C555" s="3">
        <v>43445</v>
      </c>
      <c r="D555" s="7" t="str">
        <f t="shared" si="16"/>
        <v>December</v>
      </c>
      <c r="E555" s="3">
        <f t="shared" si="17"/>
        <v>43465</v>
      </c>
      <c r="F555" s="3">
        <v>43566</v>
      </c>
      <c r="G555" t="s">
        <v>50</v>
      </c>
      <c r="H555" t="s">
        <v>1883</v>
      </c>
      <c r="I555" t="s">
        <v>1884</v>
      </c>
      <c r="J555" t="s">
        <v>26</v>
      </c>
      <c r="K555" t="s">
        <v>27</v>
      </c>
      <c r="L555" t="s">
        <v>184</v>
      </c>
      <c r="M555" t="s">
        <v>104</v>
      </c>
      <c r="N555">
        <v>77070</v>
      </c>
      <c r="O555" t="s">
        <v>105</v>
      </c>
      <c r="P555" t="s">
        <v>1885</v>
      </c>
      <c r="Q555" t="s">
        <v>46</v>
      </c>
      <c r="R555" t="s">
        <v>269</v>
      </c>
      <c r="S555" t="s">
        <v>1886</v>
      </c>
      <c r="T555" s="4">
        <v>10.824</v>
      </c>
      <c r="U555">
        <v>3</v>
      </c>
      <c r="V555">
        <v>0.2</v>
      </c>
      <c r="W555" s="4">
        <v>2.5707</v>
      </c>
    </row>
    <row r="556" spans="1:23" x14ac:dyDescent="0.3">
      <c r="A556">
        <v>555</v>
      </c>
      <c r="B556" t="s">
        <v>1887</v>
      </c>
      <c r="C556" s="3">
        <v>43591</v>
      </c>
      <c r="D556" s="7" t="str">
        <f t="shared" si="16"/>
        <v>May</v>
      </c>
      <c r="E556" s="3">
        <f t="shared" si="17"/>
        <v>43616</v>
      </c>
      <c r="F556" s="3">
        <v>42801</v>
      </c>
      <c r="G556" t="s">
        <v>23</v>
      </c>
      <c r="H556" t="s">
        <v>1362</v>
      </c>
      <c r="I556" t="s">
        <v>1363</v>
      </c>
      <c r="J556" t="s">
        <v>41</v>
      </c>
      <c r="K556" t="s">
        <v>27</v>
      </c>
      <c r="L556" t="s">
        <v>1888</v>
      </c>
      <c r="M556" t="s">
        <v>43</v>
      </c>
      <c r="N556">
        <v>92804</v>
      </c>
      <c r="O556" t="s">
        <v>44</v>
      </c>
      <c r="P556" t="s">
        <v>1889</v>
      </c>
      <c r="Q556" t="s">
        <v>46</v>
      </c>
      <c r="R556" t="s">
        <v>59</v>
      </c>
      <c r="S556" t="s">
        <v>1890</v>
      </c>
      <c r="T556" s="4">
        <v>1295.78</v>
      </c>
      <c r="U556">
        <v>2</v>
      </c>
      <c r="V556">
        <v>0</v>
      </c>
      <c r="W556" s="4">
        <v>310.98719999999997</v>
      </c>
    </row>
    <row r="557" spans="1:23" x14ac:dyDescent="0.3">
      <c r="A557">
        <v>556</v>
      </c>
      <c r="B557" t="s">
        <v>1891</v>
      </c>
      <c r="C557" s="3">
        <v>41701</v>
      </c>
      <c r="D557" s="7" t="str">
        <f t="shared" si="16"/>
        <v>March</v>
      </c>
      <c r="E557" s="3">
        <f t="shared" si="17"/>
        <v>41729</v>
      </c>
      <c r="F557" s="3">
        <v>41823</v>
      </c>
      <c r="G557" t="s">
        <v>23</v>
      </c>
      <c r="H557" t="s">
        <v>1892</v>
      </c>
      <c r="I557" t="s">
        <v>1893</v>
      </c>
      <c r="J557" t="s">
        <v>26</v>
      </c>
      <c r="K557" t="s">
        <v>27</v>
      </c>
      <c r="L557" t="s">
        <v>521</v>
      </c>
      <c r="M557" t="s">
        <v>88</v>
      </c>
      <c r="N557">
        <v>28403</v>
      </c>
      <c r="O557" t="s">
        <v>30</v>
      </c>
      <c r="P557" t="s">
        <v>1894</v>
      </c>
      <c r="Q557" t="s">
        <v>46</v>
      </c>
      <c r="R557" t="s">
        <v>68</v>
      </c>
      <c r="S557" t="s">
        <v>1895</v>
      </c>
      <c r="T557" s="4">
        <v>19.456</v>
      </c>
      <c r="U557">
        <v>4</v>
      </c>
      <c r="V557">
        <v>0.2</v>
      </c>
      <c r="W557" s="4">
        <v>3.4047999999999998</v>
      </c>
    </row>
    <row r="558" spans="1:23" x14ac:dyDescent="0.3">
      <c r="A558">
        <v>557</v>
      </c>
      <c r="B558" t="s">
        <v>1896</v>
      </c>
      <c r="C558" s="3">
        <v>42649</v>
      </c>
      <c r="D558" s="7" t="str">
        <f t="shared" si="16"/>
        <v>October</v>
      </c>
      <c r="E558" s="3">
        <f t="shared" si="17"/>
        <v>42674</v>
      </c>
      <c r="F558" s="3">
        <v>42800</v>
      </c>
      <c r="G558" t="s">
        <v>50</v>
      </c>
      <c r="H558" t="s">
        <v>1897</v>
      </c>
      <c r="I558" t="s">
        <v>1898</v>
      </c>
      <c r="J558" t="s">
        <v>26</v>
      </c>
      <c r="K558" t="s">
        <v>27</v>
      </c>
      <c r="L558" t="s">
        <v>42</v>
      </c>
      <c r="M558" t="s">
        <v>43</v>
      </c>
      <c r="N558">
        <v>90045</v>
      </c>
      <c r="O558" t="s">
        <v>44</v>
      </c>
      <c r="P558" t="s">
        <v>1899</v>
      </c>
      <c r="Q558" t="s">
        <v>46</v>
      </c>
      <c r="R558" t="s">
        <v>47</v>
      </c>
      <c r="S558" t="s">
        <v>1900</v>
      </c>
      <c r="T558" s="4">
        <v>20.7</v>
      </c>
      <c r="U558">
        <v>2</v>
      </c>
      <c r="V558">
        <v>0</v>
      </c>
      <c r="W558" s="4">
        <v>9.9359999999999999</v>
      </c>
    </row>
    <row r="559" spans="1:23" x14ac:dyDescent="0.3">
      <c r="A559">
        <v>558</v>
      </c>
      <c r="B559" t="s">
        <v>1896</v>
      </c>
      <c r="C559" s="3">
        <v>42649</v>
      </c>
      <c r="D559" s="7" t="str">
        <f t="shared" si="16"/>
        <v>October</v>
      </c>
      <c r="E559" s="3">
        <f t="shared" si="17"/>
        <v>42674</v>
      </c>
      <c r="F559" s="3">
        <v>42800</v>
      </c>
      <c r="G559" t="s">
        <v>50</v>
      </c>
      <c r="H559" t="s">
        <v>1897</v>
      </c>
      <c r="I559" t="s">
        <v>1898</v>
      </c>
      <c r="J559" t="s">
        <v>26</v>
      </c>
      <c r="K559" t="s">
        <v>27</v>
      </c>
      <c r="L559" t="s">
        <v>42</v>
      </c>
      <c r="M559" t="s">
        <v>43</v>
      </c>
      <c r="N559">
        <v>90045</v>
      </c>
      <c r="O559" t="s">
        <v>44</v>
      </c>
      <c r="P559" t="s">
        <v>1901</v>
      </c>
      <c r="Q559" t="s">
        <v>32</v>
      </c>
      <c r="R559" t="s">
        <v>56</v>
      </c>
      <c r="S559" t="s">
        <v>1902</v>
      </c>
      <c r="T559" s="4">
        <v>1335.68</v>
      </c>
      <c r="U559">
        <v>4</v>
      </c>
      <c r="V559">
        <v>0.2</v>
      </c>
      <c r="W559" s="4">
        <v>-217.048</v>
      </c>
    </row>
    <row r="560" spans="1:23" x14ac:dyDescent="0.3">
      <c r="A560">
        <v>559</v>
      </c>
      <c r="B560" t="s">
        <v>1896</v>
      </c>
      <c r="C560" s="3">
        <v>42649</v>
      </c>
      <c r="D560" s="7" t="str">
        <f t="shared" si="16"/>
        <v>October</v>
      </c>
      <c r="E560" s="3">
        <f t="shared" si="17"/>
        <v>42674</v>
      </c>
      <c r="F560" s="3">
        <v>42800</v>
      </c>
      <c r="G560" t="s">
        <v>50</v>
      </c>
      <c r="H560" t="s">
        <v>1897</v>
      </c>
      <c r="I560" t="s">
        <v>1898</v>
      </c>
      <c r="J560" t="s">
        <v>26</v>
      </c>
      <c r="K560" t="s">
        <v>27</v>
      </c>
      <c r="L560" t="s">
        <v>42</v>
      </c>
      <c r="M560" t="s">
        <v>43</v>
      </c>
      <c r="N560">
        <v>90045</v>
      </c>
      <c r="O560" t="s">
        <v>44</v>
      </c>
      <c r="P560" t="s">
        <v>1903</v>
      </c>
      <c r="Q560" t="s">
        <v>46</v>
      </c>
      <c r="R560" t="s">
        <v>90</v>
      </c>
      <c r="S560" t="s">
        <v>1904</v>
      </c>
      <c r="T560" s="4">
        <v>32.4</v>
      </c>
      <c r="U560">
        <v>5</v>
      </c>
      <c r="V560">
        <v>0</v>
      </c>
      <c r="W560" s="4">
        <v>15.552</v>
      </c>
    </row>
    <row r="561" spans="1:23" x14ac:dyDescent="0.3">
      <c r="A561">
        <v>560</v>
      </c>
      <c r="B561" t="s">
        <v>1905</v>
      </c>
      <c r="C561" s="3">
        <v>43323</v>
      </c>
      <c r="D561" s="7" t="str">
        <f t="shared" si="16"/>
        <v>August</v>
      </c>
      <c r="E561" s="3">
        <f t="shared" si="17"/>
        <v>43343</v>
      </c>
      <c r="F561" s="3">
        <v>43384</v>
      </c>
      <c r="G561" t="s">
        <v>23</v>
      </c>
      <c r="H561" t="s">
        <v>1906</v>
      </c>
      <c r="I561" t="s">
        <v>1907</v>
      </c>
      <c r="J561" t="s">
        <v>26</v>
      </c>
      <c r="K561" t="s">
        <v>27</v>
      </c>
      <c r="L561" t="s">
        <v>127</v>
      </c>
      <c r="M561" t="s">
        <v>43</v>
      </c>
      <c r="N561">
        <v>94110</v>
      </c>
      <c r="O561" t="s">
        <v>44</v>
      </c>
      <c r="P561" t="s">
        <v>1497</v>
      </c>
      <c r="Q561" t="s">
        <v>32</v>
      </c>
      <c r="R561" t="s">
        <v>65</v>
      </c>
      <c r="S561" t="s">
        <v>1498</v>
      </c>
      <c r="T561" s="4">
        <v>42.6</v>
      </c>
      <c r="U561">
        <v>3</v>
      </c>
      <c r="V561">
        <v>0</v>
      </c>
      <c r="W561" s="4">
        <v>16.614000000000001</v>
      </c>
    </row>
    <row r="562" spans="1:23" x14ac:dyDescent="0.3">
      <c r="A562">
        <v>561</v>
      </c>
      <c r="B562" t="s">
        <v>1905</v>
      </c>
      <c r="C562" s="3">
        <v>43323</v>
      </c>
      <c r="D562" s="7" t="str">
        <f t="shared" si="16"/>
        <v>August</v>
      </c>
      <c r="E562" s="3">
        <f t="shared" si="17"/>
        <v>43343</v>
      </c>
      <c r="F562" s="3">
        <v>43384</v>
      </c>
      <c r="G562" t="s">
        <v>23</v>
      </c>
      <c r="H562" t="s">
        <v>1906</v>
      </c>
      <c r="I562" t="s">
        <v>1907</v>
      </c>
      <c r="J562" t="s">
        <v>26</v>
      </c>
      <c r="K562" t="s">
        <v>27</v>
      </c>
      <c r="L562" t="s">
        <v>127</v>
      </c>
      <c r="M562" t="s">
        <v>43</v>
      </c>
      <c r="N562">
        <v>94110</v>
      </c>
      <c r="O562" t="s">
        <v>44</v>
      </c>
      <c r="P562" t="s">
        <v>1908</v>
      </c>
      <c r="Q562" t="s">
        <v>46</v>
      </c>
      <c r="R562" t="s">
        <v>75</v>
      </c>
      <c r="S562" t="s">
        <v>1909</v>
      </c>
      <c r="T562" s="4">
        <v>84.055999999999997</v>
      </c>
      <c r="U562">
        <v>7</v>
      </c>
      <c r="V562">
        <v>0.2</v>
      </c>
      <c r="W562" s="4">
        <v>27.318200000000001</v>
      </c>
    </row>
    <row r="563" spans="1:23" x14ac:dyDescent="0.3">
      <c r="A563">
        <v>562</v>
      </c>
      <c r="B563" t="s">
        <v>1910</v>
      </c>
      <c r="C563" s="3">
        <v>42044</v>
      </c>
      <c r="D563" s="7" t="str">
        <f t="shared" si="16"/>
        <v>February</v>
      </c>
      <c r="E563" s="3">
        <f t="shared" si="17"/>
        <v>42063</v>
      </c>
      <c r="F563" s="3">
        <v>42164</v>
      </c>
      <c r="G563" t="s">
        <v>23</v>
      </c>
      <c r="H563" t="s">
        <v>1911</v>
      </c>
      <c r="I563" t="s">
        <v>1912</v>
      </c>
      <c r="J563" t="s">
        <v>26</v>
      </c>
      <c r="K563" t="s">
        <v>27</v>
      </c>
      <c r="L563" t="s">
        <v>902</v>
      </c>
      <c r="M563" t="s">
        <v>54</v>
      </c>
      <c r="N563">
        <v>33614</v>
      </c>
      <c r="O563" t="s">
        <v>30</v>
      </c>
      <c r="P563" t="s">
        <v>1913</v>
      </c>
      <c r="Q563" t="s">
        <v>46</v>
      </c>
      <c r="R563" t="s">
        <v>78</v>
      </c>
      <c r="S563" t="s">
        <v>1914</v>
      </c>
      <c r="T563" s="4">
        <v>13</v>
      </c>
      <c r="U563">
        <v>5</v>
      </c>
      <c r="V563">
        <v>0.2</v>
      </c>
      <c r="W563" s="4">
        <v>1.3</v>
      </c>
    </row>
    <row r="564" spans="1:23" x14ac:dyDescent="0.3">
      <c r="A564">
        <v>563</v>
      </c>
      <c r="B564" t="s">
        <v>1910</v>
      </c>
      <c r="C564" s="3">
        <v>42044</v>
      </c>
      <c r="D564" s="7" t="str">
        <f t="shared" si="16"/>
        <v>February</v>
      </c>
      <c r="E564" s="3">
        <f t="shared" si="17"/>
        <v>42063</v>
      </c>
      <c r="F564" s="3">
        <v>42164</v>
      </c>
      <c r="G564" t="s">
        <v>23</v>
      </c>
      <c r="H564" t="s">
        <v>1911</v>
      </c>
      <c r="I564" t="s">
        <v>1912</v>
      </c>
      <c r="J564" t="s">
        <v>26</v>
      </c>
      <c r="K564" t="s">
        <v>27</v>
      </c>
      <c r="L564" t="s">
        <v>902</v>
      </c>
      <c r="M564" t="s">
        <v>54</v>
      </c>
      <c r="N564">
        <v>33614</v>
      </c>
      <c r="O564" t="s">
        <v>30</v>
      </c>
      <c r="P564" t="s">
        <v>1915</v>
      </c>
      <c r="Q564" t="s">
        <v>32</v>
      </c>
      <c r="R564" t="s">
        <v>65</v>
      </c>
      <c r="S564" t="s">
        <v>1916</v>
      </c>
      <c r="T564" s="4">
        <v>13.128</v>
      </c>
      <c r="U564">
        <v>3</v>
      </c>
      <c r="V564">
        <v>0.2</v>
      </c>
      <c r="W564" s="4">
        <v>3.7743000000000002</v>
      </c>
    </row>
    <row r="565" spans="1:23" x14ac:dyDescent="0.3">
      <c r="A565">
        <v>564</v>
      </c>
      <c r="B565" t="s">
        <v>1917</v>
      </c>
      <c r="C565" s="3">
        <v>42197</v>
      </c>
      <c r="D565" s="7" t="str">
        <f t="shared" si="16"/>
        <v>July</v>
      </c>
      <c r="E565" s="3">
        <f t="shared" si="17"/>
        <v>42216</v>
      </c>
      <c r="F565" s="3">
        <v>42259</v>
      </c>
      <c r="G565" t="s">
        <v>188</v>
      </c>
      <c r="H565" t="s">
        <v>1918</v>
      </c>
      <c r="I565" t="s">
        <v>1919</v>
      </c>
      <c r="J565" t="s">
        <v>26</v>
      </c>
      <c r="K565" t="s">
        <v>27</v>
      </c>
      <c r="L565" t="s">
        <v>95</v>
      </c>
      <c r="M565" t="s">
        <v>96</v>
      </c>
      <c r="N565">
        <v>98105</v>
      </c>
      <c r="O565" t="s">
        <v>44</v>
      </c>
      <c r="P565" t="s">
        <v>1920</v>
      </c>
      <c r="Q565" t="s">
        <v>46</v>
      </c>
      <c r="R565" t="s">
        <v>269</v>
      </c>
      <c r="S565" t="s">
        <v>1921</v>
      </c>
      <c r="T565" s="4">
        <v>3.96</v>
      </c>
      <c r="U565">
        <v>2</v>
      </c>
      <c r="V565">
        <v>0</v>
      </c>
      <c r="W565" s="4">
        <v>0</v>
      </c>
    </row>
    <row r="566" spans="1:23" x14ac:dyDescent="0.3">
      <c r="A566">
        <v>565</v>
      </c>
      <c r="B566" t="s">
        <v>1917</v>
      </c>
      <c r="C566" s="3">
        <v>42197</v>
      </c>
      <c r="D566" s="7" t="str">
        <f t="shared" si="16"/>
        <v>July</v>
      </c>
      <c r="E566" s="3">
        <f t="shared" si="17"/>
        <v>42216</v>
      </c>
      <c r="F566" s="3">
        <v>42259</v>
      </c>
      <c r="G566" t="s">
        <v>188</v>
      </c>
      <c r="H566" t="s">
        <v>1918</v>
      </c>
      <c r="I566" t="s">
        <v>1919</v>
      </c>
      <c r="J566" t="s">
        <v>26</v>
      </c>
      <c r="K566" t="s">
        <v>27</v>
      </c>
      <c r="L566" t="s">
        <v>95</v>
      </c>
      <c r="M566" t="s">
        <v>96</v>
      </c>
      <c r="N566">
        <v>98105</v>
      </c>
      <c r="O566" t="s">
        <v>44</v>
      </c>
      <c r="P566" t="s">
        <v>1143</v>
      </c>
      <c r="Q566" t="s">
        <v>46</v>
      </c>
      <c r="R566" t="s">
        <v>47</v>
      </c>
      <c r="S566" t="s">
        <v>1144</v>
      </c>
      <c r="T566" s="4">
        <v>2.61</v>
      </c>
      <c r="U566">
        <v>1</v>
      </c>
      <c r="V566">
        <v>0</v>
      </c>
      <c r="W566" s="4">
        <v>1.2005999999999999</v>
      </c>
    </row>
    <row r="567" spans="1:23" x14ac:dyDescent="0.3">
      <c r="A567">
        <v>566</v>
      </c>
      <c r="B567" t="s">
        <v>1922</v>
      </c>
      <c r="C567" s="3">
        <v>42928</v>
      </c>
      <c r="D567" s="7" t="str">
        <f t="shared" si="16"/>
        <v>July</v>
      </c>
      <c r="E567" s="3">
        <f t="shared" si="17"/>
        <v>42947</v>
      </c>
      <c r="F567" s="3">
        <v>43020</v>
      </c>
      <c r="G567" t="s">
        <v>188</v>
      </c>
      <c r="H567" t="s">
        <v>1923</v>
      </c>
      <c r="I567" t="s">
        <v>1924</v>
      </c>
      <c r="J567" t="s">
        <v>26</v>
      </c>
      <c r="K567" t="s">
        <v>27</v>
      </c>
      <c r="L567" t="s">
        <v>42</v>
      </c>
      <c r="M567" t="s">
        <v>43</v>
      </c>
      <c r="N567">
        <v>90008</v>
      </c>
      <c r="O567" t="s">
        <v>44</v>
      </c>
      <c r="P567" t="s">
        <v>1925</v>
      </c>
      <c r="Q567" t="s">
        <v>71</v>
      </c>
      <c r="R567" t="s">
        <v>72</v>
      </c>
      <c r="S567" t="s">
        <v>1926</v>
      </c>
      <c r="T567" s="4">
        <v>374.37599999999998</v>
      </c>
      <c r="U567">
        <v>3</v>
      </c>
      <c r="V567">
        <v>0.2</v>
      </c>
      <c r="W567" s="4">
        <v>46.796999999999997</v>
      </c>
    </row>
    <row r="568" spans="1:23" x14ac:dyDescent="0.3">
      <c r="A568">
        <v>567</v>
      </c>
      <c r="B568" t="s">
        <v>1927</v>
      </c>
      <c r="C568" s="3">
        <v>42745</v>
      </c>
      <c r="D568" s="7" t="str">
        <f t="shared" si="16"/>
        <v>January</v>
      </c>
      <c r="E568" s="3">
        <f t="shared" si="17"/>
        <v>42766</v>
      </c>
      <c r="F568" s="3">
        <v>42957</v>
      </c>
      <c r="G568" t="s">
        <v>50</v>
      </c>
      <c r="H568" t="s">
        <v>1928</v>
      </c>
      <c r="I568" t="s">
        <v>1929</v>
      </c>
      <c r="J568" t="s">
        <v>41</v>
      </c>
      <c r="K568" t="s">
        <v>27</v>
      </c>
      <c r="L568" t="s">
        <v>95</v>
      </c>
      <c r="M568" t="s">
        <v>96</v>
      </c>
      <c r="N568">
        <v>98105</v>
      </c>
      <c r="O568" t="s">
        <v>44</v>
      </c>
      <c r="P568" t="s">
        <v>1930</v>
      </c>
      <c r="Q568" t="s">
        <v>46</v>
      </c>
      <c r="R568" t="s">
        <v>90</v>
      </c>
      <c r="S568" t="s">
        <v>1931</v>
      </c>
      <c r="T568" s="4">
        <v>91.84</v>
      </c>
      <c r="U568">
        <v>8</v>
      </c>
      <c r="V568">
        <v>0</v>
      </c>
      <c r="W568" s="4">
        <v>45.001600000000003</v>
      </c>
    </row>
    <row r="569" spans="1:23" x14ac:dyDescent="0.3">
      <c r="A569">
        <v>568</v>
      </c>
      <c r="B569" t="s">
        <v>1927</v>
      </c>
      <c r="C569" s="3">
        <v>42745</v>
      </c>
      <c r="D569" s="7" t="str">
        <f t="shared" si="16"/>
        <v>January</v>
      </c>
      <c r="E569" s="3">
        <f t="shared" si="17"/>
        <v>42766</v>
      </c>
      <c r="F569" s="3">
        <v>42957</v>
      </c>
      <c r="G569" t="s">
        <v>50</v>
      </c>
      <c r="H569" t="s">
        <v>1928</v>
      </c>
      <c r="I569" t="s">
        <v>1929</v>
      </c>
      <c r="J569" t="s">
        <v>41</v>
      </c>
      <c r="K569" t="s">
        <v>27</v>
      </c>
      <c r="L569" t="s">
        <v>95</v>
      </c>
      <c r="M569" t="s">
        <v>96</v>
      </c>
      <c r="N569">
        <v>98105</v>
      </c>
      <c r="O569" t="s">
        <v>44</v>
      </c>
      <c r="P569" t="s">
        <v>1932</v>
      </c>
      <c r="Q569" t="s">
        <v>46</v>
      </c>
      <c r="R569" t="s">
        <v>75</v>
      </c>
      <c r="S569" t="s">
        <v>1933</v>
      </c>
      <c r="T569" s="4">
        <v>81.087999999999994</v>
      </c>
      <c r="U569">
        <v>7</v>
      </c>
      <c r="V569">
        <v>0.2</v>
      </c>
      <c r="W569" s="4">
        <v>27.3672</v>
      </c>
    </row>
    <row r="570" spans="1:23" x14ac:dyDescent="0.3">
      <c r="A570">
        <v>569</v>
      </c>
      <c r="B570" t="s">
        <v>1927</v>
      </c>
      <c r="C570" s="3">
        <v>42745</v>
      </c>
      <c r="D570" s="7" t="str">
        <f t="shared" si="16"/>
        <v>January</v>
      </c>
      <c r="E570" s="3">
        <f t="shared" si="17"/>
        <v>42766</v>
      </c>
      <c r="F570" s="3">
        <v>42957</v>
      </c>
      <c r="G570" t="s">
        <v>50</v>
      </c>
      <c r="H570" t="s">
        <v>1928</v>
      </c>
      <c r="I570" t="s">
        <v>1929</v>
      </c>
      <c r="J570" t="s">
        <v>41</v>
      </c>
      <c r="K570" t="s">
        <v>27</v>
      </c>
      <c r="L570" t="s">
        <v>95</v>
      </c>
      <c r="M570" t="s">
        <v>96</v>
      </c>
      <c r="N570">
        <v>98105</v>
      </c>
      <c r="O570" t="s">
        <v>44</v>
      </c>
      <c r="P570" t="s">
        <v>1934</v>
      </c>
      <c r="Q570" t="s">
        <v>46</v>
      </c>
      <c r="R570" t="s">
        <v>90</v>
      </c>
      <c r="S570" t="s">
        <v>1935</v>
      </c>
      <c r="T570" s="4">
        <v>19.440000000000001</v>
      </c>
      <c r="U570">
        <v>3</v>
      </c>
      <c r="V570">
        <v>0</v>
      </c>
      <c r="W570" s="4">
        <v>9.3312000000000008</v>
      </c>
    </row>
    <row r="571" spans="1:23" x14ac:dyDescent="0.3">
      <c r="A571">
        <v>570</v>
      </c>
      <c r="B571" t="s">
        <v>1927</v>
      </c>
      <c r="C571" s="3">
        <v>42745</v>
      </c>
      <c r="D571" s="7" t="str">
        <f t="shared" si="16"/>
        <v>January</v>
      </c>
      <c r="E571" s="3">
        <f t="shared" si="17"/>
        <v>42766</v>
      </c>
      <c r="F571" s="3">
        <v>42957</v>
      </c>
      <c r="G571" t="s">
        <v>50</v>
      </c>
      <c r="H571" t="s">
        <v>1928</v>
      </c>
      <c r="I571" t="s">
        <v>1929</v>
      </c>
      <c r="J571" t="s">
        <v>41</v>
      </c>
      <c r="K571" t="s">
        <v>27</v>
      </c>
      <c r="L571" t="s">
        <v>95</v>
      </c>
      <c r="M571" t="s">
        <v>96</v>
      </c>
      <c r="N571">
        <v>98105</v>
      </c>
      <c r="O571" t="s">
        <v>44</v>
      </c>
      <c r="P571" t="s">
        <v>1936</v>
      </c>
      <c r="Q571" t="s">
        <v>32</v>
      </c>
      <c r="R571" t="s">
        <v>36</v>
      </c>
      <c r="S571" t="s">
        <v>1937</v>
      </c>
      <c r="T571" s="4">
        <v>451.15199999999999</v>
      </c>
      <c r="U571">
        <v>3</v>
      </c>
      <c r="V571">
        <v>0.2</v>
      </c>
      <c r="W571" s="4">
        <v>0</v>
      </c>
    </row>
    <row r="572" spans="1:23" x14ac:dyDescent="0.3">
      <c r="A572">
        <v>571</v>
      </c>
      <c r="B572" t="s">
        <v>1938</v>
      </c>
      <c r="C572" s="3">
        <v>43567</v>
      </c>
      <c r="D572" s="7" t="str">
        <f t="shared" si="16"/>
        <v>April</v>
      </c>
      <c r="E572" s="3">
        <f t="shared" si="17"/>
        <v>43585</v>
      </c>
      <c r="F572" s="3">
        <v>43191</v>
      </c>
      <c r="G572" t="s">
        <v>50</v>
      </c>
      <c r="H572" t="s">
        <v>1939</v>
      </c>
      <c r="I572" t="s">
        <v>1940</v>
      </c>
      <c r="J572" t="s">
        <v>26</v>
      </c>
      <c r="K572" t="s">
        <v>27</v>
      </c>
      <c r="L572" t="s">
        <v>266</v>
      </c>
      <c r="M572" t="s">
        <v>267</v>
      </c>
      <c r="N572">
        <v>10024</v>
      </c>
      <c r="O572" t="s">
        <v>148</v>
      </c>
      <c r="P572" t="s">
        <v>1899</v>
      </c>
      <c r="Q572" t="s">
        <v>46</v>
      </c>
      <c r="R572" t="s">
        <v>47</v>
      </c>
      <c r="S572" t="s">
        <v>1900</v>
      </c>
      <c r="T572" s="4">
        <v>72.45</v>
      </c>
      <c r="U572">
        <v>7</v>
      </c>
      <c r="V572">
        <v>0</v>
      </c>
      <c r="W572" s="4">
        <v>34.776000000000003</v>
      </c>
    </row>
    <row r="573" spans="1:23" x14ac:dyDescent="0.3">
      <c r="A573">
        <v>572</v>
      </c>
      <c r="B573" t="s">
        <v>1938</v>
      </c>
      <c r="C573" s="3">
        <v>43567</v>
      </c>
      <c r="D573" s="7" t="str">
        <f t="shared" si="16"/>
        <v>April</v>
      </c>
      <c r="E573" s="3">
        <f t="shared" si="17"/>
        <v>43585</v>
      </c>
      <c r="F573" s="3">
        <v>43191</v>
      </c>
      <c r="G573" t="s">
        <v>50</v>
      </c>
      <c r="H573" t="s">
        <v>1939</v>
      </c>
      <c r="I573" t="s">
        <v>1940</v>
      </c>
      <c r="J573" t="s">
        <v>26</v>
      </c>
      <c r="K573" t="s">
        <v>27</v>
      </c>
      <c r="L573" t="s">
        <v>266</v>
      </c>
      <c r="M573" t="s">
        <v>267</v>
      </c>
      <c r="N573">
        <v>10024</v>
      </c>
      <c r="O573" t="s">
        <v>148</v>
      </c>
      <c r="P573" t="s">
        <v>869</v>
      </c>
      <c r="Q573" t="s">
        <v>46</v>
      </c>
      <c r="R573" t="s">
        <v>269</v>
      </c>
      <c r="S573" t="s">
        <v>870</v>
      </c>
      <c r="T573" s="4">
        <v>13.96</v>
      </c>
      <c r="U573">
        <v>4</v>
      </c>
      <c r="V573">
        <v>0</v>
      </c>
      <c r="W573" s="4">
        <v>6.4215999999999998</v>
      </c>
    </row>
    <row r="574" spans="1:23" x14ac:dyDescent="0.3">
      <c r="A574">
        <v>573</v>
      </c>
      <c r="B574" t="s">
        <v>1938</v>
      </c>
      <c r="C574" s="3">
        <v>43567</v>
      </c>
      <c r="D574" s="7" t="str">
        <f t="shared" si="16"/>
        <v>April</v>
      </c>
      <c r="E574" s="3">
        <f t="shared" si="17"/>
        <v>43585</v>
      </c>
      <c r="F574" s="3">
        <v>43191</v>
      </c>
      <c r="G574" t="s">
        <v>50</v>
      </c>
      <c r="H574" t="s">
        <v>1939</v>
      </c>
      <c r="I574" t="s">
        <v>1940</v>
      </c>
      <c r="J574" t="s">
        <v>26</v>
      </c>
      <c r="K574" t="s">
        <v>27</v>
      </c>
      <c r="L574" t="s">
        <v>266</v>
      </c>
      <c r="M574" t="s">
        <v>267</v>
      </c>
      <c r="N574">
        <v>10024</v>
      </c>
      <c r="O574" t="s">
        <v>148</v>
      </c>
      <c r="P574" t="s">
        <v>1216</v>
      </c>
      <c r="Q574" t="s">
        <v>46</v>
      </c>
      <c r="R574" t="s">
        <v>75</v>
      </c>
      <c r="S574" t="s">
        <v>1217</v>
      </c>
      <c r="T574" s="4">
        <v>33.264000000000003</v>
      </c>
      <c r="U574">
        <v>7</v>
      </c>
      <c r="V574">
        <v>0.2</v>
      </c>
      <c r="W574" s="4">
        <v>11.226599999999999</v>
      </c>
    </row>
    <row r="575" spans="1:23" x14ac:dyDescent="0.3">
      <c r="A575">
        <v>574</v>
      </c>
      <c r="B575" t="s">
        <v>1938</v>
      </c>
      <c r="C575" s="3">
        <v>43567</v>
      </c>
      <c r="D575" s="7" t="str">
        <f t="shared" si="16"/>
        <v>April</v>
      </c>
      <c r="E575" s="3">
        <f t="shared" si="17"/>
        <v>43585</v>
      </c>
      <c r="F575" s="3">
        <v>43191</v>
      </c>
      <c r="G575" t="s">
        <v>50</v>
      </c>
      <c r="H575" t="s">
        <v>1939</v>
      </c>
      <c r="I575" t="s">
        <v>1940</v>
      </c>
      <c r="J575" t="s">
        <v>26</v>
      </c>
      <c r="K575" t="s">
        <v>27</v>
      </c>
      <c r="L575" t="s">
        <v>266</v>
      </c>
      <c r="M575" t="s">
        <v>267</v>
      </c>
      <c r="N575">
        <v>10024</v>
      </c>
      <c r="O575" t="s">
        <v>148</v>
      </c>
      <c r="P575" t="s">
        <v>1941</v>
      </c>
      <c r="Q575" t="s">
        <v>71</v>
      </c>
      <c r="R575" t="s">
        <v>72</v>
      </c>
      <c r="S575" t="s">
        <v>1942</v>
      </c>
      <c r="T575" s="4">
        <v>14.85</v>
      </c>
      <c r="U575">
        <v>3</v>
      </c>
      <c r="V575">
        <v>0</v>
      </c>
      <c r="W575" s="4">
        <v>4.0095000000000001</v>
      </c>
    </row>
    <row r="576" spans="1:23" x14ac:dyDescent="0.3">
      <c r="A576">
        <v>575</v>
      </c>
      <c r="B576" t="s">
        <v>1943</v>
      </c>
      <c r="C576" s="3">
        <v>42440</v>
      </c>
      <c r="D576" s="7" t="str">
        <f t="shared" si="16"/>
        <v>March</v>
      </c>
      <c r="E576" s="3">
        <f t="shared" si="17"/>
        <v>42460</v>
      </c>
      <c r="F576" s="3">
        <v>42562</v>
      </c>
      <c r="G576" t="s">
        <v>50</v>
      </c>
      <c r="H576" t="s">
        <v>1944</v>
      </c>
      <c r="I576" t="s">
        <v>1945</v>
      </c>
      <c r="J576" t="s">
        <v>26</v>
      </c>
      <c r="K576" t="s">
        <v>27</v>
      </c>
      <c r="L576" t="s">
        <v>1946</v>
      </c>
      <c r="M576" t="s">
        <v>96</v>
      </c>
      <c r="N576">
        <v>98270</v>
      </c>
      <c r="O576" t="s">
        <v>44</v>
      </c>
      <c r="P576" t="s">
        <v>1947</v>
      </c>
      <c r="Q576" t="s">
        <v>46</v>
      </c>
      <c r="R576" t="s">
        <v>68</v>
      </c>
      <c r="S576" t="s">
        <v>1948</v>
      </c>
      <c r="T576" s="4">
        <v>8.82</v>
      </c>
      <c r="U576">
        <v>3</v>
      </c>
      <c r="V576">
        <v>0</v>
      </c>
      <c r="W576" s="4">
        <v>2.3814000000000002</v>
      </c>
    </row>
    <row r="577" spans="1:23" x14ac:dyDescent="0.3">
      <c r="A577">
        <v>576</v>
      </c>
      <c r="B577" t="s">
        <v>1949</v>
      </c>
      <c r="C577" s="3">
        <v>42530</v>
      </c>
      <c r="D577" s="7" t="str">
        <f t="shared" si="16"/>
        <v>June</v>
      </c>
      <c r="E577" s="3">
        <f t="shared" si="17"/>
        <v>42551</v>
      </c>
      <c r="F577" s="3">
        <v>42652</v>
      </c>
      <c r="G577" t="s">
        <v>23</v>
      </c>
      <c r="H577" t="s">
        <v>1950</v>
      </c>
      <c r="I577" t="s">
        <v>1951</v>
      </c>
      <c r="J577" t="s">
        <v>26</v>
      </c>
      <c r="K577" t="s">
        <v>27</v>
      </c>
      <c r="L577" t="s">
        <v>1176</v>
      </c>
      <c r="M577" t="s">
        <v>43</v>
      </c>
      <c r="N577">
        <v>90805</v>
      </c>
      <c r="O577" t="s">
        <v>44</v>
      </c>
      <c r="P577" t="s">
        <v>1930</v>
      </c>
      <c r="Q577" t="s">
        <v>46</v>
      </c>
      <c r="R577" t="s">
        <v>90</v>
      </c>
      <c r="S577" t="s">
        <v>1931</v>
      </c>
      <c r="T577" s="4">
        <v>160.72</v>
      </c>
      <c r="U577">
        <v>14</v>
      </c>
      <c r="V577">
        <v>0</v>
      </c>
      <c r="W577" s="4">
        <v>78.752799999999993</v>
      </c>
    </row>
    <row r="578" spans="1:23" x14ac:dyDescent="0.3">
      <c r="A578">
        <v>577</v>
      </c>
      <c r="B578" t="s">
        <v>1949</v>
      </c>
      <c r="C578" s="3">
        <v>42530</v>
      </c>
      <c r="D578" s="7" t="str">
        <f t="shared" si="16"/>
        <v>June</v>
      </c>
      <c r="E578" s="3">
        <f t="shared" si="17"/>
        <v>42551</v>
      </c>
      <c r="F578" s="3">
        <v>42652</v>
      </c>
      <c r="G578" t="s">
        <v>23</v>
      </c>
      <c r="H578" t="s">
        <v>1950</v>
      </c>
      <c r="I578" t="s">
        <v>1951</v>
      </c>
      <c r="J578" t="s">
        <v>26</v>
      </c>
      <c r="K578" t="s">
        <v>27</v>
      </c>
      <c r="L578" t="s">
        <v>1176</v>
      </c>
      <c r="M578" t="s">
        <v>43</v>
      </c>
      <c r="N578">
        <v>90805</v>
      </c>
      <c r="O578" t="s">
        <v>44</v>
      </c>
      <c r="P578" t="s">
        <v>1952</v>
      </c>
      <c r="Q578" t="s">
        <v>46</v>
      </c>
      <c r="R578" t="s">
        <v>90</v>
      </c>
      <c r="S578" t="s">
        <v>1953</v>
      </c>
      <c r="T578" s="4">
        <v>19.920000000000002</v>
      </c>
      <c r="U578">
        <v>4</v>
      </c>
      <c r="V578">
        <v>0</v>
      </c>
      <c r="W578" s="4">
        <v>9.7607999999999997</v>
      </c>
    </row>
    <row r="579" spans="1:23" x14ac:dyDescent="0.3">
      <c r="A579">
        <v>578</v>
      </c>
      <c r="B579" t="s">
        <v>1949</v>
      </c>
      <c r="C579" s="3">
        <v>42530</v>
      </c>
      <c r="D579" s="7" t="str">
        <f t="shared" ref="D579:D642" si="18">TEXT(C579,"mmmm")</f>
        <v>June</v>
      </c>
      <c r="E579" s="3">
        <f t="shared" ref="E579:E642" si="19">EOMONTH(C579,0)</f>
        <v>42551</v>
      </c>
      <c r="F579" s="3">
        <v>42652</v>
      </c>
      <c r="G579" t="s">
        <v>23</v>
      </c>
      <c r="H579" t="s">
        <v>1950</v>
      </c>
      <c r="I579" t="s">
        <v>1951</v>
      </c>
      <c r="J579" t="s">
        <v>26</v>
      </c>
      <c r="K579" t="s">
        <v>27</v>
      </c>
      <c r="L579" t="s">
        <v>1176</v>
      </c>
      <c r="M579" t="s">
        <v>43</v>
      </c>
      <c r="N579">
        <v>90805</v>
      </c>
      <c r="O579" t="s">
        <v>44</v>
      </c>
      <c r="P579" t="s">
        <v>1954</v>
      </c>
      <c r="Q579" t="s">
        <v>46</v>
      </c>
      <c r="R579" t="s">
        <v>579</v>
      </c>
      <c r="S579" t="s">
        <v>1955</v>
      </c>
      <c r="T579" s="4">
        <v>7.3</v>
      </c>
      <c r="U579">
        <v>2</v>
      </c>
      <c r="V579">
        <v>0</v>
      </c>
      <c r="W579" s="4">
        <v>2.19</v>
      </c>
    </row>
    <row r="580" spans="1:23" x14ac:dyDescent="0.3">
      <c r="A580">
        <v>579</v>
      </c>
      <c r="B580" t="s">
        <v>1956</v>
      </c>
      <c r="C580" s="3">
        <v>43319</v>
      </c>
      <c r="D580" s="7" t="str">
        <f t="shared" si="18"/>
        <v>August</v>
      </c>
      <c r="E580" s="3">
        <f t="shared" si="19"/>
        <v>43343</v>
      </c>
      <c r="F580" s="3">
        <v>43503</v>
      </c>
      <c r="G580" t="s">
        <v>50</v>
      </c>
      <c r="H580" t="s">
        <v>1957</v>
      </c>
      <c r="I580" t="s">
        <v>1958</v>
      </c>
      <c r="J580" t="s">
        <v>26</v>
      </c>
      <c r="K580" t="s">
        <v>27</v>
      </c>
      <c r="L580" t="s">
        <v>303</v>
      </c>
      <c r="M580" t="s">
        <v>211</v>
      </c>
      <c r="N580">
        <v>60610</v>
      </c>
      <c r="O580" t="s">
        <v>105</v>
      </c>
      <c r="P580" t="s">
        <v>547</v>
      </c>
      <c r="Q580" t="s">
        <v>46</v>
      </c>
      <c r="R580" t="s">
        <v>59</v>
      </c>
      <c r="S580" t="s">
        <v>548</v>
      </c>
      <c r="T580" s="4">
        <v>69.712000000000003</v>
      </c>
      <c r="U580">
        <v>2</v>
      </c>
      <c r="V580">
        <v>0.2</v>
      </c>
      <c r="W580" s="4">
        <v>8.7140000000000004</v>
      </c>
    </row>
    <row r="581" spans="1:23" x14ac:dyDescent="0.3">
      <c r="A581">
        <v>580</v>
      </c>
      <c r="B581" t="s">
        <v>1956</v>
      </c>
      <c r="C581" s="3">
        <v>43319</v>
      </c>
      <c r="D581" s="7" t="str">
        <f t="shared" si="18"/>
        <v>August</v>
      </c>
      <c r="E581" s="3">
        <f t="shared" si="19"/>
        <v>43343</v>
      </c>
      <c r="F581" s="3">
        <v>43503</v>
      </c>
      <c r="G581" t="s">
        <v>50</v>
      </c>
      <c r="H581" t="s">
        <v>1957</v>
      </c>
      <c r="I581" t="s">
        <v>1958</v>
      </c>
      <c r="J581" t="s">
        <v>26</v>
      </c>
      <c r="K581" t="s">
        <v>27</v>
      </c>
      <c r="L581" t="s">
        <v>303</v>
      </c>
      <c r="M581" t="s">
        <v>211</v>
      </c>
      <c r="N581">
        <v>60610</v>
      </c>
      <c r="O581" t="s">
        <v>105</v>
      </c>
      <c r="P581" t="s">
        <v>1959</v>
      </c>
      <c r="Q581" t="s">
        <v>32</v>
      </c>
      <c r="R581" t="s">
        <v>65</v>
      </c>
      <c r="S581" t="s">
        <v>1960</v>
      </c>
      <c r="T581" s="4">
        <v>8.7919999999999998</v>
      </c>
      <c r="U581">
        <v>1</v>
      </c>
      <c r="V581">
        <v>0.6</v>
      </c>
      <c r="W581" s="4">
        <v>-5.7148000000000003</v>
      </c>
    </row>
    <row r="582" spans="1:23" x14ac:dyDescent="0.3">
      <c r="A582">
        <v>581</v>
      </c>
      <c r="B582" t="s">
        <v>1961</v>
      </c>
      <c r="C582" s="3">
        <v>42286</v>
      </c>
      <c r="D582" s="7" t="str">
        <f t="shared" si="18"/>
        <v>October</v>
      </c>
      <c r="E582" s="3">
        <f t="shared" si="19"/>
        <v>42308</v>
      </c>
      <c r="F582" s="3">
        <v>42409</v>
      </c>
      <c r="G582" t="s">
        <v>50</v>
      </c>
      <c r="H582" t="s">
        <v>1962</v>
      </c>
      <c r="I582" t="s">
        <v>1963</v>
      </c>
      <c r="J582" t="s">
        <v>26</v>
      </c>
      <c r="K582" t="s">
        <v>27</v>
      </c>
      <c r="L582" t="s">
        <v>42</v>
      </c>
      <c r="M582" t="s">
        <v>43</v>
      </c>
      <c r="N582">
        <v>90004</v>
      </c>
      <c r="O582" t="s">
        <v>44</v>
      </c>
      <c r="P582" t="s">
        <v>1964</v>
      </c>
      <c r="Q582" t="s">
        <v>46</v>
      </c>
      <c r="R582" t="s">
        <v>579</v>
      </c>
      <c r="S582" t="s">
        <v>1965</v>
      </c>
      <c r="T582" s="4">
        <v>51.52</v>
      </c>
      <c r="U582">
        <v>4</v>
      </c>
      <c r="V582">
        <v>0</v>
      </c>
      <c r="W582" s="4">
        <v>1.5456000000000001</v>
      </c>
    </row>
    <row r="583" spans="1:23" x14ac:dyDescent="0.3">
      <c r="A583">
        <v>582</v>
      </c>
      <c r="B583" t="s">
        <v>1966</v>
      </c>
      <c r="C583" s="3">
        <v>42747</v>
      </c>
      <c r="D583" s="7" t="str">
        <f t="shared" si="18"/>
        <v>January</v>
      </c>
      <c r="E583" s="3">
        <f t="shared" si="19"/>
        <v>42766</v>
      </c>
      <c r="F583" s="3">
        <v>42867</v>
      </c>
      <c r="G583" t="s">
        <v>50</v>
      </c>
      <c r="H583" t="s">
        <v>1967</v>
      </c>
      <c r="I583" t="s">
        <v>1968</v>
      </c>
      <c r="J583" t="s">
        <v>26</v>
      </c>
      <c r="K583" t="s">
        <v>27</v>
      </c>
      <c r="L583" t="s">
        <v>809</v>
      </c>
      <c r="M583" t="s">
        <v>457</v>
      </c>
      <c r="N583">
        <v>80219</v>
      </c>
      <c r="O583" t="s">
        <v>44</v>
      </c>
      <c r="P583" t="s">
        <v>192</v>
      </c>
      <c r="Q583" t="s">
        <v>71</v>
      </c>
      <c r="R583" t="s">
        <v>72</v>
      </c>
      <c r="S583" t="s">
        <v>193</v>
      </c>
      <c r="T583" s="4">
        <v>470.37599999999998</v>
      </c>
      <c r="U583">
        <v>3</v>
      </c>
      <c r="V583">
        <v>0.2</v>
      </c>
      <c r="W583" s="4">
        <v>52.917299999999997</v>
      </c>
    </row>
    <row r="584" spans="1:23" x14ac:dyDescent="0.3">
      <c r="A584">
        <v>583</v>
      </c>
      <c r="B584" t="s">
        <v>1966</v>
      </c>
      <c r="C584" s="3">
        <v>42747</v>
      </c>
      <c r="D584" s="7" t="str">
        <f t="shared" si="18"/>
        <v>January</v>
      </c>
      <c r="E584" s="3">
        <f t="shared" si="19"/>
        <v>42766</v>
      </c>
      <c r="F584" s="3">
        <v>42867</v>
      </c>
      <c r="G584" t="s">
        <v>50</v>
      </c>
      <c r="H584" t="s">
        <v>1967</v>
      </c>
      <c r="I584" t="s">
        <v>1968</v>
      </c>
      <c r="J584" t="s">
        <v>26</v>
      </c>
      <c r="K584" t="s">
        <v>27</v>
      </c>
      <c r="L584" t="s">
        <v>809</v>
      </c>
      <c r="M584" t="s">
        <v>457</v>
      </c>
      <c r="N584">
        <v>80219</v>
      </c>
      <c r="O584" t="s">
        <v>44</v>
      </c>
      <c r="P584" t="s">
        <v>1969</v>
      </c>
      <c r="Q584" t="s">
        <v>71</v>
      </c>
      <c r="R584" t="s">
        <v>72</v>
      </c>
      <c r="S584" t="s">
        <v>1970</v>
      </c>
      <c r="T584" s="4">
        <v>105.584</v>
      </c>
      <c r="U584">
        <v>2</v>
      </c>
      <c r="V584">
        <v>0.2</v>
      </c>
      <c r="W584" s="4">
        <v>9.2385999999999999</v>
      </c>
    </row>
    <row r="585" spans="1:23" x14ac:dyDescent="0.3">
      <c r="A585">
        <v>584</v>
      </c>
      <c r="B585" t="s">
        <v>1966</v>
      </c>
      <c r="C585" s="3">
        <v>42747</v>
      </c>
      <c r="D585" s="7" t="str">
        <f t="shared" si="18"/>
        <v>January</v>
      </c>
      <c r="E585" s="3">
        <f t="shared" si="19"/>
        <v>42766</v>
      </c>
      <c r="F585" s="3">
        <v>42867</v>
      </c>
      <c r="G585" t="s">
        <v>50</v>
      </c>
      <c r="H585" t="s">
        <v>1967</v>
      </c>
      <c r="I585" t="s">
        <v>1968</v>
      </c>
      <c r="J585" t="s">
        <v>26</v>
      </c>
      <c r="K585" t="s">
        <v>27</v>
      </c>
      <c r="L585" t="s">
        <v>809</v>
      </c>
      <c r="M585" t="s">
        <v>457</v>
      </c>
      <c r="N585">
        <v>80219</v>
      </c>
      <c r="O585" t="s">
        <v>44</v>
      </c>
      <c r="P585" t="s">
        <v>437</v>
      </c>
      <c r="Q585" t="s">
        <v>46</v>
      </c>
      <c r="R585" t="s">
        <v>78</v>
      </c>
      <c r="S585" t="s">
        <v>438</v>
      </c>
      <c r="T585" s="4">
        <v>31.152000000000001</v>
      </c>
      <c r="U585">
        <v>3</v>
      </c>
      <c r="V585">
        <v>0.2</v>
      </c>
      <c r="W585" s="4">
        <v>3.5045999999999999</v>
      </c>
    </row>
    <row r="586" spans="1:23" x14ac:dyDescent="0.3">
      <c r="A586">
        <v>585</v>
      </c>
      <c r="B586" t="s">
        <v>1966</v>
      </c>
      <c r="C586" s="3">
        <v>42747</v>
      </c>
      <c r="D586" s="7" t="str">
        <f t="shared" si="18"/>
        <v>January</v>
      </c>
      <c r="E586" s="3">
        <f t="shared" si="19"/>
        <v>42766</v>
      </c>
      <c r="F586" s="3">
        <v>42867</v>
      </c>
      <c r="G586" t="s">
        <v>50</v>
      </c>
      <c r="H586" t="s">
        <v>1967</v>
      </c>
      <c r="I586" t="s">
        <v>1968</v>
      </c>
      <c r="J586" t="s">
        <v>26</v>
      </c>
      <c r="K586" t="s">
        <v>27</v>
      </c>
      <c r="L586" t="s">
        <v>809</v>
      </c>
      <c r="M586" t="s">
        <v>457</v>
      </c>
      <c r="N586">
        <v>80219</v>
      </c>
      <c r="O586" t="s">
        <v>44</v>
      </c>
      <c r="P586" t="s">
        <v>1971</v>
      </c>
      <c r="Q586" t="s">
        <v>46</v>
      </c>
      <c r="R586" t="s">
        <v>75</v>
      </c>
      <c r="S586" t="s">
        <v>1972</v>
      </c>
      <c r="T586" s="4">
        <v>6.7830000000000004</v>
      </c>
      <c r="U586">
        <v>7</v>
      </c>
      <c r="V586">
        <v>0.7</v>
      </c>
      <c r="W586" s="4">
        <v>-4.7481</v>
      </c>
    </row>
    <row r="587" spans="1:23" x14ac:dyDescent="0.3">
      <c r="A587">
        <v>586</v>
      </c>
      <c r="B587" t="s">
        <v>1966</v>
      </c>
      <c r="C587" s="3">
        <v>42747</v>
      </c>
      <c r="D587" s="7" t="str">
        <f t="shared" si="18"/>
        <v>January</v>
      </c>
      <c r="E587" s="3">
        <f t="shared" si="19"/>
        <v>42766</v>
      </c>
      <c r="F587" s="3">
        <v>42867</v>
      </c>
      <c r="G587" t="s">
        <v>50</v>
      </c>
      <c r="H587" t="s">
        <v>1967</v>
      </c>
      <c r="I587" t="s">
        <v>1968</v>
      </c>
      <c r="J587" t="s">
        <v>26</v>
      </c>
      <c r="K587" t="s">
        <v>27</v>
      </c>
      <c r="L587" t="s">
        <v>809</v>
      </c>
      <c r="M587" t="s">
        <v>457</v>
      </c>
      <c r="N587">
        <v>80219</v>
      </c>
      <c r="O587" t="s">
        <v>44</v>
      </c>
      <c r="P587" t="s">
        <v>626</v>
      </c>
      <c r="Q587" t="s">
        <v>71</v>
      </c>
      <c r="R587" t="s">
        <v>72</v>
      </c>
      <c r="S587" t="s">
        <v>627</v>
      </c>
      <c r="T587" s="4">
        <v>406.36799999999999</v>
      </c>
      <c r="U587">
        <v>4</v>
      </c>
      <c r="V587">
        <v>0.2</v>
      </c>
      <c r="W587" s="4">
        <v>30.477599999999999</v>
      </c>
    </row>
    <row r="588" spans="1:23" x14ac:dyDescent="0.3">
      <c r="A588">
        <v>587</v>
      </c>
      <c r="B588" t="s">
        <v>1973</v>
      </c>
      <c r="C588" s="3">
        <v>42070</v>
      </c>
      <c r="D588" s="7" t="str">
        <f t="shared" si="18"/>
        <v>March</v>
      </c>
      <c r="E588" s="3">
        <f t="shared" si="19"/>
        <v>42094</v>
      </c>
      <c r="F588" s="3">
        <v>42254</v>
      </c>
      <c r="G588" t="s">
        <v>50</v>
      </c>
      <c r="H588" t="s">
        <v>1974</v>
      </c>
      <c r="I588" t="s">
        <v>1975</v>
      </c>
      <c r="J588" t="s">
        <v>26</v>
      </c>
      <c r="K588" t="s">
        <v>27</v>
      </c>
      <c r="L588" t="s">
        <v>1469</v>
      </c>
      <c r="M588" t="s">
        <v>29</v>
      </c>
      <c r="N588">
        <v>40475</v>
      </c>
      <c r="O588" t="s">
        <v>30</v>
      </c>
      <c r="P588" t="s">
        <v>1450</v>
      </c>
      <c r="Q588" t="s">
        <v>32</v>
      </c>
      <c r="R588" t="s">
        <v>36</v>
      </c>
      <c r="S588" t="s">
        <v>1451</v>
      </c>
      <c r="T588" s="4">
        <v>70.98</v>
      </c>
      <c r="U588">
        <v>1</v>
      </c>
      <c r="V588">
        <v>0</v>
      </c>
      <c r="W588" s="4">
        <v>4.9686000000000003</v>
      </c>
    </row>
    <row r="589" spans="1:23" x14ac:dyDescent="0.3">
      <c r="A589">
        <v>588</v>
      </c>
      <c r="B589" t="s">
        <v>1973</v>
      </c>
      <c r="C589" s="3">
        <v>42070</v>
      </c>
      <c r="D589" s="7" t="str">
        <f t="shared" si="18"/>
        <v>March</v>
      </c>
      <c r="E589" s="3">
        <f t="shared" si="19"/>
        <v>42094</v>
      </c>
      <c r="F589" s="3">
        <v>42254</v>
      </c>
      <c r="G589" t="s">
        <v>50</v>
      </c>
      <c r="H589" t="s">
        <v>1974</v>
      </c>
      <c r="I589" t="s">
        <v>1975</v>
      </c>
      <c r="J589" t="s">
        <v>26</v>
      </c>
      <c r="K589" t="s">
        <v>27</v>
      </c>
      <c r="L589" t="s">
        <v>1469</v>
      </c>
      <c r="M589" t="s">
        <v>29</v>
      </c>
      <c r="N589">
        <v>40475</v>
      </c>
      <c r="O589" t="s">
        <v>30</v>
      </c>
      <c r="P589" t="s">
        <v>1976</v>
      </c>
      <c r="Q589" t="s">
        <v>46</v>
      </c>
      <c r="R589" t="s">
        <v>47</v>
      </c>
      <c r="S589" t="s">
        <v>1977</v>
      </c>
      <c r="T589" s="4">
        <v>294.93</v>
      </c>
      <c r="U589">
        <v>3</v>
      </c>
      <c r="V589">
        <v>0</v>
      </c>
      <c r="W589" s="4">
        <v>144.51570000000001</v>
      </c>
    </row>
    <row r="590" spans="1:23" x14ac:dyDescent="0.3">
      <c r="A590">
        <v>589</v>
      </c>
      <c r="B590" t="s">
        <v>1978</v>
      </c>
      <c r="C590" s="3">
        <v>42950</v>
      </c>
      <c r="D590" s="7" t="str">
        <f t="shared" si="18"/>
        <v>August</v>
      </c>
      <c r="E590" s="3">
        <f t="shared" si="19"/>
        <v>42978</v>
      </c>
      <c r="F590" s="3">
        <v>43072</v>
      </c>
      <c r="G590" t="s">
        <v>50</v>
      </c>
      <c r="H590" t="s">
        <v>1979</v>
      </c>
      <c r="I590" t="s">
        <v>1980</v>
      </c>
      <c r="J590" t="s">
        <v>26</v>
      </c>
      <c r="K590" t="s">
        <v>27</v>
      </c>
      <c r="L590" t="s">
        <v>1981</v>
      </c>
      <c r="M590" t="s">
        <v>420</v>
      </c>
      <c r="N590">
        <v>97301</v>
      </c>
      <c r="O590" t="s">
        <v>44</v>
      </c>
      <c r="P590" t="s">
        <v>1982</v>
      </c>
      <c r="Q590" t="s">
        <v>71</v>
      </c>
      <c r="R590" t="s">
        <v>72</v>
      </c>
      <c r="S590" t="s">
        <v>1983</v>
      </c>
      <c r="T590" s="4">
        <v>84.784000000000006</v>
      </c>
      <c r="U590">
        <v>2</v>
      </c>
      <c r="V590">
        <v>0.2</v>
      </c>
      <c r="W590" s="4">
        <v>-20.136199999999999</v>
      </c>
    </row>
    <row r="591" spans="1:23" x14ac:dyDescent="0.3">
      <c r="A591">
        <v>590</v>
      </c>
      <c r="B591" t="s">
        <v>1978</v>
      </c>
      <c r="C591" s="3">
        <v>42950</v>
      </c>
      <c r="D591" s="7" t="str">
        <f t="shared" si="18"/>
        <v>August</v>
      </c>
      <c r="E591" s="3">
        <f t="shared" si="19"/>
        <v>42978</v>
      </c>
      <c r="F591" s="3">
        <v>43072</v>
      </c>
      <c r="G591" t="s">
        <v>50</v>
      </c>
      <c r="H591" t="s">
        <v>1979</v>
      </c>
      <c r="I591" t="s">
        <v>1980</v>
      </c>
      <c r="J591" t="s">
        <v>26</v>
      </c>
      <c r="K591" t="s">
        <v>27</v>
      </c>
      <c r="L591" t="s">
        <v>1981</v>
      </c>
      <c r="M591" t="s">
        <v>420</v>
      </c>
      <c r="N591">
        <v>97301</v>
      </c>
      <c r="O591" t="s">
        <v>44</v>
      </c>
      <c r="P591" t="s">
        <v>1984</v>
      </c>
      <c r="Q591" t="s">
        <v>46</v>
      </c>
      <c r="R591" t="s">
        <v>90</v>
      </c>
      <c r="S591" t="s">
        <v>1985</v>
      </c>
      <c r="T591" s="4">
        <v>20.736000000000001</v>
      </c>
      <c r="U591">
        <v>4</v>
      </c>
      <c r="V591">
        <v>0.2</v>
      </c>
      <c r="W591" s="4">
        <v>7.2576000000000001</v>
      </c>
    </row>
    <row r="592" spans="1:23" x14ac:dyDescent="0.3">
      <c r="A592">
        <v>591</v>
      </c>
      <c r="B592" t="s">
        <v>1978</v>
      </c>
      <c r="C592" s="3">
        <v>42950</v>
      </c>
      <c r="D592" s="7" t="str">
        <f t="shared" si="18"/>
        <v>August</v>
      </c>
      <c r="E592" s="3">
        <f t="shared" si="19"/>
        <v>42978</v>
      </c>
      <c r="F592" s="3">
        <v>43072</v>
      </c>
      <c r="G592" t="s">
        <v>50</v>
      </c>
      <c r="H592" t="s">
        <v>1979</v>
      </c>
      <c r="I592" t="s">
        <v>1980</v>
      </c>
      <c r="J592" t="s">
        <v>26</v>
      </c>
      <c r="K592" t="s">
        <v>27</v>
      </c>
      <c r="L592" t="s">
        <v>1981</v>
      </c>
      <c r="M592" t="s">
        <v>420</v>
      </c>
      <c r="N592">
        <v>97301</v>
      </c>
      <c r="O592" t="s">
        <v>44</v>
      </c>
      <c r="P592" t="s">
        <v>1717</v>
      </c>
      <c r="Q592" t="s">
        <v>46</v>
      </c>
      <c r="R592" t="s">
        <v>75</v>
      </c>
      <c r="S592" t="s">
        <v>1718</v>
      </c>
      <c r="T592" s="4">
        <v>16.821000000000002</v>
      </c>
      <c r="U592">
        <v>3</v>
      </c>
      <c r="V592">
        <v>0.7</v>
      </c>
      <c r="W592" s="4">
        <v>-12.896100000000001</v>
      </c>
    </row>
    <row r="593" spans="1:23" x14ac:dyDescent="0.3">
      <c r="A593">
        <v>592</v>
      </c>
      <c r="B593" t="s">
        <v>1978</v>
      </c>
      <c r="C593" s="3">
        <v>42950</v>
      </c>
      <c r="D593" s="7" t="str">
        <f t="shared" si="18"/>
        <v>August</v>
      </c>
      <c r="E593" s="3">
        <f t="shared" si="19"/>
        <v>42978</v>
      </c>
      <c r="F593" s="3">
        <v>43072</v>
      </c>
      <c r="G593" t="s">
        <v>50</v>
      </c>
      <c r="H593" t="s">
        <v>1979</v>
      </c>
      <c r="I593" t="s">
        <v>1980</v>
      </c>
      <c r="J593" t="s">
        <v>26</v>
      </c>
      <c r="K593" t="s">
        <v>27</v>
      </c>
      <c r="L593" t="s">
        <v>1981</v>
      </c>
      <c r="M593" t="s">
        <v>420</v>
      </c>
      <c r="N593">
        <v>97301</v>
      </c>
      <c r="O593" t="s">
        <v>44</v>
      </c>
      <c r="P593" t="s">
        <v>1986</v>
      </c>
      <c r="Q593" t="s">
        <v>46</v>
      </c>
      <c r="R593" t="s">
        <v>90</v>
      </c>
      <c r="S593" t="s">
        <v>1987</v>
      </c>
      <c r="T593" s="4">
        <v>10.368</v>
      </c>
      <c r="U593">
        <v>2</v>
      </c>
      <c r="V593">
        <v>0.2</v>
      </c>
      <c r="W593" s="4">
        <v>3.6288</v>
      </c>
    </row>
    <row r="594" spans="1:23" x14ac:dyDescent="0.3">
      <c r="A594">
        <v>593</v>
      </c>
      <c r="B594" t="s">
        <v>1988</v>
      </c>
      <c r="C594" s="3">
        <v>41883</v>
      </c>
      <c r="D594" s="7" t="str">
        <f t="shared" si="18"/>
        <v>September</v>
      </c>
      <c r="E594" s="3">
        <f t="shared" si="19"/>
        <v>41912</v>
      </c>
      <c r="F594" s="3">
        <v>42005</v>
      </c>
      <c r="G594" t="s">
        <v>50</v>
      </c>
      <c r="H594" t="s">
        <v>1989</v>
      </c>
      <c r="I594" t="s">
        <v>1990</v>
      </c>
      <c r="J594" t="s">
        <v>26</v>
      </c>
      <c r="K594" t="s">
        <v>27</v>
      </c>
      <c r="L594" t="s">
        <v>1991</v>
      </c>
      <c r="M594" t="s">
        <v>104</v>
      </c>
      <c r="N594">
        <v>78041</v>
      </c>
      <c r="O594" t="s">
        <v>105</v>
      </c>
      <c r="P594" t="s">
        <v>1992</v>
      </c>
      <c r="Q594" t="s">
        <v>46</v>
      </c>
      <c r="R594" t="s">
        <v>68</v>
      </c>
      <c r="S594" t="s">
        <v>1993</v>
      </c>
      <c r="T594" s="4">
        <v>9.3439999999999994</v>
      </c>
      <c r="U594">
        <v>2</v>
      </c>
      <c r="V594">
        <v>0.2</v>
      </c>
      <c r="W594" s="4">
        <v>1.1679999999999999</v>
      </c>
    </row>
    <row r="595" spans="1:23" x14ac:dyDescent="0.3">
      <c r="A595">
        <v>594</v>
      </c>
      <c r="B595" t="s">
        <v>1988</v>
      </c>
      <c r="C595" s="3">
        <v>41883</v>
      </c>
      <c r="D595" s="7" t="str">
        <f t="shared" si="18"/>
        <v>September</v>
      </c>
      <c r="E595" s="3">
        <f t="shared" si="19"/>
        <v>41912</v>
      </c>
      <c r="F595" s="3">
        <v>42005</v>
      </c>
      <c r="G595" t="s">
        <v>50</v>
      </c>
      <c r="H595" t="s">
        <v>1989</v>
      </c>
      <c r="I595" t="s">
        <v>1990</v>
      </c>
      <c r="J595" t="s">
        <v>26</v>
      </c>
      <c r="K595" t="s">
        <v>27</v>
      </c>
      <c r="L595" t="s">
        <v>1991</v>
      </c>
      <c r="M595" t="s">
        <v>104</v>
      </c>
      <c r="N595">
        <v>78041</v>
      </c>
      <c r="O595" t="s">
        <v>105</v>
      </c>
      <c r="P595" t="s">
        <v>846</v>
      </c>
      <c r="Q595" t="s">
        <v>71</v>
      </c>
      <c r="R595" t="s">
        <v>161</v>
      </c>
      <c r="S595" t="s">
        <v>847</v>
      </c>
      <c r="T595" s="4">
        <v>31.2</v>
      </c>
      <c r="U595">
        <v>3</v>
      </c>
      <c r="V595">
        <v>0.2</v>
      </c>
      <c r="W595" s="4">
        <v>9.75</v>
      </c>
    </row>
    <row r="596" spans="1:23" x14ac:dyDescent="0.3">
      <c r="A596">
        <v>595</v>
      </c>
      <c r="B596" t="s">
        <v>1994</v>
      </c>
      <c r="C596" s="3">
        <v>41859</v>
      </c>
      <c r="D596" s="7" t="str">
        <f t="shared" si="18"/>
        <v>August</v>
      </c>
      <c r="E596" s="3">
        <f t="shared" si="19"/>
        <v>41882</v>
      </c>
      <c r="F596" s="3">
        <v>42071</v>
      </c>
      <c r="G596" t="s">
        <v>50</v>
      </c>
      <c r="H596" t="s">
        <v>1995</v>
      </c>
      <c r="I596" t="s">
        <v>1996</v>
      </c>
      <c r="J596" t="s">
        <v>26</v>
      </c>
      <c r="K596" t="s">
        <v>27</v>
      </c>
      <c r="L596" t="s">
        <v>950</v>
      </c>
      <c r="M596" t="s">
        <v>43</v>
      </c>
      <c r="N596">
        <v>92024</v>
      </c>
      <c r="O596" t="s">
        <v>44</v>
      </c>
      <c r="P596" t="s">
        <v>1997</v>
      </c>
      <c r="Q596" t="s">
        <v>46</v>
      </c>
      <c r="R596" t="s">
        <v>78</v>
      </c>
      <c r="S596" t="s">
        <v>1998</v>
      </c>
      <c r="T596" s="4">
        <v>76.12</v>
      </c>
      <c r="U596">
        <v>2</v>
      </c>
      <c r="V596">
        <v>0</v>
      </c>
      <c r="W596" s="4">
        <v>22.0748</v>
      </c>
    </row>
    <row r="597" spans="1:23" x14ac:dyDescent="0.3">
      <c r="A597">
        <v>596</v>
      </c>
      <c r="B597" t="s">
        <v>1994</v>
      </c>
      <c r="C597" s="3">
        <v>41859</v>
      </c>
      <c r="D597" s="7" t="str">
        <f t="shared" si="18"/>
        <v>August</v>
      </c>
      <c r="E597" s="3">
        <f t="shared" si="19"/>
        <v>41882</v>
      </c>
      <c r="F597" s="3">
        <v>42071</v>
      </c>
      <c r="G597" t="s">
        <v>50</v>
      </c>
      <c r="H597" t="s">
        <v>1995</v>
      </c>
      <c r="I597" t="s">
        <v>1996</v>
      </c>
      <c r="J597" t="s">
        <v>26</v>
      </c>
      <c r="K597" t="s">
        <v>27</v>
      </c>
      <c r="L597" t="s">
        <v>950</v>
      </c>
      <c r="M597" t="s">
        <v>43</v>
      </c>
      <c r="N597">
        <v>92024</v>
      </c>
      <c r="O597" t="s">
        <v>44</v>
      </c>
      <c r="P597" t="s">
        <v>1437</v>
      </c>
      <c r="Q597" t="s">
        <v>71</v>
      </c>
      <c r="R597" t="s">
        <v>1219</v>
      </c>
      <c r="S597" t="s">
        <v>1438</v>
      </c>
      <c r="T597" s="4">
        <v>1199.9760000000001</v>
      </c>
      <c r="U597">
        <v>3</v>
      </c>
      <c r="V597">
        <v>0.2</v>
      </c>
      <c r="W597" s="4">
        <v>434.99130000000002</v>
      </c>
    </row>
    <row r="598" spans="1:23" x14ac:dyDescent="0.3">
      <c r="A598">
        <v>597</v>
      </c>
      <c r="B598" t="s">
        <v>1994</v>
      </c>
      <c r="C598" s="3">
        <v>41859</v>
      </c>
      <c r="D598" s="7" t="str">
        <f t="shared" si="18"/>
        <v>August</v>
      </c>
      <c r="E598" s="3">
        <f t="shared" si="19"/>
        <v>41882</v>
      </c>
      <c r="F598" s="3">
        <v>42071</v>
      </c>
      <c r="G598" t="s">
        <v>50</v>
      </c>
      <c r="H598" t="s">
        <v>1995</v>
      </c>
      <c r="I598" t="s">
        <v>1996</v>
      </c>
      <c r="J598" t="s">
        <v>26</v>
      </c>
      <c r="K598" t="s">
        <v>27</v>
      </c>
      <c r="L598" t="s">
        <v>950</v>
      </c>
      <c r="M598" t="s">
        <v>43</v>
      </c>
      <c r="N598">
        <v>92024</v>
      </c>
      <c r="O598" t="s">
        <v>44</v>
      </c>
      <c r="P598" t="s">
        <v>1155</v>
      </c>
      <c r="Q598" t="s">
        <v>71</v>
      </c>
      <c r="R598" t="s">
        <v>72</v>
      </c>
      <c r="S598" t="s">
        <v>1156</v>
      </c>
      <c r="T598" s="4">
        <v>445.96</v>
      </c>
      <c r="U598">
        <v>5</v>
      </c>
      <c r="V598">
        <v>0.2</v>
      </c>
      <c r="W598" s="4">
        <v>55.744999999999997</v>
      </c>
    </row>
    <row r="599" spans="1:23" x14ac:dyDescent="0.3">
      <c r="A599">
        <v>598</v>
      </c>
      <c r="B599" t="s">
        <v>1994</v>
      </c>
      <c r="C599" s="3">
        <v>41859</v>
      </c>
      <c r="D599" s="7" t="str">
        <f t="shared" si="18"/>
        <v>August</v>
      </c>
      <c r="E599" s="3">
        <f t="shared" si="19"/>
        <v>41882</v>
      </c>
      <c r="F599" s="3">
        <v>42071</v>
      </c>
      <c r="G599" t="s">
        <v>50</v>
      </c>
      <c r="H599" t="s">
        <v>1995</v>
      </c>
      <c r="I599" t="s">
        <v>1996</v>
      </c>
      <c r="J599" t="s">
        <v>26</v>
      </c>
      <c r="K599" t="s">
        <v>27</v>
      </c>
      <c r="L599" t="s">
        <v>950</v>
      </c>
      <c r="M599" t="s">
        <v>43</v>
      </c>
      <c r="N599">
        <v>92024</v>
      </c>
      <c r="O599" t="s">
        <v>44</v>
      </c>
      <c r="P599" t="s">
        <v>1999</v>
      </c>
      <c r="Q599" t="s">
        <v>32</v>
      </c>
      <c r="R599" t="s">
        <v>65</v>
      </c>
      <c r="S599" t="s">
        <v>2000</v>
      </c>
      <c r="T599" s="4">
        <v>327.76</v>
      </c>
      <c r="U599">
        <v>8</v>
      </c>
      <c r="V599">
        <v>0</v>
      </c>
      <c r="W599" s="4">
        <v>91.772800000000004</v>
      </c>
    </row>
    <row r="600" spans="1:23" x14ac:dyDescent="0.3">
      <c r="A600">
        <v>599</v>
      </c>
      <c r="B600" t="s">
        <v>2001</v>
      </c>
      <c r="C600" s="3">
        <v>42773</v>
      </c>
      <c r="D600" s="7" t="str">
        <f t="shared" si="18"/>
        <v>February</v>
      </c>
      <c r="E600" s="3">
        <f t="shared" si="19"/>
        <v>42794</v>
      </c>
      <c r="F600" s="3">
        <v>42832</v>
      </c>
      <c r="G600" t="s">
        <v>188</v>
      </c>
      <c r="H600" t="s">
        <v>2002</v>
      </c>
      <c r="I600" t="s">
        <v>2003</v>
      </c>
      <c r="J600" t="s">
        <v>26</v>
      </c>
      <c r="K600" t="s">
        <v>27</v>
      </c>
      <c r="L600" t="s">
        <v>146</v>
      </c>
      <c r="M600" t="s">
        <v>147</v>
      </c>
      <c r="N600">
        <v>19134</v>
      </c>
      <c r="O600" t="s">
        <v>148</v>
      </c>
      <c r="P600" t="s">
        <v>2004</v>
      </c>
      <c r="Q600" t="s">
        <v>46</v>
      </c>
      <c r="R600" t="s">
        <v>579</v>
      </c>
      <c r="S600" t="s">
        <v>2005</v>
      </c>
      <c r="T600" s="4">
        <v>11.632</v>
      </c>
      <c r="U600">
        <v>2</v>
      </c>
      <c r="V600">
        <v>0.2</v>
      </c>
      <c r="W600" s="4">
        <v>1.0178</v>
      </c>
    </row>
    <row r="601" spans="1:23" x14ac:dyDescent="0.3">
      <c r="A601">
        <v>600</v>
      </c>
      <c r="B601" t="s">
        <v>2006</v>
      </c>
      <c r="C601" s="3">
        <v>42832</v>
      </c>
      <c r="D601" s="7" t="str">
        <f t="shared" si="18"/>
        <v>April</v>
      </c>
      <c r="E601" s="3">
        <f t="shared" si="19"/>
        <v>42855</v>
      </c>
      <c r="F601" s="3">
        <v>42985</v>
      </c>
      <c r="G601" t="s">
        <v>50</v>
      </c>
      <c r="H601" t="s">
        <v>2007</v>
      </c>
      <c r="I601" t="s">
        <v>2008</v>
      </c>
      <c r="J601" t="s">
        <v>26</v>
      </c>
      <c r="K601" t="s">
        <v>27</v>
      </c>
      <c r="L601" t="s">
        <v>146</v>
      </c>
      <c r="M601" t="s">
        <v>147</v>
      </c>
      <c r="N601">
        <v>19120</v>
      </c>
      <c r="O601" t="s">
        <v>148</v>
      </c>
      <c r="P601" t="s">
        <v>2009</v>
      </c>
      <c r="Q601" t="s">
        <v>71</v>
      </c>
      <c r="R601" t="s">
        <v>72</v>
      </c>
      <c r="S601" t="s">
        <v>2010</v>
      </c>
      <c r="T601" s="4">
        <v>143.982</v>
      </c>
      <c r="U601">
        <v>3</v>
      </c>
      <c r="V601">
        <v>0.4</v>
      </c>
      <c r="W601" s="4">
        <v>-28.796399999999998</v>
      </c>
    </row>
    <row r="602" spans="1:23" x14ac:dyDescent="0.3">
      <c r="A602">
        <v>601</v>
      </c>
      <c r="B602" t="s">
        <v>2006</v>
      </c>
      <c r="C602" s="3">
        <v>42832</v>
      </c>
      <c r="D602" s="7" t="str">
        <f t="shared" si="18"/>
        <v>April</v>
      </c>
      <c r="E602" s="3">
        <f t="shared" si="19"/>
        <v>42855</v>
      </c>
      <c r="F602" s="3">
        <v>42985</v>
      </c>
      <c r="G602" t="s">
        <v>50</v>
      </c>
      <c r="H602" t="s">
        <v>2007</v>
      </c>
      <c r="I602" t="s">
        <v>2008</v>
      </c>
      <c r="J602" t="s">
        <v>26</v>
      </c>
      <c r="K602" t="s">
        <v>27</v>
      </c>
      <c r="L602" t="s">
        <v>146</v>
      </c>
      <c r="M602" t="s">
        <v>147</v>
      </c>
      <c r="N602">
        <v>19120</v>
      </c>
      <c r="O602" t="s">
        <v>148</v>
      </c>
      <c r="P602" t="s">
        <v>2011</v>
      </c>
      <c r="Q602" t="s">
        <v>71</v>
      </c>
      <c r="R602" t="s">
        <v>72</v>
      </c>
      <c r="S602" t="s">
        <v>2012</v>
      </c>
      <c r="T602" s="4">
        <v>494.37599999999998</v>
      </c>
      <c r="U602">
        <v>4</v>
      </c>
      <c r="V602">
        <v>0.4</v>
      </c>
      <c r="W602" s="4">
        <v>-115.3544</v>
      </c>
    </row>
    <row r="603" spans="1:23" x14ac:dyDescent="0.3">
      <c r="A603">
        <v>602</v>
      </c>
      <c r="B603" t="s">
        <v>2006</v>
      </c>
      <c r="C603" s="3">
        <v>42832</v>
      </c>
      <c r="D603" s="7" t="str">
        <f t="shared" si="18"/>
        <v>April</v>
      </c>
      <c r="E603" s="3">
        <f t="shared" si="19"/>
        <v>42855</v>
      </c>
      <c r="F603" s="3">
        <v>42985</v>
      </c>
      <c r="G603" t="s">
        <v>50</v>
      </c>
      <c r="H603" t="s">
        <v>2007</v>
      </c>
      <c r="I603" t="s">
        <v>2008</v>
      </c>
      <c r="J603" t="s">
        <v>26</v>
      </c>
      <c r="K603" t="s">
        <v>27</v>
      </c>
      <c r="L603" t="s">
        <v>146</v>
      </c>
      <c r="M603" t="s">
        <v>147</v>
      </c>
      <c r="N603">
        <v>19120</v>
      </c>
      <c r="O603" t="s">
        <v>148</v>
      </c>
      <c r="P603" t="s">
        <v>1954</v>
      </c>
      <c r="Q603" t="s">
        <v>46</v>
      </c>
      <c r="R603" t="s">
        <v>579</v>
      </c>
      <c r="S603" t="s">
        <v>1955</v>
      </c>
      <c r="T603" s="4">
        <v>5.84</v>
      </c>
      <c r="U603">
        <v>2</v>
      </c>
      <c r="V603">
        <v>0.2</v>
      </c>
      <c r="W603" s="4">
        <v>0.73</v>
      </c>
    </row>
    <row r="604" spans="1:23" x14ac:dyDescent="0.3">
      <c r="A604">
        <v>603</v>
      </c>
      <c r="B604" t="s">
        <v>2013</v>
      </c>
      <c r="C604" s="3">
        <v>42066</v>
      </c>
      <c r="D604" s="7" t="str">
        <f t="shared" si="18"/>
        <v>March</v>
      </c>
      <c r="E604" s="3">
        <f t="shared" si="19"/>
        <v>42094</v>
      </c>
      <c r="F604" s="3">
        <v>42188</v>
      </c>
      <c r="G604" t="s">
        <v>50</v>
      </c>
      <c r="H604" t="s">
        <v>2014</v>
      </c>
      <c r="I604" t="s">
        <v>2015</v>
      </c>
      <c r="J604" t="s">
        <v>26</v>
      </c>
      <c r="K604" t="s">
        <v>27</v>
      </c>
      <c r="L604" t="s">
        <v>902</v>
      </c>
      <c r="M604" t="s">
        <v>54</v>
      </c>
      <c r="N604">
        <v>33614</v>
      </c>
      <c r="O604" t="s">
        <v>30</v>
      </c>
      <c r="P604" t="s">
        <v>2016</v>
      </c>
      <c r="Q604" t="s">
        <v>46</v>
      </c>
      <c r="R604" t="s">
        <v>59</v>
      </c>
      <c r="S604" t="s">
        <v>2017</v>
      </c>
      <c r="T604" s="4">
        <v>142.77600000000001</v>
      </c>
      <c r="U604">
        <v>1</v>
      </c>
      <c r="V604">
        <v>0.2</v>
      </c>
      <c r="W604" s="4">
        <v>17.847000000000001</v>
      </c>
    </row>
    <row r="605" spans="1:23" x14ac:dyDescent="0.3">
      <c r="A605">
        <v>604</v>
      </c>
      <c r="B605" t="s">
        <v>2013</v>
      </c>
      <c r="C605" s="3">
        <v>42066</v>
      </c>
      <c r="D605" s="7" t="str">
        <f t="shared" si="18"/>
        <v>March</v>
      </c>
      <c r="E605" s="3">
        <f t="shared" si="19"/>
        <v>42094</v>
      </c>
      <c r="F605" s="3">
        <v>42188</v>
      </c>
      <c r="G605" t="s">
        <v>50</v>
      </c>
      <c r="H605" t="s">
        <v>2014</v>
      </c>
      <c r="I605" t="s">
        <v>2015</v>
      </c>
      <c r="J605" t="s">
        <v>26</v>
      </c>
      <c r="K605" t="s">
        <v>27</v>
      </c>
      <c r="L605" t="s">
        <v>902</v>
      </c>
      <c r="M605" t="s">
        <v>54</v>
      </c>
      <c r="N605">
        <v>33614</v>
      </c>
      <c r="O605" t="s">
        <v>30</v>
      </c>
      <c r="P605" t="s">
        <v>1141</v>
      </c>
      <c r="Q605" t="s">
        <v>32</v>
      </c>
      <c r="R605" t="s">
        <v>65</v>
      </c>
      <c r="S605" t="s">
        <v>1142</v>
      </c>
      <c r="T605" s="4">
        <v>45.695999999999998</v>
      </c>
      <c r="U605">
        <v>3</v>
      </c>
      <c r="V605">
        <v>0.2</v>
      </c>
      <c r="W605" s="4">
        <v>5.1407999999999996</v>
      </c>
    </row>
    <row r="606" spans="1:23" x14ac:dyDescent="0.3">
      <c r="A606">
        <v>605</v>
      </c>
      <c r="B606" t="s">
        <v>2013</v>
      </c>
      <c r="C606" s="3">
        <v>42066</v>
      </c>
      <c r="D606" s="7" t="str">
        <f t="shared" si="18"/>
        <v>March</v>
      </c>
      <c r="E606" s="3">
        <f t="shared" si="19"/>
        <v>42094</v>
      </c>
      <c r="F606" s="3">
        <v>42188</v>
      </c>
      <c r="G606" t="s">
        <v>50</v>
      </c>
      <c r="H606" t="s">
        <v>2014</v>
      </c>
      <c r="I606" t="s">
        <v>2015</v>
      </c>
      <c r="J606" t="s">
        <v>26</v>
      </c>
      <c r="K606" t="s">
        <v>27</v>
      </c>
      <c r="L606" t="s">
        <v>902</v>
      </c>
      <c r="M606" t="s">
        <v>54</v>
      </c>
      <c r="N606">
        <v>33614</v>
      </c>
      <c r="O606" t="s">
        <v>30</v>
      </c>
      <c r="P606" t="s">
        <v>1527</v>
      </c>
      <c r="Q606" t="s">
        <v>46</v>
      </c>
      <c r="R606" t="s">
        <v>75</v>
      </c>
      <c r="S606" t="s">
        <v>1528</v>
      </c>
      <c r="T606" s="4">
        <v>7.218</v>
      </c>
      <c r="U606">
        <v>3</v>
      </c>
      <c r="V606">
        <v>0.7</v>
      </c>
      <c r="W606" s="4">
        <v>-5.5338000000000003</v>
      </c>
    </row>
    <row r="607" spans="1:23" x14ac:dyDescent="0.3">
      <c r="A607">
        <v>606</v>
      </c>
      <c r="B607" t="s">
        <v>2013</v>
      </c>
      <c r="C607" s="3">
        <v>42066</v>
      </c>
      <c r="D607" s="7" t="str">
        <f t="shared" si="18"/>
        <v>March</v>
      </c>
      <c r="E607" s="3">
        <f t="shared" si="19"/>
        <v>42094</v>
      </c>
      <c r="F607" s="3">
        <v>42188</v>
      </c>
      <c r="G607" t="s">
        <v>50</v>
      </c>
      <c r="H607" t="s">
        <v>2014</v>
      </c>
      <c r="I607" t="s">
        <v>2015</v>
      </c>
      <c r="J607" t="s">
        <v>26</v>
      </c>
      <c r="K607" t="s">
        <v>27</v>
      </c>
      <c r="L607" t="s">
        <v>902</v>
      </c>
      <c r="M607" t="s">
        <v>54</v>
      </c>
      <c r="N607">
        <v>33614</v>
      </c>
      <c r="O607" t="s">
        <v>30</v>
      </c>
      <c r="P607" t="s">
        <v>1499</v>
      </c>
      <c r="Q607" t="s">
        <v>46</v>
      </c>
      <c r="R607" t="s">
        <v>75</v>
      </c>
      <c r="S607" t="s">
        <v>1500</v>
      </c>
      <c r="T607" s="4">
        <v>43.188000000000002</v>
      </c>
      <c r="U607">
        <v>4</v>
      </c>
      <c r="V607">
        <v>0.7</v>
      </c>
      <c r="W607" s="4">
        <v>-31.671199999999999</v>
      </c>
    </row>
    <row r="608" spans="1:23" x14ac:dyDescent="0.3">
      <c r="A608">
        <v>607</v>
      </c>
      <c r="B608" t="s">
        <v>2013</v>
      </c>
      <c r="C608" s="3">
        <v>42066</v>
      </c>
      <c r="D608" s="7" t="str">
        <f t="shared" si="18"/>
        <v>March</v>
      </c>
      <c r="E608" s="3">
        <f t="shared" si="19"/>
        <v>42094</v>
      </c>
      <c r="F608" s="3">
        <v>42188</v>
      </c>
      <c r="G608" t="s">
        <v>50</v>
      </c>
      <c r="H608" t="s">
        <v>2014</v>
      </c>
      <c r="I608" t="s">
        <v>2015</v>
      </c>
      <c r="J608" t="s">
        <v>26</v>
      </c>
      <c r="K608" t="s">
        <v>27</v>
      </c>
      <c r="L608" t="s">
        <v>902</v>
      </c>
      <c r="M608" t="s">
        <v>54</v>
      </c>
      <c r="N608">
        <v>33614</v>
      </c>
      <c r="O608" t="s">
        <v>30</v>
      </c>
      <c r="P608" t="s">
        <v>2018</v>
      </c>
      <c r="Q608" t="s">
        <v>46</v>
      </c>
      <c r="R608" t="s">
        <v>90</v>
      </c>
      <c r="S608" t="s">
        <v>2019</v>
      </c>
      <c r="T608" s="4">
        <v>131.904</v>
      </c>
      <c r="U608">
        <v>3</v>
      </c>
      <c r="V608">
        <v>0.2</v>
      </c>
      <c r="W608" s="4">
        <v>47.815199999999997</v>
      </c>
    </row>
    <row r="609" spans="1:23" x14ac:dyDescent="0.3">
      <c r="A609">
        <v>608</v>
      </c>
      <c r="B609" t="s">
        <v>2020</v>
      </c>
      <c r="C609" s="3">
        <v>42313</v>
      </c>
      <c r="D609" s="7" t="str">
        <f t="shared" si="18"/>
        <v>November</v>
      </c>
      <c r="E609" s="3">
        <f t="shared" si="19"/>
        <v>42338</v>
      </c>
      <c r="F609" s="3">
        <v>42434</v>
      </c>
      <c r="G609" t="s">
        <v>50</v>
      </c>
      <c r="H609" t="s">
        <v>2021</v>
      </c>
      <c r="I609" t="s">
        <v>2022</v>
      </c>
      <c r="J609" t="s">
        <v>26</v>
      </c>
      <c r="K609" t="s">
        <v>27</v>
      </c>
      <c r="L609" t="s">
        <v>146</v>
      </c>
      <c r="M609" t="s">
        <v>147</v>
      </c>
      <c r="N609">
        <v>19134</v>
      </c>
      <c r="O609" t="s">
        <v>148</v>
      </c>
      <c r="P609" t="s">
        <v>2023</v>
      </c>
      <c r="Q609" t="s">
        <v>46</v>
      </c>
      <c r="R609" t="s">
        <v>75</v>
      </c>
      <c r="S609" t="s">
        <v>2024</v>
      </c>
      <c r="T609" s="4">
        <v>3.282</v>
      </c>
      <c r="U609">
        <v>2</v>
      </c>
      <c r="V609">
        <v>0.7</v>
      </c>
      <c r="W609" s="4">
        <v>-2.6255999999999999</v>
      </c>
    </row>
    <row r="610" spans="1:23" x14ac:dyDescent="0.3">
      <c r="A610">
        <v>609</v>
      </c>
      <c r="B610" t="s">
        <v>2020</v>
      </c>
      <c r="C610" s="3">
        <v>42313</v>
      </c>
      <c r="D610" s="7" t="str">
        <f t="shared" si="18"/>
        <v>November</v>
      </c>
      <c r="E610" s="3">
        <f t="shared" si="19"/>
        <v>42338</v>
      </c>
      <c r="F610" s="3">
        <v>42434</v>
      </c>
      <c r="G610" t="s">
        <v>50</v>
      </c>
      <c r="H610" t="s">
        <v>2021</v>
      </c>
      <c r="I610" t="s">
        <v>2022</v>
      </c>
      <c r="J610" t="s">
        <v>26</v>
      </c>
      <c r="K610" t="s">
        <v>27</v>
      </c>
      <c r="L610" t="s">
        <v>146</v>
      </c>
      <c r="M610" t="s">
        <v>147</v>
      </c>
      <c r="N610">
        <v>19134</v>
      </c>
      <c r="O610" t="s">
        <v>148</v>
      </c>
      <c r="P610" t="s">
        <v>1763</v>
      </c>
      <c r="Q610" t="s">
        <v>46</v>
      </c>
      <c r="R610" t="s">
        <v>68</v>
      </c>
      <c r="S610" t="s">
        <v>1764</v>
      </c>
      <c r="T610" s="4">
        <v>21.167999999999999</v>
      </c>
      <c r="U610">
        <v>9</v>
      </c>
      <c r="V610">
        <v>0.2</v>
      </c>
      <c r="W610" s="4">
        <v>2.3814000000000002</v>
      </c>
    </row>
    <row r="611" spans="1:23" x14ac:dyDescent="0.3">
      <c r="A611">
        <v>610</v>
      </c>
      <c r="B611" t="s">
        <v>2020</v>
      </c>
      <c r="C611" s="3">
        <v>42313</v>
      </c>
      <c r="D611" s="7" t="str">
        <f t="shared" si="18"/>
        <v>November</v>
      </c>
      <c r="E611" s="3">
        <f t="shared" si="19"/>
        <v>42338</v>
      </c>
      <c r="F611" s="3">
        <v>42434</v>
      </c>
      <c r="G611" t="s">
        <v>50</v>
      </c>
      <c r="H611" t="s">
        <v>2021</v>
      </c>
      <c r="I611" t="s">
        <v>2022</v>
      </c>
      <c r="J611" t="s">
        <v>26</v>
      </c>
      <c r="K611" t="s">
        <v>27</v>
      </c>
      <c r="L611" t="s">
        <v>146</v>
      </c>
      <c r="M611" t="s">
        <v>147</v>
      </c>
      <c r="N611">
        <v>19134</v>
      </c>
      <c r="O611" t="s">
        <v>148</v>
      </c>
      <c r="P611" t="s">
        <v>2025</v>
      </c>
      <c r="Q611" t="s">
        <v>71</v>
      </c>
      <c r="R611" t="s">
        <v>72</v>
      </c>
      <c r="S611" t="s">
        <v>2026</v>
      </c>
      <c r="T611" s="4">
        <v>55.188000000000002</v>
      </c>
      <c r="U611">
        <v>2</v>
      </c>
      <c r="V611">
        <v>0.4</v>
      </c>
      <c r="W611" s="4">
        <v>-10.117800000000001</v>
      </c>
    </row>
    <row r="612" spans="1:23" x14ac:dyDescent="0.3">
      <c r="A612">
        <v>611</v>
      </c>
      <c r="B612" t="s">
        <v>2027</v>
      </c>
      <c r="C612" s="3">
        <v>43194</v>
      </c>
      <c r="D612" s="7" t="str">
        <f t="shared" si="18"/>
        <v>April</v>
      </c>
      <c r="E612" s="3">
        <f t="shared" si="19"/>
        <v>43220</v>
      </c>
      <c r="F612" s="3">
        <v>42374</v>
      </c>
      <c r="G612" t="s">
        <v>188</v>
      </c>
      <c r="H612" t="s">
        <v>2028</v>
      </c>
      <c r="I612" t="s">
        <v>2029</v>
      </c>
      <c r="J612" t="s">
        <v>41</v>
      </c>
      <c r="K612" t="s">
        <v>27</v>
      </c>
      <c r="L612" t="s">
        <v>817</v>
      </c>
      <c r="M612" t="s">
        <v>104</v>
      </c>
      <c r="N612">
        <v>75217</v>
      </c>
      <c r="O612" t="s">
        <v>105</v>
      </c>
      <c r="P612" t="s">
        <v>1382</v>
      </c>
      <c r="Q612" t="s">
        <v>71</v>
      </c>
      <c r="R612" t="s">
        <v>72</v>
      </c>
      <c r="S612" t="s">
        <v>1383</v>
      </c>
      <c r="T612" s="4">
        <v>369.57600000000002</v>
      </c>
      <c r="U612">
        <v>3</v>
      </c>
      <c r="V612">
        <v>0.2</v>
      </c>
      <c r="W612" s="4">
        <v>41.577300000000001</v>
      </c>
    </row>
    <row r="613" spans="1:23" x14ac:dyDescent="0.3">
      <c r="A613">
        <v>612</v>
      </c>
      <c r="B613" t="s">
        <v>2027</v>
      </c>
      <c r="C613" s="3">
        <v>43194</v>
      </c>
      <c r="D613" s="7" t="str">
        <f t="shared" si="18"/>
        <v>April</v>
      </c>
      <c r="E613" s="3">
        <f t="shared" si="19"/>
        <v>43220</v>
      </c>
      <c r="F613" s="3">
        <v>42374</v>
      </c>
      <c r="G613" t="s">
        <v>188</v>
      </c>
      <c r="H613" t="s">
        <v>2028</v>
      </c>
      <c r="I613" t="s">
        <v>2029</v>
      </c>
      <c r="J613" t="s">
        <v>41</v>
      </c>
      <c r="K613" t="s">
        <v>27</v>
      </c>
      <c r="L613" t="s">
        <v>817</v>
      </c>
      <c r="M613" t="s">
        <v>104</v>
      </c>
      <c r="N613">
        <v>75217</v>
      </c>
      <c r="O613" t="s">
        <v>105</v>
      </c>
      <c r="P613" t="s">
        <v>2030</v>
      </c>
      <c r="Q613" t="s">
        <v>46</v>
      </c>
      <c r="R613" t="s">
        <v>47</v>
      </c>
      <c r="S613" t="s">
        <v>2031</v>
      </c>
      <c r="T613" s="4">
        <v>15.712</v>
      </c>
      <c r="U613">
        <v>4</v>
      </c>
      <c r="V613">
        <v>0.2</v>
      </c>
      <c r="W613" s="4">
        <v>5.6955999999999998</v>
      </c>
    </row>
    <row r="614" spans="1:23" x14ac:dyDescent="0.3">
      <c r="A614">
        <v>613</v>
      </c>
      <c r="B614" t="s">
        <v>2032</v>
      </c>
      <c r="C614" s="3">
        <v>42683</v>
      </c>
      <c r="D614" s="7" t="str">
        <f t="shared" si="18"/>
        <v>November</v>
      </c>
      <c r="E614" s="3">
        <f t="shared" si="19"/>
        <v>42704</v>
      </c>
      <c r="F614" s="3">
        <v>42744</v>
      </c>
      <c r="G614" t="s">
        <v>23</v>
      </c>
      <c r="H614" t="s">
        <v>2033</v>
      </c>
      <c r="I614" t="s">
        <v>2034</v>
      </c>
      <c r="J614" t="s">
        <v>41</v>
      </c>
      <c r="K614" t="s">
        <v>27</v>
      </c>
      <c r="L614" t="s">
        <v>146</v>
      </c>
      <c r="M614" t="s">
        <v>147</v>
      </c>
      <c r="N614">
        <v>19143</v>
      </c>
      <c r="O614" t="s">
        <v>148</v>
      </c>
      <c r="P614" t="s">
        <v>2035</v>
      </c>
      <c r="Q614" t="s">
        <v>46</v>
      </c>
      <c r="R614" t="s">
        <v>90</v>
      </c>
      <c r="S614" t="s">
        <v>2036</v>
      </c>
      <c r="T614" s="4">
        <v>8.4480000000000004</v>
      </c>
      <c r="U614">
        <v>2</v>
      </c>
      <c r="V614">
        <v>0.2</v>
      </c>
      <c r="W614" s="4">
        <v>2.64</v>
      </c>
    </row>
    <row r="615" spans="1:23" x14ac:dyDescent="0.3">
      <c r="A615">
        <v>614</v>
      </c>
      <c r="B615" t="s">
        <v>2032</v>
      </c>
      <c r="C615" s="3">
        <v>42683</v>
      </c>
      <c r="D615" s="7" t="str">
        <f t="shared" si="18"/>
        <v>November</v>
      </c>
      <c r="E615" s="3">
        <f t="shared" si="19"/>
        <v>42704</v>
      </c>
      <c r="F615" s="3">
        <v>42744</v>
      </c>
      <c r="G615" t="s">
        <v>23</v>
      </c>
      <c r="H615" t="s">
        <v>2033</v>
      </c>
      <c r="I615" t="s">
        <v>2034</v>
      </c>
      <c r="J615" t="s">
        <v>41</v>
      </c>
      <c r="K615" t="s">
        <v>27</v>
      </c>
      <c r="L615" t="s">
        <v>146</v>
      </c>
      <c r="M615" t="s">
        <v>147</v>
      </c>
      <c r="N615">
        <v>19143</v>
      </c>
      <c r="O615" t="s">
        <v>148</v>
      </c>
      <c r="P615" t="s">
        <v>2037</v>
      </c>
      <c r="Q615" t="s">
        <v>71</v>
      </c>
      <c r="R615" t="s">
        <v>72</v>
      </c>
      <c r="S615" t="s">
        <v>2038</v>
      </c>
      <c r="T615" s="4">
        <v>728.94600000000003</v>
      </c>
      <c r="U615">
        <v>9</v>
      </c>
      <c r="V615">
        <v>0.4</v>
      </c>
      <c r="W615" s="4">
        <v>-157.9383</v>
      </c>
    </row>
    <row r="616" spans="1:23" x14ac:dyDescent="0.3">
      <c r="A616">
        <v>615</v>
      </c>
      <c r="B616" t="s">
        <v>2039</v>
      </c>
      <c r="C616" s="3">
        <v>43142</v>
      </c>
      <c r="D616" s="7" t="str">
        <f t="shared" si="18"/>
        <v>February</v>
      </c>
      <c r="E616" s="3">
        <f t="shared" si="19"/>
        <v>43159</v>
      </c>
      <c r="F616" s="3">
        <v>43231</v>
      </c>
      <c r="G616" t="s">
        <v>23</v>
      </c>
      <c r="H616" t="s">
        <v>2040</v>
      </c>
      <c r="I616" t="s">
        <v>2041</v>
      </c>
      <c r="J616" t="s">
        <v>26</v>
      </c>
      <c r="K616" t="s">
        <v>27</v>
      </c>
      <c r="L616" t="s">
        <v>2042</v>
      </c>
      <c r="M616" t="s">
        <v>498</v>
      </c>
      <c r="N616">
        <v>43123</v>
      </c>
      <c r="O616" t="s">
        <v>148</v>
      </c>
      <c r="P616" t="s">
        <v>926</v>
      </c>
      <c r="Q616" t="s">
        <v>71</v>
      </c>
      <c r="R616" t="s">
        <v>72</v>
      </c>
      <c r="S616" t="s">
        <v>927</v>
      </c>
      <c r="T616" s="4">
        <v>119.94</v>
      </c>
      <c r="U616">
        <v>10</v>
      </c>
      <c r="V616">
        <v>0.4</v>
      </c>
      <c r="W616" s="4">
        <v>15.992000000000001</v>
      </c>
    </row>
    <row r="617" spans="1:23" x14ac:dyDescent="0.3">
      <c r="A617">
        <v>616</v>
      </c>
      <c r="B617" t="s">
        <v>2039</v>
      </c>
      <c r="C617" s="3">
        <v>43142</v>
      </c>
      <c r="D617" s="7" t="str">
        <f t="shared" si="18"/>
        <v>February</v>
      </c>
      <c r="E617" s="3">
        <f t="shared" si="19"/>
        <v>43159</v>
      </c>
      <c r="F617" s="3">
        <v>43231</v>
      </c>
      <c r="G617" t="s">
        <v>23</v>
      </c>
      <c r="H617" t="s">
        <v>2040</v>
      </c>
      <c r="I617" t="s">
        <v>2041</v>
      </c>
      <c r="J617" t="s">
        <v>26</v>
      </c>
      <c r="K617" t="s">
        <v>27</v>
      </c>
      <c r="L617" t="s">
        <v>2042</v>
      </c>
      <c r="M617" t="s">
        <v>498</v>
      </c>
      <c r="N617">
        <v>43123</v>
      </c>
      <c r="O617" t="s">
        <v>148</v>
      </c>
      <c r="P617" t="s">
        <v>2043</v>
      </c>
      <c r="Q617" t="s">
        <v>46</v>
      </c>
      <c r="R617" t="s">
        <v>75</v>
      </c>
      <c r="S617" t="s">
        <v>2044</v>
      </c>
      <c r="T617" s="4">
        <v>3.6480000000000001</v>
      </c>
      <c r="U617">
        <v>2</v>
      </c>
      <c r="V617">
        <v>0.7</v>
      </c>
      <c r="W617" s="4">
        <v>-2.7968000000000002</v>
      </c>
    </row>
    <row r="618" spans="1:23" x14ac:dyDescent="0.3">
      <c r="A618">
        <v>617</v>
      </c>
      <c r="B618" t="s">
        <v>2045</v>
      </c>
      <c r="C618" s="3">
        <v>43259</v>
      </c>
      <c r="D618" s="7" t="str">
        <f t="shared" si="18"/>
        <v>June</v>
      </c>
      <c r="E618" s="3">
        <f t="shared" si="19"/>
        <v>43281</v>
      </c>
      <c r="F618" s="3">
        <v>43412</v>
      </c>
      <c r="G618" t="s">
        <v>23</v>
      </c>
      <c r="H618" t="s">
        <v>2046</v>
      </c>
      <c r="I618" t="s">
        <v>2047</v>
      </c>
      <c r="J618" t="s">
        <v>41</v>
      </c>
      <c r="K618" t="s">
        <v>27</v>
      </c>
      <c r="L618" t="s">
        <v>266</v>
      </c>
      <c r="M618" t="s">
        <v>267</v>
      </c>
      <c r="N618">
        <v>10011</v>
      </c>
      <c r="O618" t="s">
        <v>148</v>
      </c>
      <c r="P618" t="s">
        <v>2048</v>
      </c>
      <c r="Q618" t="s">
        <v>32</v>
      </c>
      <c r="R618" t="s">
        <v>65</v>
      </c>
      <c r="S618" t="s">
        <v>2049</v>
      </c>
      <c r="T618" s="4">
        <v>40.479999999999997</v>
      </c>
      <c r="U618">
        <v>2</v>
      </c>
      <c r="V618">
        <v>0</v>
      </c>
      <c r="W618" s="4">
        <v>15.7872</v>
      </c>
    </row>
    <row r="619" spans="1:23" x14ac:dyDescent="0.3">
      <c r="A619">
        <v>618</v>
      </c>
      <c r="B619" t="s">
        <v>2045</v>
      </c>
      <c r="C619" s="3">
        <v>43259</v>
      </c>
      <c r="D619" s="7" t="str">
        <f t="shared" si="18"/>
        <v>June</v>
      </c>
      <c r="E619" s="3">
        <f t="shared" si="19"/>
        <v>43281</v>
      </c>
      <c r="F619" s="3">
        <v>43412</v>
      </c>
      <c r="G619" t="s">
        <v>23</v>
      </c>
      <c r="H619" t="s">
        <v>2046</v>
      </c>
      <c r="I619" t="s">
        <v>2047</v>
      </c>
      <c r="J619" t="s">
        <v>41</v>
      </c>
      <c r="K619" t="s">
        <v>27</v>
      </c>
      <c r="L619" t="s">
        <v>266</v>
      </c>
      <c r="M619" t="s">
        <v>267</v>
      </c>
      <c r="N619">
        <v>10011</v>
      </c>
      <c r="O619" t="s">
        <v>148</v>
      </c>
      <c r="P619" t="s">
        <v>2050</v>
      </c>
      <c r="Q619" t="s">
        <v>32</v>
      </c>
      <c r="R619" t="s">
        <v>65</v>
      </c>
      <c r="S619" t="s">
        <v>2051</v>
      </c>
      <c r="T619" s="4">
        <v>9.94</v>
      </c>
      <c r="U619">
        <v>2</v>
      </c>
      <c r="V619">
        <v>0</v>
      </c>
      <c r="W619" s="4">
        <v>3.0813999999999999</v>
      </c>
    </row>
    <row r="620" spans="1:23" x14ac:dyDescent="0.3">
      <c r="A620">
        <v>619</v>
      </c>
      <c r="B620" t="s">
        <v>2045</v>
      </c>
      <c r="C620" s="3">
        <v>43259</v>
      </c>
      <c r="D620" s="7" t="str">
        <f t="shared" si="18"/>
        <v>June</v>
      </c>
      <c r="E620" s="3">
        <f t="shared" si="19"/>
        <v>43281</v>
      </c>
      <c r="F620" s="3">
        <v>43412</v>
      </c>
      <c r="G620" t="s">
        <v>23</v>
      </c>
      <c r="H620" t="s">
        <v>2046</v>
      </c>
      <c r="I620" t="s">
        <v>2047</v>
      </c>
      <c r="J620" t="s">
        <v>41</v>
      </c>
      <c r="K620" t="s">
        <v>27</v>
      </c>
      <c r="L620" t="s">
        <v>266</v>
      </c>
      <c r="M620" t="s">
        <v>267</v>
      </c>
      <c r="N620">
        <v>10011</v>
      </c>
      <c r="O620" t="s">
        <v>148</v>
      </c>
      <c r="P620" t="s">
        <v>2052</v>
      </c>
      <c r="Q620" t="s">
        <v>46</v>
      </c>
      <c r="R620" t="s">
        <v>75</v>
      </c>
      <c r="S620" t="s">
        <v>2053</v>
      </c>
      <c r="T620" s="4">
        <v>107.42400000000001</v>
      </c>
      <c r="U620">
        <v>9</v>
      </c>
      <c r="V620">
        <v>0.2</v>
      </c>
      <c r="W620" s="4">
        <v>33.57</v>
      </c>
    </row>
    <row r="621" spans="1:23" x14ac:dyDescent="0.3">
      <c r="A621">
        <v>620</v>
      </c>
      <c r="B621" t="s">
        <v>2045</v>
      </c>
      <c r="C621" s="3">
        <v>43259</v>
      </c>
      <c r="D621" s="7" t="str">
        <f t="shared" si="18"/>
        <v>June</v>
      </c>
      <c r="E621" s="3">
        <f t="shared" si="19"/>
        <v>43281</v>
      </c>
      <c r="F621" s="3">
        <v>43412</v>
      </c>
      <c r="G621" t="s">
        <v>23</v>
      </c>
      <c r="H621" t="s">
        <v>2046</v>
      </c>
      <c r="I621" t="s">
        <v>2047</v>
      </c>
      <c r="J621" t="s">
        <v>41</v>
      </c>
      <c r="K621" t="s">
        <v>27</v>
      </c>
      <c r="L621" t="s">
        <v>266</v>
      </c>
      <c r="M621" t="s">
        <v>267</v>
      </c>
      <c r="N621">
        <v>10011</v>
      </c>
      <c r="O621" t="s">
        <v>148</v>
      </c>
      <c r="P621" t="s">
        <v>2054</v>
      </c>
      <c r="Q621" t="s">
        <v>71</v>
      </c>
      <c r="R621" t="s">
        <v>72</v>
      </c>
      <c r="S621" t="s">
        <v>2055</v>
      </c>
      <c r="T621" s="4">
        <v>37.909999999999997</v>
      </c>
      <c r="U621">
        <v>1</v>
      </c>
      <c r="V621">
        <v>0</v>
      </c>
      <c r="W621" s="4">
        <v>10.9939</v>
      </c>
    </row>
    <row r="622" spans="1:23" x14ac:dyDescent="0.3">
      <c r="A622">
        <v>621</v>
      </c>
      <c r="B622" t="s">
        <v>2045</v>
      </c>
      <c r="C622" s="3">
        <v>43259</v>
      </c>
      <c r="D622" s="7" t="str">
        <f t="shared" si="18"/>
        <v>June</v>
      </c>
      <c r="E622" s="3">
        <f t="shared" si="19"/>
        <v>43281</v>
      </c>
      <c r="F622" s="3">
        <v>43412</v>
      </c>
      <c r="G622" t="s">
        <v>23</v>
      </c>
      <c r="H622" t="s">
        <v>2046</v>
      </c>
      <c r="I622" t="s">
        <v>2047</v>
      </c>
      <c r="J622" t="s">
        <v>41</v>
      </c>
      <c r="K622" t="s">
        <v>27</v>
      </c>
      <c r="L622" t="s">
        <v>266</v>
      </c>
      <c r="M622" t="s">
        <v>267</v>
      </c>
      <c r="N622">
        <v>10011</v>
      </c>
      <c r="O622" t="s">
        <v>148</v>
      </c>
      <c r="P622" t="s">
        <v>608</v>
      </c>
      <c r="Q622" t="s">
        <v>32</v>
      </c>
      <c r="R622" t="s">
        <v>65</v>
      </c>
      <c r="S622" t="s">
        <v>609</v>
      </c>
      <c r="T622" s="4">
        <v>88.02</v>
      </c>
      <c r="U622">
        <v>3</v>
      </c>
      <c r="V622">
        <v>0</v>
      </c>
      <c r="W622" s="4">
        <v>27.286200000000001</v>
      </c>
    </row>
    <row r="623" spans="1:23" x14ac:dyDescent="0.3">
      <c r="A623">
        <v>622</v>
      </c>
      <c r="B623" t="s">
        <v>2056</v>
      </c>
      <c r="C623" s="3">
        <v>42412</v>
      </c>
      <c r="D623" s="7" t="str">
        <f t="shared" si="18"/>
        <v>February</v>
      </c>
      <c r="E623" s="3">
        <f t="shared" si="19"/>
        <v>42429</v>
      </c>
      <c r="F623" s="3">
        <v>42563</v>
      </c>
      <c r="G623" t="s">
        <v>50</v>
      </c>
      <c r="H623" t="s">
        <v>2057</v>
      </c>
      <c r="I623" t="s">
        <v>2058</v>
      </c>
      <c r="J623" t="s">
        <v>26</v>
      </c>
      <c r="K623" t="s">
        <v>27</v>
      </c>
      <c r="L623" t="s">
        <v>303</v>
      </c>
      <c r="M623" t="s">
        <v>211</v>
      </c>
      <c r="N623">
        <v>60610</v>
      </c>
      <c r="O623" t="s">
        <v>105</v>
      </c>
      <c r="P623" t="s">
        <v>2059</v>
      </c>
      <c r="Q623" t="s">
        <v>46</v>
      </c>
      <c r="R623" t="s">
        <v>75</v>
      </c>
      <c r="S623" t="s">
        <v>2060</v>
      </c>
      <c r="T623" s="4">
        <v>8.69</v>
      </c>
      <c r="U623">
        <v>5</v>
      </c>
      <c r="V623">
        <v>0.8</v>
      </c>
      <c r="W623" s="4">
        <v>-14.773</v>
      </c>
    </row>
    <row r="624" spans="1:23" x14ac:dyDescent="0.3">
      <c r="A624">
        <v>623</v>
      </c>
      <c r="B624" t="s">
        <v>2061</v>
      </c>
      <c r="C624" s="3">
        <v>42866</v>
      </c>
      <c r="D624" s="7" t="str">
        <f t="shared" si="18"/>
        <v>May</v>
      </c>
      <c r="E624" s="3">
        <f t="shared" si="19"/>
        <v>42886</v>
      </c>
      <c r="F624" s="3">
        <v>42075</v>
      </c>
      <c r="G624" t="s">
        <v>50</v>
      </c>
      <c r="H624" t="s">
        <v>2062</v>
      </c>
      <c r="I624" t="s">
        <v>2063</v>
      </c>
      <c r="J624" t="s">
        <v>41</v>
      </c>
      <c r="K624" t="s">
        <v>27</v>
      </c>
      <c r="L624" t="s">
        <v>2064</v>
      </c>
      <c r="M624" t="s">
        <v>238</v>
      </c>
      <c r="N624">
        <v>48126</v>
      </c>
      <c r="O624" t="s">
        <v>105</v>
      </c>
      <c r="P624" t="s">
        <v>2065</v>
      </c>
      <c r="Q624" t="s">
        <v>32</v>
      </c>
      <c r="R624" t="s">
        <v>36</v>
      </c>
      <c r="S624" t="s">
        <v>2066</v>
      </c>
      <c r="T624" s="4">
        <v>301.95999999999998</v>
      </c>
      <c r="U624">
        <v>2</v>
      </c>
      <c r="V624">
        <v>0</v>
      </c>
      <c r="W624" s="4">
        <v>87.568399999999997</v>
      </c>
    </row>
    <row r="625" spans="1:23" x14ac:dyDescent="0.3">
      <c r="A625">
        <v>624</v>
      </c>
      <c r="B625" t="s">
        <v>2061</v>
      </c>
      <c r="C625" s="3">
        <v>42866</v>
      </c>
      <c r="D625" s="7" t="str">
        <f t="shared" si="18"/>
        <v>May</v>
      </c>
      <c r="E625" s="3">
        <f t="shared" si="19"/>
        <v>42886</v>
      </c>
      <c r="F625" s="3">
        <v>42075</v>
      </c>
      <c r="G625" t="s">
        <v>50</v>
      </c>
      <c r="H625" t="s">
        <v>2062</v>
      </c>
      <c r="I625" t="s">
        <v>2063</v>
      </c>
      <c r="J625" t="s">
        <v>41</v>
      </c>
      <c r="K625" t="s">
        <v>27</v>
      </c>
      <c r="L625" t="s">
        <v>2064</v>
      </c>
      <c r="M625" t="s">
        <v>238</v>
      </c>
      <c r="N625">
        <v>48126</v>
      </c>
      <c r="O625" t="s">
        <v>105</v>
      </c>
      <c r="P625" t="s">
        <v>2067</v>
      </c>
      <c r="Q625" t="s">
        <v>46</v>
      </c>
      <c r="R625" t="s">
        <v>78</v>
      </c>
      <c r="S625" t="s">
        <v>2068</v>
      </c>
      <c r="T625" s="4">
        <v>555.21</v>
      </c>
      <c r="U625">
        <v>5</v>
      </c>
      <c r="V625">
        <v>0.1</v>
      </c>
      <c r="W625" s="4">
        <v>178.90100000000001</v>
      </c>
    </row>
    <row r="626" spans="1:23" x14ac:dyDescent="0.3">
      <c r="A626">
        <v>625</v>
      </c>
      <c r="B626" t="s">
        <v>2061</v>
      </c>
      <c r="C626" s="3">
        <v>42866</v>
      </c>
      <c r="D626" s="7" t="str">
        <f t="shared" si="18"/>
        <v>May</v>
      </c>
      <c r="E626" s="3">
        <f t="shared" si="19"/>
        <v>42886</v>
      </c>
      <c r="F626" s="3">
        <v>42075</v>
      </c>
      <c r="G626" t="s">
        <v>50</v>
      </c>
      <c r="H626" t="s">
        <v>2062</v>
      </c>
      <c r="I626" t="s">
        <v>2063</v>
      </c>
      <c r="J626" t="s">
        <v>41</v>
      </c>
      <c r="K626" t="s">
        <v>27</v>
      </c>
      <c r="L626" t="s">
        <v>2064</v>
      </c>
      <c r="M626" t="s">
        <v>238</v>
      </c>
      <c r="N626">
        <v>48126</v>
      </c>
      <c r="O626" t="s">
        <v>105</v>
      </c>
      <c r="P626" t="s">
        <v>2069</v>
      </c>
      <c r="Q626" t="s">
        <v>46</v>
      </c>
      <c r="R626" t="s">
        <v>59</v>
      </c>
      <c r="S626" t="s">
        <v>2070</v>
      </c>
      <c r="T626" s="4">
        <v>523.48</v>
      </c>
      <c r="U626">
        <v>4</v>
      </c>
      <c r="V626">
        <v>0</v>
      </c>
      <c r="W626" s="4">
        <v>130.87</v>
      </c>
    </row>
    <row r="627" spans="1:23" x14ac:dyDescent="0.3">
      <c r="A627">
        <v>626</v>
      </c>
      <c r="B627" t="s">
        <v>2061</v>
      </c>
      <c r="C627" s="3">
        <v>42866</v>
      </c>
      <c r="D627" s="7" t="str">
        <f t="shared" si="18"/>
        <v>May</v>
      </c>
      <c r="E627" s="3">
        <f t="shared" si="19"/>
        <v>42886</v>
      </c>
      <c r="F627" s="3">
        <v>42075</v>
      </c>
      <c r="G627" t="s">
        <v>50</v>
      </c>
      <c r="H627" t="s">
        <v>2062</v>
      </c>
      <c r="I627" t="s">
        <v>2063</v>
      </c>
      <c r="J627" t="s">
        <v>41</v>
      </c>
      <c r="K627" t="s">
        <v>27</v>
      </c>
      <c r="L627" t="s">
        <v>2064</v>
      </c>
      <c r="M627" t="s">
        <v>238</v>
      </c>
      <c r="N627">
        <v>48126</v>
      </c>
      <c r="O627" t="s">
        <v>105</v>
      </c>
      <c r="P627" t="s">
        <v>175</v>
      </c>
      <c r="Q627" t="s">
        <v>46</v>
      </c>
      <c r="R627" t="s">
        <v>68</v>
      </c>
      <c r="S627" t="s">
        <v>176</v>
      </c>
      <c r="T627" s="4">
        <v>161.82</v>
      </c>
      <c r="U627">
        <v>9</v>
      </c>
      <c r="V627">
        <v>0</v>
      </c>
      <c r="W627" s="4">
        <v>46.927799999999998</v>
      </c>
    </row>
    <row r="628" spans="1:23" x14ac:dyDescent="0.3">
      <c r="A628">
        <v>627</v>
      </c>
      <c r="B628" t="s">
        <v>2071</v>
      </c>
      <c r="C628" s="3">
        <v>43168</v>
      </c>
      <c r="D628" s="7" t="str">
        <f t="shared" si="18"/>
        <v>March</v>
      </c>
      <c r="E628" s="3">
        <f t="shared" si="19"/>
        <v>43190</v>
      </c>
      <c r="F628" s="3">
        <v>43290</v>
      </c>
      <c r="G628" t="s">
        <v>50</v>
      </c>
      <c r="H628" t="s">
        <v>2072</v>
      </c>
      <c r="I628" t="s">
        <v>2073</v>
      </c>
      <c r="J628" t="s">
        <v>102</v>
      </c>
      <c r="K628" t="s">
        <v>27</v>
      </c>
      <c r="L628" t="s">
        <v>266</v>
      </c>
      <c r="M628" t="s">
        <v>267</v>
      </c>
      <c r="N628">
        <v>10009</v>
      </c>
      <c r="O628" t="s">
        <v>148</v>
      </c>
      <c r="P628" t="s">
        <v>2074</v>
      </c>
      <c r="Q628" t="s">
        <v>32</v>
      </c>
      <c r="R628" t="s">
        <v>65</v>
      </c>
      <c r="S628" t="s">
        <v>2075</v>
      </c>
      <c r="T628" s="4">
        <v>35.56</v>
      </c>
      <c r="U628">
        <v>7</v>
      </c>
      <c r="V628">
        <v>0</v>
      </c>
      <c r="W628" s="4">
        <v>12.090400000000001</v>
      </c>
    </row>
    <row r="629" spans="1:23" x14ac:dyDescent="0.3">
      <c r="A629">
        <v>628</v>
      </c>
      <c r="B629" t="s">
        <v>2076</v>
      </c>
      <c r="C629" s="3">
        <v>43286</v>
      </c>
      <c r="D629" s="7" t="str">
        <f t="shared" si="18"/>
        <v>July</v>
      </c>
      <c r="E629" s="3">
        <f t="shared" si="19"/>
        <v>43312</v>
      </c>
      <c r="F629" s="3">
        <v>43409</v>
      </c>
      <c r="G629" t="s">
        <v>50</v>
      </c>
      <c r="H629" t="s">
        <v>2077</v>
      </c>
      <c r="I629" t="s">
        <v>2078</v>
      </c>
      <c r="J629" t="s">
        <v>26</v>
      </c>
      <c r="K629" t="s">
        <v>27</v>
      </c>
      <c r="L629" t="s">
        <v>95</v>
      </c>
      <c r="M629" t="s">
        <v>96</v>
      </c>
      <c r="N629">
        <v>98115</v>
      </c>
      <c r="O629" t="s">
        <v>44</v>
      </c>
      <c r="P629" t="s">
        <v>2079</v>
      </c>
      <c r="Q629" t="s">
        <v>46</v>
      </c>
      <c r="R629" t="s">
        <v>78</v>
      </c>
      <c r="S629" t="s">
        <v>2080</v>
      </c>
      <c r="T629" s="4">
        <v>97.16</v>
      </c>
      <c r="U629">
        <v>2</v>
      </c>
      <c r="V629">
        <v>0</v>
      </c>
      <c r="W629" s="4">
        <v>28.176400000000001</v>
      </c>
    </row>
    <row r="630" spans="1:23" x14ac:dyDescent="0.3">
      <c r="A630">
        <v>629</v>
      </c>
      <c r="B630" t="s">
        <v>2081</v>
      </c>
      <c r="C630" s="3">
        <v>43232</v>
      </c>
      <c r="D630" s="7" t="str">
        <f t="shared" si="18"/>
        <v>May</v>
      </c>
      <c r="E630" s="3">
        <f t="shared" si="19"/>
        <v>43251</v>
      </c>
      <c r="F630" s="3">
        <v>43355</v>
      </c>
      <c r="G630" t="s">
        <v>50</v>
      </c>
      <c r="H630" t="s">
        <v>815</v>
      </c>
      <c r="I630" t="s">
        <v>816</v>
      </c>
      <c r="J630" t="s">
        <v>26</v>
      </c>
      <c r="K630" t="s">
        <v>27</v>
      </c>
      <c r="L630" t="s">
        <v>127</v>
      </c>
      <c r="M630" t="s">
        <v>43</v>
      </c>
      <c r="N630">
        <v>94122</v>
      </c>
      <c r="O630" t="s">
        <v>44</v>
      </c>
      <c r="P630" t="s">
        <v>2082</v>
      </c>
      <c r="Q630" t="s">
        <v>46</v>
      </c>
      <c r="R630" t="s">
        <v>75</v>
      </c>
      <c r="S630" t="s">
        <v>2083</v>
      </c>
      <c r="T630" s="4">
        <v>15.24</v>
      </c>
      <c r="U630">
        <v>5</v>
      </c>
      <c r="V630">
        <v>0.2</v>
      </c>
      <c r="W630" s="4">
        <v>5.1435000000000004</v>
      </c>
    </row>
    <row r="631" spans="1:23" x14ac:dyDescent="0.3">
      <c r="A631">
        <v>630</v>
      </c>
      <c r="B631" t="s">
        <v>2081</v>
      </c>
      <c r="C631" s="3">
        <v>43232</v>
      </c>
      <c r="D631" s="7" t="str">
        <f t="shared" si="18"/>
        <v>May</v>
      </c>
      <c r="E631" s="3">
        <f t="shared" si="19"/>
        <v>43251</v>
      </c>
      <c r="F631" s="3">
        <v>43355</v>
      </c>
      <c r="G631" t="s">
        <v>50</v>
      </c>
      <c r="H631" t="s">
        <v>815</v>
      </c>
      <c r="I631" t="s">
        <v>816</v>
      </c>
      <c r="J631" t="s">
        <v>26</v>
      </c>
      <c r="K631" t="s">
        <v>27</v>
      </c>
      <c r="L631" t="s">
        <v>127</v>
      </c>
      <c r="M631" t="s">
        <v>43</v>
      </c>
      <c r="N631">
        <v>94122</v>
      </c>
      <c r="O631" t="s">
        <v>44</v>
      </c>
      <c r="P631" t="s">
        <v>1031</v>
      </c>
      <c r="Q631" t="s">
        <v>46</v>
      </c>
      <c r="R631" t="s">
        <v>90</v>
      </c>
      <c r="S631" t="s">
        <v>1032</v>
      </c>
      <c r="T631" s="4">
        <v>13.23</v>
      </c>
      <c r="U631">
        <v>3</v>
      </c>
      <c r="V631">
        <v>0</v>
      </c>
      <c r="W631" s="4">
        <v>6.0857999999999999</v>
      </c>
    </row>
    <row r="632" spans="1:23" x14ac:dyDescent="0.3">
      <c r="A632">
        <v>631</v>
      </c>
      <c r="B632" t="s">
        <v>2084</v>
      </c>
      <c r="C632" s="3">
        <v>42686</v>
      </c>
      <c r="D632" s="7" t="str">
        <f t="shared" si="18"/>
        <v>November</v>
      </c>
      <c r="E632" s="3">
        <f t="shared" si="19"/>
        <v>42704</v>
      </c>
      <c r="F632" s="3">
        <v>42747</v>
      </c>
      <c r="G632" t="s">
        <v>23</v>
      </c>
      <c r="H632" t="s">
        <v>2085</v>
      </c>
      <c r="I632" t="s">
        <v>2086</v>
      </c>
      <c r="J632" t="s">
        <v>26</v>
      </c>
      <c r="K632" t="s">
        <v>27</v>
      </c>
      <c r="L632" t="s">
        <v>456</v>
      </c>
      <c r="M632" t="s">
        <v>457</v>
      </c>
      <c r="N632">
        <v>80013</v>
      </c>
      <c r="O632" t="s">
        <v>44</v>
      </c>
      <c r="P632" t="s">
        <v>2087</v>
      </c>
      <c r="Q632" t="s">
        <v>46</v>
      </c>
      <c r="R632" t="s">
        <v>59</v>
      </c>
      <c r="S632" t="s">
        <v>2088</v>
      </c>
      <c r="T632" s="4">
        <v>243.38399999999999</v>
      </c>
      <c r="U632">
        <v>3</v>
      </c>
      <c r="V632">
        <v>0.2</v>
      </c>
      <c r="W632" s="4">
        <v>-51.719099999999997</v>
      </c>
    </row>
    <row r="633" spans="1:23" x14ac:dyDescent="0.3">
      <c r="A633">
        <v>632</v>
      </c>
      <c r="B633" t="s">
        <v>2084</v>
      </c>
      <c r="C633" s="3">
        <v>42686</v>
      </c>
      <c r="D633" s="7" t="str">
        <f t="shared" si="18"/>
        <v>November</v>
      </c>
      <c r="E633" s="3">
        <f t="shared" si="19"/>
        <v>42704</v>
      </c>
      <c r="F633" s="3">
        <v>42747</v>
      </c>
      <c r="G633" t="s">
        <v>23</v>
      </c>
      <c r="H633" t="s">
        <v>2085</v>
      </c>
      <c r="I633" t="s">
        <v>2086</v>
      </c>
      <c r="J633" t="s">
        <v>26</v>
      </c>
      <c r="K633" t="s">
        <v>27</v>
      </c>
      <c r="L633" t="s">
        <v>456</v>
      </c>
      <c r="M633" t="s">
        <v>457</v>
      </c>
      <c r="N633">
        <v>80013</v>
      </c>
      <c r="O633" t="s">
        <v>44</v>
      </c>
      <c r="P633" t="s">
        <v>2089</v>
      </c>
      <c r="Q633" t="s">
        <v>71</v>
      </c>
      <c r="R633" t="s">
        <v>161</v>
      </c>
      <c r="S633" t="s">
        <v>2090</v>
      </c>
      <c r="T633" s="4">
        <v>119.8</v>
      </c>
      <c r="U633">
        <v>5</v>
      </c>
      <c r="V633">
        <v>0.2</v>
      </c>
      <c r="W633" s="4">
        <v>29.95</v>
      </c>
    </row>
    <row r="634" spans="1:23" x14ac:dyDescent="0.3">
      <c r="A634">
        <v>633</v>
      </c>
      <c r="B634" t="s">
        <v>2084</v>
      </c>
      <c r="C634" s="3">
        <v>42686</v>
      </c>
      <c r="D634" s="7" t="str">
        <f t="shared" si="18"/>
        <v>November</v>
      </c>
      <c r="E634" s="3">
        <f t="shared" si="19"/>
        <v>42704</v>
      </c>
      <c r="F634" s="3">
        <v>42747</v>
      </c>
      <c r="G634" t="s">
        <v>23</v>
      </c>
      <c r="H634" t="s">
        <v>2085</v>
      </c>
      <c r="I634" t="s">
        <v>2086</v>
      </c>
      <c r="J634" t="s">
        <v>26</v>
      </c>
      <c r="K634" t="s">
        <v>27</v>
      </c>
      <c r="L634" t="s">
        <v>456</v>
      </c>
      <c r="M634" t="s">
        <v>457</v>
      </c>
      <c r="N634">
        <v>80013</v>
      </c>
      <c r="O634" t="s">
        <v>44</v>
      </c>
      <c r="P634" t="s">
        <v>2091</v>
      </c>
      <c r="Q634" t="s">
        <v>71</v>
      </c>
      <c r="R634" t="s">
        <v>72</v>
      </c>
      <c r="S634" t="s">
        <v>2092</v>
      </c>
      <c r="T634" s="4">
        <v>300.76799999999997</v>
      </c>
      <c r="U634">
        <v>4</v>
      </c>
      <c r="V634">
        <v>0.2</v>
      </c>
      <c r="W634" s="4">
        <v>30.076799999999999</v>
      </c>
    </row>
    <row r="635" spans="1:23" x14ac:dyDescent="0.3">
      <c r="A635">
        <v>634</v>
      </c>
      <c r="B635" t="s">
        <v>2093</v>
      </c>
      <c r="C635" s="3">
        <v>43443</v>
      </c>
      <c r="D635" s="7" t="str">
        <f t="shared" si="18"/>
        <v>December</v>
      </c>
      <c r="E635" s="3">
        <f t="shared" si="19"/>
        <v>43465</v>
      </c>
      <c r="F635" s="3">
        <v>43505</v>
      </c>
      <c r="G635" t="s">
        <v>23</v>
      </c>
      <c r="H635" t="s">
        <v>1791</v>
      </c>
      <c r="I635" t="s">
        <v>1792</v>
      </c>
      <c r="J635" t="s">
        <v>26</v>
      </c>
      <c r="K635" t="s">
        <v>27</v>
      </c>
      <c r="L635" t="s">
        <v>1423</v>
      </c>
      <c r="M635" t="s">
        <v>54</v>
      </c>
      <c r="N635">
        <v>33180</v>
      </c>
      <c r="O635" t="s">
        <v>30</v>
      </c>
      <c r="P635" t="s">
        <v>2094</v>
      </c>
      <c r="Q635" t="s">
        <v>71</v>
      </c>
      <c r="R635" t="s">
        <v>161</v>
      </c>
      <c r="S635" t="s">
        <v>2095</v>
      </c>
      <c r="T635" s="4">
        <v>17.88</v>
      </c>
      <c r="U635">
        <v>3</v>
      </c>
      <c r="V635">
        <v>0.2</v>
      </c>
      <c r="W635" s="4">
        <v>2.4584999999999999</v>
      </c>
    </row>
    <row r="636" spans="1:23" x14ac:dyDescent="0.3">
      <c r="A636">
        <v>635</v>
      </c>
      <c r="B636" t="s">
        <v>2093</v>
      </c>
      <c r="C636" s="3">
        <v>43443</v>
      </c>
      <c r="D636" s="7" t="str">
        <f t="shared" si="18"/>
        <v>December</v>
      </c>
      <c r="E636" s="3">
        <f t="shared" si="19"/>
        <v>43465</v>
      </c>
      <c r="F636" s="3">
        <v>43505</v>
      </c>
      <c r="G636" t="s">
        <v>23</v>
      </c>
      <c r="H636" t="s">
        <v>1791</v>
      </c>
      <c r="I636" t="s">
        <v>1792</v>
      </c>
      <c r="J636" t="s">
        <v>26</v>
      </c>
      <c r="K636" t="s">
        <v>27</v>
      </c>
      <c r="L636" t="s">
        <v>1423</v>
      </c>
      <c r="M636" t="s">
        <v>54</v>
      </c>
      <c r="N636">
        <v>33180</v>
      </c>
      <c r="O636" t="s">
        <v>30</v>
      </c>
      <c r="P636" t="s">
        <v>1976</v>
      </c>
      <c r="Q636" t="s">
        <v>46</v>
      </c>
      <c r="R636" t="s">
        <v>47</v>
      </c>
      <c r="S636" t="s">
        <v>1977</v>
      </c>
      <c r="T636" s="4">
        <v>235.94399999999999</v>
      </c>
      <c r="U636">
        <v>3</v>
      </c>
      <c r="V636">
        <v>0.2</v>
      </c>
      <c r="W636" s="4">
        <v>85.529700000000005</v>
      </c>
    </row>
    <row r="637" spans="1:23" x14ac:dyDescent="0.3">
      <c r="A637">
        <v>636</v>
      </c>
      <c r="B637" t="s">
        <v>2096</v>
      </c>
      <c r="C637" s="3">
        <v>42104</v>
      </c>
      <c r="D637" s="7" t="str">
        <f t="shared" si="18"/>
        <v>April</v>
      </c>
      <c r="E637" s="3">
        <f t="shared" si="19"/>
        <v>42124</v>
      </c>
      <c r="F637" s="3">
        <v>42257</v>
      </c>
      <c r="G637" t="s">
        <v>23</v>
      </c>
      <c r="H637" t="s">
        <v>2097</v>
      </c>
      <c r="I637" t="s">
        <v>2098</v>
      </c>
      <c r="J637" t="s">
        <v>41</v>
      </c>
      <c r="K637" t="s">
        <v>27</v>
      </c>
      <c r="L637" t="s">
        <v>2099</v>
      </c>
      <c r="M637" t="s">
        <v>1275</v>
      </c>
      <c r="N637">
        <v>31088</v>
      </c>
      <c r="O637" t="s">
        <v>30</v>
      </c>
      <c r="P637" t="s">
        <v>2100</v>
      </c>
      <c r="Q637" t="s">
        <v>32</v>
      </c>
      <c r="R637" t="s">
        <v>36</v>
      </c>
      <c r="S637" t="s">
        <v>2101</v>
      </c>
      <c r="T637" s="4">
        <v>392.94</v>
      </c>
      <c r="U637">
        <v>3</v>
      </c>
      <c r="V637">
        <v>0</v>
      </c>
      <c r="W637" s="4">
        <v>43.223399999999998</v>
      </c>
    </row>
    <row r="638" spans="1:23" x14ac:dyDescent="0.3">
      <c r="A638">
        <v>637</v>
      </c>
      <c r="B638" t="s">
        <v>2102</v>
      </c>
      <c r="C638" s="3">
        <v>42802</v>
      </c>
      <c r="D638" s="7" t="str">
        <f t="shared" si="18"/>
        <v>March</v>
      </c>
      <c r="E638" s="3">
        <f t="shared" si="19"/>
        <v>42825</v>
      </c>
      <c r="F638" s="3">
        <v>42986</v>
      </c>
      <c r="G638" t="s">
        <v>50</v>
      </c>
      <c r="H638" t="s">
        <v>2103</v>
      </c>
      <c r="I638" t="s">
        <v>2104</v>
      </c>
      <c r="J638" t="s">
        <v>26</v>
      </c>
      <c r="K638" t="s">
        <v>27</v>
      </c>
      <c r="L638" t="s">
        <v>456</v>
      </c>
      <c r="M638" t="s">
        <v>457</v>
      </c>
      <c r="N638">
        <v>80013</v>
      </c>
      <c r="O638" t="s">
        <v>44</v>
      </c>
      <c r="P638" t="s">
        <v>2105</v>
      </c>
      <c r="Q638" t="s">
        <v>46</v>
      </c>
      <c r="R638" t="s">
        <v>75</v>
      </c>
      <c r="S638" t="s">
        <v>2106</v>
      </c>
      <c r="T638" s="4">
        <v>18.882000000000001</v>
      </c>
      <c r="U638">
        <v>3</v>
      </c>
      <c r="V638">
        <v>0.7</v>
      </c>
      <c r="W638" s="4">
        <v>-13.8468</v>
      </c>
    </row>
    <row r="639" spans="1:23" x14ac:dyDescent="0.3">
      <c r="A639">
        <v>638</v>
      </c>
      <c r="B639" t="s">
        <v>2102</v>
      </c>
      <c r="C639" s="3">
        <v>42802</v>
      </c>
      <c r="D639" s="7" t="str">
        <f t="shared" si="18"/>
        <v>March</v>
      </c>
      <c r="E639" s="3">
        <f t="shared" si="19"/>
        <v>42825</v>
      </c>
      <c r="F639" s="3">
        <v>42986</v>
      </c>
      <c r="G639" t="s">
        <v>50</v>
      </c>
      <c r="H639" t="s">
        <v>2103</v>
      </c>
      <c r="I639" t="s">
        <v>2104</v>
      </c>
      <c r="J639" t="s">
        <v>26</v>
      </c>
      <c r="K639" t="s">
        <v>27</v>
      </c>
      <c r="L639" t="s">
        <v>456</v>
      </c>
      <c r="M639" t="s">
        <v>457</v>
      </c>
      <c r="N639">
        <v>80013</v>
      </c>
      <c r="O639" t="s">
        <v>44</v>
      </c>
      <c r="P639" t="s">
        <v>2107</v>
      </c>
      <c r="Q639" t="s">
        <v>46</v>
      </c>
      <c r="R639" t="s">
        <v>78</v>
      </c>
      <c r="S639" t="s">
        <v>2108</v>
      </c>
      <c r="T639" s="4">
        <v>122.328</v>
      </c>
      <c r="U639">
        <v>3</v>
      </c>
      <c r="V639">
        <v>0.2</v>
      </c>
      <c r="W639" s="4">
        <v>12.232799999999999</v>
      </c>
    </row>
    <row r="640" spans="1:23" x14ac:dyDescent="0.3">
      <c r="A640">
        <v>639</v>
      </c>
      <c r="B640" t="s">
        <v>2109</v>
      </c>
      <c r="C640" s="3">
        <v>42952</v>
      </c>
      <c r="D640" s="7" t="str">
        <f t="shared" si="18"/>
        <v>August</v>
      </c>
      <c r="E640" s="3">
        <f t="shared" si="19"/>
        <v>42978</v>
      </c>
      <c r="F640" s="3">
        <v>43105</v>
      </c>
      <c r="G640" t="s">
        <v>50</v>
      </c>
      <c r="H640" t="s">
        <v>440</v>
      </c>
      <c r="I640" t="s">
        <v>441</v>
      </c>
      <c r="J640" t="s">
        <v>102</v>
      </c>
      <c r="K640" t="s">
        <v>27</v>
      </c>
      <c r="L640" t="s">
        <v>2110</v>
      </c>
      <c r="M640" t="s">
        <v>43</v>
      </c>
      <c r="N640">
        <v>94591</v>
      </c>
      <c r="O640" t="s">
        <v>44</v>
      </c>
      <c r="P640" t="s">
        <v>922</v>
      </c>
      <c r="Q640" t="s">
        <v>32</v>
      </c>
      <c r="R640" t="s">
        <v>65</v>
      </c>
      <c r="S640" t="s">
        <v>923</v>
      </c>
      <c r="T640" s="4">
        <v>1049.2</v>
      </c>
      <c r="U640">
        <v>5</v>
      </c>
      <c r="V640">
        <v>0</v>
      </c>
      <c r="W640" s="4">
        <v>272.79199999999997</v>
      </c>
    </row>
    <row r="641" spans="1:23" x14ac:dyDescent="0.3">
      <c r="A641">
        <v>640</v>
      </c>
      <c r="B641" t="s">
        <v>2109</v>
      </c>
      <c r="C641" s="3">
        <v>42952</v>
      </c>
      <c r="D641" s="7" t="str">
        <f t="shared" si="18"/>
        <v>August</v>
      </c>
      <c r="E641" s="3">
        <f t="shared" si="19"/>
        <v>42978</v>
      </c>
      <c r="F641" s="3">
        <v>43105</v>
      </c>
      <c r="G641" t="s">
        <v>50</v>
      </c>
      <c r="H641" t="s">
        <v>440</v>
      </c>
      <c r="I641" t="s">
        <v>441</v>
      </c>
      <c r="J641" t="s">
        <v>102</v>
      </c>
      <c r="K641" t="s">
        <v>27</v>
      </c>
      <c r="L641" t="s">
        <v>2110</v>
      </c>
      <c r="M641" t="s">
        <v>43</v>
      </c>
      <c r="N641">
        <v>94591</v>
      </c>
      <c r="O641" t="s">
        <v>44</v>
      </c>
      <c r="P641" t="s">
        <v>2111</v>
      </c>
      <c r="Q641" t="s">
        <v>46</v>
      </c>
      <c r="R641" t="s">
        <v>75</v>
      </c>
      <c r="S641" t="s">
        <v>2112</v>
      </c>
      <c r="T641" s="4">
        <v>15.423999999999999</v>
      </c>
      <c r="U641">
        <v>4</v>
      </c>
      <c r="V641">
        <v>0.2</v>
      </c>
      <c r="W641" s="4">
        <v>5.0128000000000004</v>
      </c>
    </row>
    <row r="642" spans="1:23" x14ac:dyDescent="0.3">
      <c r="A642">
        <v>641</v>
      </c>
      <c r="B642" t="s">
        <v>2113</v>
      </c>
      <c r="C642" s="3">
        <v>42898</v>
      </c>
      <c r="D642" s="7" t="str">
        <f t="shared" si="18"/>
        <v>June</v>
      </c>
      <c r="E642" s="3">
        <f t="shared" si="19"/>
        <v>42916</v>
      </c>
      <c r="F642" s="3">
        <v>43020</v>
      </c>
      <c r="G642" t="s">
        <v>50</v>
      </c>
      <c r="H642" t="s">
        <v>2114</v>
      </c>
      <c r="I642" t="s">
        <v>2115</v>
      </c>
      <c r="J642" t="s">
        <v>41</v>
      </c>
      <c r="K642" t="s">
        <v>27</v>
      </c>
      <c r="L642" t="s">
        <v>409</v>
      </c>
      <c r="M642" t="s">
        <v>229</v>
      </c>
      <c r="N642">
        <v>55407</v>
      </c>
      <c r="O642" t="s">
        <v>105</v>
      </c>
      <c r="P642" t="s">
        <v>2116</v>
      </c>
      <c r="Q642" t="s">
        <v>32</v>
      </c>
      <c r="R642" t="s">
        <v>65</v>
      </c>
      <c r="S642" t="s">
        <v>2117</v>
      </c>
      <c r="T642" s="4">
        <v>18.84</v>
      </c>
      <c r="U642">
        <v>3</v>
      </c>
      <c r="V642">
        <v>0</v>
      </c>
      <c r="W642" s="4">
        <v>6.0288000000000004</v>
      </c>
    </row>
    <row r="643" spans="1:23" x14ac:dyDescent="0.3">
      <c r="A643">
        <v>642</v>
      </c>
      <c r="B643" t="s">
        <v>2118</v>
      </c>
      <c r="C643" s="3">
        <v>43623</v>
      </c>
      <c r="D643" s="7" t="str">
        <f t="shared" ref="D643:D706" si="20">TEXT(C643,"mmmm")</f>
        <v>June</v>
      </c>
      <c r="E643" s="3">
        <f t="shared" ref="E643:E706" si="21">EOMONTH(C643,0)</f>
        <v>43646</v>
      </c>
      <c r="F643" s="3">
        <v>42802</v>
      </c>
      <c r="G643" t="s">
        <v>23</v>
      </c>
      <c r="H643" t="s">
        <v>2119</v>
      </c>
      <c r="I643" t="s">
        <v>2120</v>
      </c>
      <c r="J643" t="s">
        <v>26</v>
      </c>
      <c r="K643" t="s">
        <v>27</v>
      </c>
      <c r="L643" t="s">
        <v>2121</v>
      </c>
      <c r="M643" t="s">
        <v>43</v>
      </c>
      <c r="N643">
        <v>92691</v>
      </c>
      <c r="O643" t="s">
        <v>44</v>
      </c>
      <c r="P643" t="s">
        <v>2122</v>
      </c>
      <c r="Q643" t="s">
        <v>46</v>
      </c>
      <c r="R643" t="s">
        <v>59</v>
      </c>
      <c r="S643" t="s">
        <v>2123</v>
      </c>
      <c r="T643" s="4">
        <v>330.4</v>
      </c>
      <c r="U643">
        <v>2</v>
      </c>
      <c r="V643">
        <v>0</v>
      </c>
      <c r="W643" s="4">
        <v>85.903999999999996</v>
      </c>
    </row>
    <row r="644" spans="1:23" x14ac:dyDescent="0.3">
      <c r="A644">
        <v>643</v>
      </c>
      <c r="B644" t="s">
        <v>2118</v>
      </c>
      <c r="C644" s="3">
        <v>43623</v>
      </c>
      <c r="D644" s="7" t="str">
        <f t="shared" si="20"/>
        <v>June</v>
      </c>
      <c r="E644" s="3">
        <f t="shared" si="21"/>
        <v>43646</v>
      </c>
      <c r="F644" s="3">
        <v>42802</v>
      </c>
      <c r="G644" t="s">
        <v>23</v>
      </c>
      <c r="H644" t="s">
        <v>2119</v>
      </c>
      <c r="I644" t="s">
        <v>2120</v>
      </c>
      <c r="J644" t="s">
        <v>26</v>
      </c>
      <c r="K644" t="s">
        <v>27</v>
      </c>
      <c r="L644" t="s">
        <v>2121</v>
      </c>
      <c r="M644" t="s">
        <v>43</v>
      </c>
      <c r="N644">
        <v>92691</v>
      </c>
      <c r="O644" t="s">
        <v>44</v>
      </c>
      <c r="P644" t="s">
        <v>2124</v>
      </c>
      <c r="Q644" t="s">
        <v>46</v>
      </c>
      <c r="R644" t="s">
        <v>47</v>
      </c>
      <c r="S644" t="s">
        <v>2125</v>
      </c>
      <c r="T644" s="4">
        <v>26.25</v>
      </c>
      <c r="U644">
        <v>7</v>
      </c>
      <c r="V644">
        <v>0</v>
      </c>
      <c r="W644" s="4">
        <v>12.6</v>
      </c>
    </row>
    <row r="645" spans="1:23" x14ac:dyDescent="0.3">
      <c r="A645">
        <v>644</v>
      </c>
      <c r="B645" t="s">
        <v>2126</v>
      </c>
      <c r="C645" s="3">
        <v>43014</v>
      </c>
      <c r="D645" s="7" t="str">
        <f t="shared" si="20"/>
        <v>October</v>
      </c>
      <c r="E645" s="3">
        <f t="shared" si="21"/>
        <v>43039</v>
      </c>
      <c r="F645" s="3">
        <v>43165</v>
      </c>
      <c r="G645" t="s">
        <v>50</v>
      </c>
      <c r="H645" t="s">
        <v>2127</v>
      </c>
      <c r="I645" t="s">
        <v>2128</v>
      </c>
      <c r="J645" t="s">
        <v>26</v>
      </c>
      <c r="K645" t="s">
        <v>27</v>
      </c>
      <c r="L645" t="s">
        <v>2129</v>
      </c>
      <c r="M645" t="s">
        <v>238</v>
      </c>
      <c r="N645">
        <v>48307</v>
      </c>
      <c r="O645" t="s">
        <v>105</v>
      </c>
      <c r="P645" t="s">
        <v>909</v>
      </c>
      <c r="Q645" t="s">
        <v>71</v>
      </c>
      <c r="R645" t="s">
        <v>161</v>
      </c>
      <c r="S645" t="s">
        <v>1789</v>
      </c>
      <c r="T645" s="4">
        <v>132.52000000000001</v>
      </c>
      <c r="U645">
        <v>4</v>
      </c>
      <c r="V645">
        <v>0</v>
      </c>
      <c r="W645" s="4">
        <v>54.333199999999998</v>
      </c>
    </row>
    <row r="646" spans="1:23" x14ac:dyDescent="0.3">
      <c r="A646">
        <v>645</v>
      </c>
      <c r="B646" t="s">
        <v>2130</v>
      </c>
      <c r="C646" s="3">
        <v>43350</v>
      </c>
      <c r="D646" s="7" t="str">
        <f t="shared" si="20"/>
        <v>September</v>
      </c>
      <c r="E646" s="3">
        <f t="shared" si="21"/>
        <v>43373</v>
      </c>
      <c r="F646" s="3">
        <v>43472</v>
      </c>
      <c r="G646" t="s">
        <v>50</v>
      </c>
      <c r="H646" t="s">
        <v>621</v>
      </c>
      <c r="I646" t="s">
        <v>622</v>
      </c>
      <c r="J646" t="s">
        <v>102</v>
      </c>
      <c r="K646" t="s">
        <v>27</v>
      </c>
      <c r="L646" t="s">
        <v>2131</v>
      </c>
      <c r="M646" t="s">
        <v>790</v>
      </c>
      <c r="N646">
        <v>7060</v>
      </c>
      <c r="O646" t="s">
        <v>148</v>
      </c>
      <c r="P646" t="s">
        <v>2132</v>
      </c>
      <c r="Q646" t="s">
        <v>46</v>
      </c>
      <c r="R646" t="s">
        <v>90</v>
      </c>
      <c r="S646" t="s">
        <v>2133</v>
      </c>
      <c r="T646" s="4">
        <v>6.48</v>
      </c>
      <c r="U646">
        <v>1</v>
      </c>
      <c r="V646">
        <v>0</v>
      </c>
      <c r="W646" s="4">
        <v>3.1751999999999998</v>
      </c>
    </row>
    <row r="647" spans="1:23" x14ac:dyDescent="0.3">
      <c r="A647">
        <v>646</v>
      </c>
      <c r="B647" t="s">
        <v>2134</v>
      </c>
      <c r="C647" s="3">
        <v>43628</v>
      </c>
      <c r="D647" s="7" t="str">
        <f t="shared" si="20"/>
        <v>June</v>
      </c>
      <c r="E647" s="3">
        <f t="shared" si="21"/>
        <v>43646</v>
      </c>
      <c r="F647" s="3">
        <v>43221</v>
      </c>
      <c r="G647" t="s">
        <v>50</v>
      </c>
      <c r="H647" t="s">
        <v>2135</v>
      </c>
      <c r="I647" t="s">
        <v>2136</v>
      </c>
      <c r="J647" t="s">
        <v>102</v>
      </c>
      <c r="K647" t="s">
        <v>27</v>
      </c>
      <c r="L647" t="s">
        <v>497</v>
      </c>
      <c r="M647" t="s">
        <v>254</v>
      </c>
      <c r="N647">
        <v>47201</v>
      </c>
      <c r="O647" t="s">
        <v>105</v>
      </c>
      <c r="P647" t="s">
        <v>2137</v>
      </c>
      <c r="Q647" t="s">
        <v>46</v>
      </c>
      <c r="R647" t="s">
        <v>78</v>
      </c>
      <c r="S647" t="s">
        <v>2138</v>
      </c>
      <c r="T647" s="4">
        <v>209.3</v>
      </c>
      <c r="U647">
        <v>2</v>
      </c>
      <c r="V647">
        <v>0</v>
      </c>
      <c r="W647" s="4">
        <v>56.511000000000003</v>
      </c>
    </row>
    <row r="648" spans="1:23" x14ac:dyDescent="0.3">
      <c r="A648">
        <v>647</v>
      </c>
      <c r="B648" t="s">
        <v>2139</v>
      </c>
      <c r="C648" s="3">
        <v>42373</v>
      </c>
      <c r="D648" s="7" t="str">
        <f t="shared" si="20"/>
        <v>January</v>
      </c>
      <c r="E648" s="3">
        <f t="shared" si="21"/>
        <v>42400</v>
      </c>
      <c r="F648" s="3">
        <v>42586</v>
      </c>
      <c r="G648" t="s">
        <v>50</v>
      </c>
      <c r="H648" t="s">
        <v>1028</v>
      </c>
      <c r="I648" t="s">
        <v>1029</v>
      </c>
      <c r="J648" t="s">
        <v>41</v>
      </c>
      <c r="K648" t="s">
        <v>27</v>
      </c>
      <c r="L648" t="s">
        <v>2140</v>
      </c>
      <c r="M648" t="s">
        <v>310</v>
      </c>
      <c r="N648">
        <v>85635</v>
      </c>
      <c r="O648" t="s">
        <v>44</v>
      </c>
      <c r="P648" t="s">
        <v>2141</v>
      </c>
      <c r="Q648" t="s">
        <v>46</v>
      </c>
      <c r="R648" t="s">
        <v>269</v>
      </c>
      <c r="S648" t="s">
        <v>563</v>
      </c>
      <c r="T648" s="4">
        <v>31.56</v>
      </c>
      <c r="U648">
        <v>5</v>
      </c>
      <c r="V648">
        <v>0.2</v>
      </c>
      <c r="W648" s="4">
        <v>9.8625000000000007</v>
      </c>
    </row>
    <row r="649" spans="1:23" x14ac:dyDescent="0.3">
      <c r="A649">
        <v>648</v>
      </c>
      <c r="B649" t="s">
        <v>2139</v>
      </c>
      <c r="C649" s="3">
        <v>42373</v>
      </c>
      <c r="D649" s="7" t="str">
        <f t="shared" si="20"/>
        <v>January</v>
      </c>
      <c r="E649" s="3">
        <f t="shared" si="21"/>
        <v>42400</v>
      </c>
      <c r="F649" s="3">
        <v>42586</v>
      </c>
      <c r="G649" t="s">
        <v>50</v>
      </c>
      <c r="H649" t="s">
        <v>1028</v>
      </c>
      <c r="I649" t="s">
        <v>1029</v>
      </c>
      <c r="J649" t="s">
        <v>41</v>
      </c>
      <c r="K649" t="s">
        <v>27</v>
      </c>
      <c r="L649" t="s">
        <v>2140</v>
      </c>
      <c r="M649" t="s">
        <v>310</v>
      </c>
      <c r="N649">
        <v>85635</v>
      </c>
      <c r="O649" t="s">
        <v>44</v>
      </c>
      <c r="P649" t="s">
        <v>2142</v>
      </c>
      <c r="Q649" t="s">
        <v>46</v>
      </c>
      <c r="R649" t="s">
        <v>78</v>
      </c>
      <c r="S649" t="s">
        <v>2143</v>
      </c>
      <c r="T649" s="4">
        <v>30.143999999999998</v>
      </c>
      <c r="U649">
        <v>2</v>
      </c>
      <c r="V649">
        <v>0.2</v>
      </c>
      <c r="W649" s="4">
        <v>3.0144000000000002</v>
      </c>
    </row>
    <row r="650" spans="1:23" x14ac:dyDescent="0.3">
      <c r="A650">
        <v>649</v>
      </c>
      <c r="B650" t="s">
        <v>2144</v>
      </c>
      <c r="C650" s="3">
        <v>42686</v>
      </c>
      <c r="D650" s="7" t="str">
        <f t="shared" si="20"/>
        <v>November</v>
      </c>
      <c r="E650" s="3">
        <f t="shared" si="21"/>
        <v>42704</v>
      </c>
      <c r="F650" s="3">
        <v>42837</v>
      </c>
      <c r="G650" t="s">
        <v>23</v>
      </c>
      <c r="H650" t="s">
        <v>2145</v>
      </c>
      <c r="I650" t="s">
        <v>2146</v>
      </c>
      <c r="J650" t="s">
        <v>41</v>
      </c>
      <c r="K650" t="s">
        <v>27</v>
      </c>
      <c r="L650" t="s">
        <v>2147</v>
      </c>
      <c r="M650" t="s">
        <v>96</v>
      </c>
      <c r="N650">
        <v>98661</v>
      </c>
      <c r="O650" t="s">
        <v>44</v>
      </c>
      <c r="P650" t="s">
        <v>1366</v>
      </c>
      <c r="Q650" t="s">
        <v>32</v>
      </c>
      <c r="R650" t="s">
        <v>65</v>
      </c>
      <c r="S650" t="s">
        <v>1367</v>
      </c>
      <c r="T650" s="4">
        <v>14.8</v>
      </c>
      <c r="U650">
        <v>4</v>
      </c>
      <c r="V650">
        <v>0</v>
      </c>
      <c r="W650" s="4">
        <v>6.0679999999999996</v>
      </c>
    </row>
    <row r="651" spans="1:23" x14ac:dyDescent="0.3">
      <c r="A651">
        <v>650</v>
      </c>
      <c r="B651" t="s">
        <v>2144</v>
      </c>
      <c r="C651" s="3">
        <v>42686</v>
      </c>
      <c r="D651" s="7" t="str">
        <f t="shared" si="20"/>
        <v>November</v>
      </c>
      <c r="E651" s="3">
        <f t="shared" si="21"/>
        <v>42704</v>
      </c>
      <c r="F651" s="3">
        <v>42837</v>
      </c>
      <c r="G651" t="s">
        <v>23</v>
      </c>
      <c r="H651" t="s">
        <v>2145</v>
      </c>
      <c r="I651" t="s">
        <v>2146</v>
      </c>
      <c r="J651" t="s">
        <v>41</v>
      </c>
      <c r="K651" t="s">
        <v>27</v>
      </c>
      <c r="L651" t="s">
        <v>2147</v>
      </c>
      <c r="M651" t="s">
        <v>96</v>
      </c>
      <c r="N651">
        <v>98661</v>
      </c>
      <c r="O651" t="s">
        <v>44</v>
      </c>
      <c r="P651" t="s">
        <v>739</v>
      </c>
      <c r="Q651" t="s">
        <v>71</v>
      </c>
      <c r="R651" t="s">
        <v>72</v>
      </c>
      <c r="S651" t="s">
        <v>740</v>
      </c>
      <c r="T651" s="4">
        <v>302.37599999999998</v>
      </c>
      <c r="U651">
        <v>3</v>
      </c>
      <c r="V651">
        <v>0.2</v>
      </c>
      <c r="W651" s="4">
        <v>22.6782</v>
      </c>
    </row>
    <row r="652" spans="1:23" x14ac:dyDescent="0.3">
      <c r="A652">
        <v>651</v>
      </c>
      <c r="B652" t="s">
        <v>2144</v>
      </c>
      <c r="C652" s="3">
        <v>42686</v>
      </c>
      <c r="D652" s="7" t="str">
        <f t="shared" si="20"/>
        <v>November</v>
      </c>
      <c r="E652" s="3">
        <f t="shared" si="21"/>
        <v>42704</v>
      </c>
      <c r="F652" s="3">
        <v>42837</v>
      </c>
      <c r="G652" t="s">
        <v>23</v>
      </c>
      <c r="H652" t="s">
        <v>2145</v>
      </c>
      <c r="I652" t="s">
        <v>2146</v>
      </c>
      <c r="J652" t="s">
        <v>41</v>
      </c>
      <c r="K652" t="s">
        <v>27</v>
      </c>
      <c r="L652" t="s">
        <v>2147</v>
      </c>
      <c r="M652" t="s">
        <v>96</v>
      </c>
      <c r="N652">
        <v>98661</v>
      </c>
      <c r="O652" t="s">
        <v>44</v>
      </c>
      <c r="P652" t="s">
        <v>2148</v>
      </c>
      <c r="Q652" t="s">
        <v>71</v>
      </c>
      <c r="R652" t="s">
        <v>161</v>
      </c>
      <c r="S652" t="s">
        <v>2149</v>
      </c>
      <c r="T652" s="4">
        <v>316</v>
      </c>
      <c r="U652">
        <v>4</v>
      </c>
      <c r="V652">
        <v>0</v>
      </c>
      <c r="W652" s="4">
        <v>31.6</v>
      </c>
    </row>
    <row r="653" spans="1:23" x14ac:dyDescent="0.3">
      <c r="A653">
        <v>652</v>
      </c>
      <c r="B653" t="s">
        <v>2150</v>
      </c>
      <c r="C653" s="3">
        <v>43049</v>
      </c>
      <c r="D653" s="7" t="str">
        <f t="shared" si="20"/>
        <v>November</v>
      </c>
      <c r="E653" s="3">
        <f t="shared" si="21"/>
        <v>43069</v>
      </c>
      <c r="F653" s="3">
        <v>43230</v>
      </c>
      <c r="G653" t="s">
        <v>50</v>
      </c>
      <c r="H653" t="s">
        <v>2151</v>
      </c>
      <c r="I653" t="s">
        <v>2152</v>
      </c>
      <c r="J653" t="s">
        <v>102</v>
      </c>
      <c r="K653" t="s">
        <v>27</v>
      </c>
      <c r="L653" t="s">
        <v>266</v>
      </c>
      <c r="M653" t="s">
        <v>267</v>
      </c>
      <c r="N653">
        <v>10024</v>
      </c>
      <c r="O653" t="s">
        <v>148</v>
      </c>
      <c r="P653" t="s">
        <v>320</v>
      </c>
      <c r="Q653" t="s">
        <v>46</v>
      </c>
      <c r="R653" t="s">
        <v>90</v>
      </c>
      <c r="S653" t="s">
        <v>321</v>
      </c>
      <c r="T653" s="4">
        <v>379.4</v>
      </c>
      <c r="U653">
        <v>10</v>
      </c>
      <c r="V653">
        <v>0</v>
      </c>
      <c r="W653" s="4">
        <v>178.31800000000001</v>
      </c>
    </row>
    <row r="654" spans="1:23" x14ac:dyDescent="0.3">
      <c r="A654">
        <v>653</v>
      </c>
      <c r="B654" t="s">
        <v>2153</v>
      </c>
      <c r="C654" s="3">
        <v>43287</v>
      </c>
      <c r="D654" s="7" t="str">
        <f t="shared" si="20"/>
        <v>July</v>
      </c>
      <c r="E654" s="3">
        <f t="shared" si="21"/>
        <v>43312</v>
      </c>
      <c r="F654" s="3">
        <v>43410</v>
      </c>
      <c r="G654" t="s">
        <v>50</v>
      </c>
      <c r="H654" t="s">
        <v>1328</v>
      </c>
      <c r="I654" t="s">
        <v>1329</v>
      </c>
      <c r="J654" t="s">
        <v>41</v>
      </c>
      <c r="K654" t="s">
        <v>27</v>
      </c>
      <c r="L654" t="s">
        <v>266</v>
      </c>
      <c r="M654" t="s">
        <v>267</v>
      </c>
      <c r="N654">
        <v>10035</v>
      </c>
      <c r="O654" t="s">
        <v>148</v>
      </c>
      <c r="P654" t="s">
        <v>296</v>
      </c>
      <c r="Q654" t="s">
        <v>46</v>
      </c>
      <c r="R654" t="s">
        <v>90</v>
      </c>
      <c r="S654" t="s">
        <v>297</v>
      </c>
      <c r="T654" s="4">
        <v>97.82</v>
      </c>
      <c r="U654">
        <v>2</v>
      </c>
      <c r="V654">
        <v>0</v>
      </c>
      <c r="W654" s="4">
        <v>45.9754</v>
      </c>
    </row>
    <row r="655" spans="1:23" x14ac:dyDescent="0.3">
      <c r="A655">
        <v>654</v>
      </c>
      <c r="B655" t="s">
        <v>2153</v>
      </c>
      <c r="C655" s="3">
        <v>43287</v>
      </c>
      <c r="D655" s="7" t="str">
        <f t="shared" si="20"/>
        <v>July</v>
      </c>
      <c r="E655" s="3">
        <f t="shared" si="21"/>
        <v>43312</v>
      </c>
      <c r="F655" s="3">
        <v>43410</v>
      </c>
      <c r="G655" t="s">
        <v>50</v>
      </c>
      <c r="H655" t="s">
        <v>1328</v>
      </c>
      <c r="I655" t="s">
        <v>1329</v>
      </c>
      <c r="J655" t="s">
        <v>41</v>
      </c>
      <c r="K655" t="s">
        <v>27</v>
      </c>
      <c r="L655" t="s">
        <v>266</v>
      </c>
      <c r="M655" t="s">
        <v>267</v>
      </c>
      <c r="N655">
        <v>10035</v>
      </c>
      <c r="O655" t="s">
        <v>148</v>
      </c>
      <c r="P655" t="s">
        <v>2154</v>
      </c>
      <c r="Q655" t="s">
        <v>71</v>
      </c>
      <c r="R655" t="s">
        <v>161</v>
      </c>
      <c r="S655" t="s">
        <v>2155</v>
      </c>
      <c r="T655" s="4">
        <v>103.12</v>
      </c>
      <c r="U655">
        <v>8</v>
      </c>
      <c r="V655">
        <v>0</v>
      </c>
      <c r="W655" s="4">
        <v>10.311999999999999</v>
      </c>
    </row>
    <row r="656" spans="1:23" x14ac:dyDescent="0.3">
      <c r="A656">
        <v>655</v>
      </c>
      <c r="B656" t="s">
        <v>2156</v>
      </c>
      <c r="C656" s="3">
        <v>43016</v>
      </c>
      <c r="D656" s="7" t="str">
        <f t="shared" si="20"/>
        <v>October</v>
      </c>
      <c r="E656" s="3">
        <f t="shared" si="21"/>
        <v>43039</v>
      </c>
      <c r="F656" s="3">
        <v>43198</v>
      </c>
      <c r="G656" t="s">
        <v>50</v>
      </c>
      <c r="H656" t="s">
        <v>2157</v>
      </c>
      <c r="I656" t="s">
        <v>2158</v>
      </c>
      <c r="J656" t="s">
        <v>26</v>
      </c>
      <c r="K656" t="s">
        <v>27</v>
      </c>
      <c r="L656" t="s">
        <v>497</v>
      </c>
      <c r="M656" t="s">
        <v>498</v>
      </c>
      <c r="N656">
        <v>43229</v>
      </c>
      <c r="O656" t="s">
        <v>148</v>
      </c>
      <c r="P656" t="s">
        <v>2159</v>
      </c>
      <c r="Q656" t="s">
        <v>46</v>
      </c>
      <c r="R656" t="s">
        <v>78</v>
      </c>
      <c r="S656" t="s">
        <v>2160</v>
      </c>
      <c r="T656" s="4">
        <v>113.55200000000001</v>
      </c>
      <c r="U656">
        <v>2</v>
      </c>
      <c r="V656">
        <v>0.2</v>
      </c>
      <c r="W656" s="4">
        <v>8.5164000000000009</v>
      </c>
    </row>
    <row r="657" spans="1:23" x14ac:dyDescent="0.3">
      <c r="A657">
        <v>656</v>
      </c>
      <c r="B657" t="s">
        <v>2156</v>
      </c>
      <c r="C657" s="3">
        <v>43016</v>
      </c>
      <c r="D657" s="7" t="str">
        <f t="shared" si="20"/>
        <v>October</v>
      </c>
      <c r="E657" s="3">
        <f t="shared" si="21"/>
        <v>43039</v>
      </c>
      <c r="F657" s="3">
        <v>43198</v>
      </c>
      <c r="G657" t="s">
        <v>50</v>
      </c>
      <c r="H657" t="s">
        <v>2157</v>
      </c>
      <c r="I657" t="s">
        <v>2158</v>
      </c>
      <c r="J657" t="s">
        <v>26</v>
      </c>
      <c r="K657" t="s">
        <v>27</v>
      </c>
      <c r="L657" t="s">
        <v>497</v>
      </c>
      <c r="M657" t="s">
        <v>498</v>
      </c>
      <c r="N657">
        <v>43229</v>
      </c>
      <c r="O657" t="s">
        <v>148</v>
      </c>
      <c r="P657" t="s">
        <v>2161</v>
      </c>
      <c r="Q657" t="s">
        <v>46</v>
      </c>
      <c r="R657" t="s">
        <v>75</v>
      </c>
      <c r="S657" t="s">
        <v>2162</v>
      </c>
      <c r="T657" s="4">
        <v>3.3180000000000001</v>
      </c>
      <c r="U657">
        <v>2</v>
      </c>
      <c r="V657">
        <v>0.7</v>
      </c>
      <c r="W657" s="4">
        <v>-2.6543999999999999</v>
      </c>
    </row>
    <row r="658" spans="1:23" x14ac:dyDescent="0.3">
      <c r="A658">
        <v>657</v>
      </c>
      <c r="B658" t="s">
        <v>2156</v>
      </c>
      <c r="C658" s="3">
        <v>43016</v>
      </c>
      <c r="D658" s="7" t="str">
        <f t="shared" si="20"/>
        <v>October</v>
      </c>
      <c r="E658" s="3">
        <f t="shared" si="21"/>
        <v>43039</v>
      </c>
      <c r="F658" s="3">
        <v>43198</v>
      </c>
      <c r="G658" t="s">
        <v>50</v>
      </c>
      <c r="H658" t="s">
        <v>2157</v>
      </c>
      <c r="I658" t="s">
        <v>2158</v>
      </c>
      <c r="J658" t="s">
        <v>26</v>
      </c>
      <c r="K658" t="s">
        <v>27</v>
      </c>
      <c r="L658" t="s">
        <v>497</v>
      </c>
      <c r="M658" t="s">
        <v>498</v>
      </c>
      <c r="N658">
        <v>43229</v>
      </c>
      <c r="O658" t="s">
        <v>148</v>
      </c>
      <c r="P658" t="s">
        <v>2163</v>
      </c>
      <c r="Q658" t="s">
        <v>46</v>
      </c>
      <c r="R658" t="s">
        <v>173</v>
      </c>
      <c r="S658" t="s">
        <v>2164</v>
      </c>
      <c r="T658" s="4">
        <v>134.28800000000001</v>
      </c>
      <c r="U658">
        <v>2</v>
      </c>
      <c r="V658">
        <v>0.2</v>
      </c>
      <c r="W658" s="4">
        <v>45.322200000000002</v>
      </c>
    </row>
    <row r="659" spans="1:23" x14ac:dyDescent="0.3">
      <c r="A659">
        <v>658</v>
      </c>
      <c r="B659" t="s">
        <v>2165</v>
      </c>
      <c r="C659" s="3">
        <v>42925</v>
      </c>
      <c r="D659" s="7" t="str">
        <f t="shared" si="20"/>
        <v>July</v>
      </c>
      <c r="E659" s="3">
        <f t="shared" si="21"/>
        <v>42947</v>
      </c>
      <c r="F659" s="3">
        <v>42925</v>
      </c>
      <c r="G659" t="s">
        <v>1293</v>
      </c>
      <c r="H659" t="s">
        <v>2166</v>
      </c>
      <c r="I659" t="s">
        <v>2167</v>
      </c>
      <c r="J659" t="s">
        <v>102</v>
      </c>
      <c r="K659" t="s">
        <v>27</v>
      </c>
      <c r="L659" t="s">
        <v>456</v>
      </c>
      <c r="M659" t="s">
        <v>211</v>
      </c>
      <c r="N659">
        <v>60505</v>
      </c>
      <c r="O659" t="s">
        <v>105</v>
      </c>
      <c r="P659" t="s">
        <v>1731</v>
      </c>
      <c r="Q659" t="s">
        <v>32</v>
      </c>
      <c r="R659" t="s">
        <v>36</v>
      </c>
      <c r="S659" t="s">
        <v>1732</v>
      </c>
      <c r="T659" s="4">
        <v>701.37199999999996</v>
      </c>
      <c r="U659">
        <v>2</v>
      </c>
      <c r="V659">
        <v>0.3</v>
      </c>
      <c r="W659" s="4">
        <v>-50.097999999999999</v>
      </c>
    </row>
    <row r="660" spans="1:23" x14ac:dyDescent="0.3">
      <c r="A660">
        <v>659</v>
      </c>
      <c r="B660" t="s">
        <v>2165</v>
      </c>
      <c r="C660" s="3">
        <v>42925</v>
      </c>
      <c r="D660" s="7" t="str">
        <f t="shared" si="20"/>
        <v>July</v>
      </c>
      <c r="E660" s="3">
        <f t="shared" si="21"/>
        <v>42947</v>
      </c>
      <c r="F660" s="3">
        <v>42925</v>
      </c>
      <c r="G660" t="s">
        <v>1293</v>
      </c>
      <c r="H660" t="s">
        <v>2166</v>
      </c>
      <c r="I660" t="s">
        <v>2167</v>
      </c>
      <c r="J660" t="s">
        <v>102</v>
      </c>
      <c r="K660" t="s">
        <v>27</v>
      </c>
      <c r="L660" t="s">
        <v>456</v>
      </c>
      <c r="M660" t="s">
        <v>211</v>
      </c>
      <c r="N660">
        <v>60505</v>
      </c>
      <c r="O660" t="s">
        <v>105</v>
      </c>
      <c r="P660" t="s">
        <v>325</v>
      </c>
      <c r="Q660" t="s">
        <v>46</v>
      </c>
      <c r="R660" t="s">
        <v>75</v>
      </c>
      <c r="S660" t="s">
        <v>326</v>
      </c>
      <c r="T660" s="4">
        <v>2.3079999999999998</v>
      </c>
      <c r="U660">
        <v>2</v>
      </c>
      <c r="V660">
        <v>0.8</v>
      </c>
      <c r="W660" s="4">
        <v>-3.4620000000000002</v>
      </c>
    </row>
    <row r="661" spans="1:23" x14ac:dyDescent="0.3">
      <c r="A661">
        <v>660</v>
      </c>
      <c r="B661" t="s">
        <v>2168</v>
      </c>
      <c r="C661" s="3">
        <v>42712</v>
      </c>
      <c r="D661" s="7" t="str">
        <f t="shared" si="20"/>
        <v>December</v>
      </c>
      <c r="E661" s="3">
        <f t="shared" si="21"/>
        <v>42735</v>
      </c>
      <c r="F661" s="3">
        <v>42833</v>
      </c>
      <c r="G661" t="s">
        <v>50</v>
      </c>
      <c r="H661" t="s">
        <v>779</v>
      </c>
      <c r="I661" t="s">
        <v>780</v>
      </c>
      <c r="J661" t="s">
        <v>26</v>
      </c>
      <c r="K661" t="s">
        <v>27</v>
      </c>
      <c r="L661" t="s">
        <v>1130</v>
      </c>
      <c r="M661" t="s">
        <v>104</v>
      </c>
      <c r="N661">
        <v>76017</v>
      </c>
      <c r="O661" t="s">
        <v>105</v>
      </c>
      <c r="P661" t="s">
        <v>2016</v>
      </c>
      <c r="Q661" t="s">
        <v>46</v>
      </c>
      <c r="R661" t="s">
        <v>59</v>
      </c>
      <c r="S661" t="s">
        <v>2017</v>
      </c>
      <c r="T661" s="4">
        <v>999.43200000000002</v>
      </c>
      <c r="U661">
        <v>7</v>
      </c>
      <c r="V661">
        <v>0.2</v>
      </c>
      <c r="W661" s="4">
        <v>124.929</v>
      </c>
    </row>
    <row r="662" spans="1:23" x14ac:dyDescent="0.3">
      <c r="A662">
        <v>661</v>
      </c>
      <c r="B662" t="s">
        <v>2168</v>
      </c>
      <c r="C662" s="3">
        <v>42712</v>
      </c>
      <c r="D662" s="7" t="str">
        <f t="shared" si="20"/>
        <v>December</v>
      </c>
      <c r="E662" s="3">
        <f t="shared" si="21"/>
        <v>42735</v>
      </c>
      <c r="F662" s="3">
        <v>42833</v>
      </c>
      <c r="G662" t="s">
        <v>50</v>
      </c>
      <c r="H662" t="s">
        <v>779</v>
      </c>
      <c r="I662" t="s">
        <v>780</v>
      </c>
      <c r="J662" t="s">
        <v>26</v>
      </c>
      <c r="K662" t="s">
        <v>27</v>
      </c>
      <c r="L662" t="s">
        <v>1130</v>
      </c>
      <c r="M662" t="s">
        <v>104</v>
      </c>
      <c r="N662">
        <v>76017</v>
      </c>
      <c r="O662" t="s">
        <v>105</v>
      </c>
      <c r="P662" t="s">
        <v>2169</v>
      </c>
      <c r="Q662" t="s">
        <v>46</v>
      </c>
      <c r="R662" t="s">
        <v>59</v>
      </c>
      <c r="S662" t="s">
        <v>2170</v>
      </c>
      <c r="T662" s="4">
        <v>724.08</v>
      </c>
      <c r="U662">
        <v>14</v>
      </c>
      <c r="V662">
        <v>0.2</v>
      </c>
      <c r="W662" s="4">
        <v>-135.76499999999999</v>
      </c>
    </row>
    <row r="663" spans="1:23" x14ac:dyDescent="0.3">
      <c r="A663">
        <v>662</v>
      </c>
      <c r="B663" t="s">
        <v>2168</v>
      </c>
      <c r="C663" s="3">
        <v>42712</v>
      </c>
      <c r="D663" s="7" t="str">
        <f t="shared" si="20"/>
        <v>December</v>
      </c>
      <c r="E663" s="3">
        <f t="shared" si="21"/>
        <v>42735</v>
      </c>
      <c r="F663" s="3">
        <v>42833</v>
      </c>
      <c r="G663" t="s">
        <v>50</v>
      </c>
      <c r="H663" t="s">
        <v>779</v>
      </c>
      <c r="I663" t="s">
        <v>780</v>
      </c>
      <c r="J663" t="s">
        <v>26</v>
      </c>
      <c r="K663" t="s">
        <v>27</v>
      </c>
      <c r="L663" t="s">
        <v>1130</v>
      </c>
      <c r="M663" t="s">
        <v>104</v>
      </c>
      <c r="N663">
        <v>76017</v>
      </c>
      <c r="O663" t="s">
        <v>105</v>
      </c>
      <c r="P663" t="s">
        <v>510</v>
      </c>
      <c r="Q663" t="s">
        <v>32</v>
      </c>
      <c r="R663" t="s">
        <v>56</v>
      </c>
      <c r="S663" t="s">
        <v>511</v>
      </c>
      <c r="T663" s="4">
        <v>918.78499999999997</v>
      </c>
      <c r="U663">
        <v>5</v>
      </c>
      <c r="V663">
        <v>0.3</v>
      </c>
      <c r="W663" s="4">
        <v>-118.12949999999999</v>
      </c>
    </row>
    <row r="664" spans="1:23" x14ac:dyDescent="0.3">
      <c r="A664">
        <v>663</v>
      </c>
      <c r="B664" t="s">
        <v>2168</v>
      </c>
      <c r="C664" s="3">
        <v>42712</v>
      </c>
      <c r="D664" s="7" t="str">
        <f t="shared" si="20"/>
        <v>December</v>
      </c>
      <c r="E664" s="3">
        <f t="shared" si="21"/>
        <v>42735</v>
      </c>
      <c r="F664" s="3">
        <v>42833</v>
      </c>
      <c r="G664" t="s">
        <v>50</v>
      </c>
      <c r="H664" t="s">
        <v>779</v>
      </c>
      <c r="I664" t="s">
        <v>780</v>
      </c>
      <c r="J664" t="s">
        <v>26</v>
      </c>
      <c r="K664" t="s">
        <v>27</v>
      </c>
      <c r="L664" t="s">
        <v>1130</v>
      </c>
      <c r="M664" t="s">
        <v>104</v>
      </c>
      <c r="N664">
        <v>76017</v>
      </c>
      <c r="O664" t="s">
        <v>105</v>
      </c>
      <c r="P664" t="s">
        <v>492</v>
      </c>
      <c r="Q664" t="s">
        <v>46</v>
      </c>
      <c r="R664" t="s">
        <v>75</v>
      </c>
      <c r="S664" t="s">
        <v>493</v>
      </c>
      <c r="T664" s="4">
        <v>2.7240000000000002</v>
      </c>
      <c r="U664">
        <v>3</v>
      </c>
      <c r="V664">
        <v>0.8</v>
      </c>
      <c r="W664" s="4">
        <v>-4.2222</v>
      </c>
    </row>
    <row r="665" spans="1:23" x14ac:dyDescent="0.3">
      <c r="A665">
        <v>664</v>
      </c>
      <c r="B665" t="s">
        <v>2171</v>
      </c>
      <c r="C665" s="3">
        <v>43134</v>
      </c>
      <c r="D665" s="7" t="str">
        <f t="shared" si="20"/>
        <v>February</v>
      </c>
      <c r="E665" s="3">
        <f t="shared" si="21"/>
        <v>43159</v>
      </c>
      <c r="F665" s="3">
        <v>43254</v>
      </c>
      <c r="G665" t="s">
        <v>50</v>
      </c>
      <c r="H665" t="s">
        <v>2172</v>
      </c>
      <c r="I665" t="s">
        <v>2173</v>
      </c>
      <c r="J665" t="s">
        <v>41</v>
      </c>
      <c r="K665" t="s">
        <v>27</v>
      </c>
      <c r="L665" t="s">
        <v>266</v>
      </c>
      <c r="M665" t="s">
        <v>267</v>
      </c>
      <c r="N665">
        <v>10011</v>
      </c>
      <c r="O665" t="s">
        <v>148</v>
      </c>
      <c r="P665" t="s">
        <v>841</v>
      </c>
      <c r="Q665" t="s">
        <v>46</v>
      </c>
      <c r="R665" t="s">
        <v>59</v>
      </c>
      <c r="S665" t="s">
        <v>842</v>
      </c>
      <c r="T665" s="4">
        <v>459.95</v>
      </c>
      <c r="U665">
        <v>5</v>
      </c>
      <c r="V665">
        <v>0</v>
      </c>
      <c r="W665" s="4">
        <v>18.398</v>
      </c>
    </row>
    <row r="666" spans="1:23" x14ac:dyDescent="0.3">
      <c r="A666">
        <v>665</v>
      </c>
      <c r="B666" t="s">
        <v>2174</v>
      </c>
      <c r="C666" s="3">
        <v>42471</v>
      </c>
      <c r="D666" s="7" t="str">
        <f t="shared" si="20"/>
        <v>April</v>
      </c>
      <c r="E666" s="3">
        <f t="shared" si="21"/>
        <v>42490</v>
      </c>
      <c r="F666" s="3">
        <v>42471</v>
      </c>
      <c r="G666" t="s">
        <v>1293</v>
      </c>
      <c r="H666" t="s">
        <v>987</v>
      </c>
      <c r="I666" t="s">
        <v>988</v>
      </c>
      <c r="J666" t="s">
        <v>26</v>
      </c>
      <c r="K666" t="s">
        <v>27</v>
      </c>
      <c r="L666" t="s">
        <v>1478</v>
      </c>
      <c r="M666" t="s">
        <v>29</v>
      </c>
      <c r="N666">
        <v>40214</v>
      </c>
      <c r="O666" t="s">
        <v>30</v>
      </c>
      <c r="P666" t="s">
        <v>499</v>
      </c>
      <c r="Q666" t="s">
        <v>46</v>
      </c>
      <c r="R666" t="s">
        <v>269</v>
      </c>
      <c r="S666" t="s">
        <v>500</v>
      </c>
      <c r="T666" s="4">
        <v>10.74</v>
      </c>
      <c r="U666">
        <v>3</v>
      </c>
      <c r="V666">
        <v>0</v>
      </c>
      <c r="W666" s="4">
        <v>5.2625999999999999</v>
      </c>
    </row>
    <row r="667" spans="1:23" x14ac:dyDescent="0.3">
      <c r="A667">
        <v>666</v>
      </c>
      <c r="B667" t="s">
        <v>2175</v>
      </c>
      <c r="C667" s="3">
        <v>42953</v>
      </c>
      <c r="D667" s="7" t="str">
        <f t="shared" si="20"/>
        <v>August</v>
      </c>
      <c r="E667" s="3">
        <f t="shared" si="21"/>
        <v>42978</v>
      </c>
      <c r="F667" s="3">
        <v>43014</v>
      </c>
      <c r="G667" t="s">
        <v>23</v>
      </c>
      <c r="H667" t="s">
        <v>2176</v>
      </c>
      <c r="I667" t="s">
        <v>2177</v>
      </c>
      <c r="J667" t="s">
        <v>41</v>
      </c>
      <c r="K667" t="s">
        <v>27</v>
      </c>
      <c r="L667" t="s">
        <v>817</v>
      </c>
      <c r="M667" t="s">
        <v>104</v>
      </c>
      <c r="N667">
        <v>75081</v>
      </c>
      <c r="O667" t="s">
        <v>105</v>
      </c>
      <c r="P667" t="s">
        <v>2178</v>
      </c>
      <c r="Q667" t="s">
        <v>46</v>
      </c>
      <c r="R667" t="s">
        <v>579</v>
      </c>
      <c r="S667" t="s">
        <v>2179</v>
      </c>
      <c r="T667" s="4">
        <v>23.76</v>
      </c>
      <c r="U667">
        <v>3</v>
      </c>
      <c r="V667">
        <v>0.2</v>
      </c>
      <c r="W667" s="4">
        <v>2.0790000000000002</v>
      </c>
    </row>
    <row r="668" spans="1:23" x14ac:dyDescent="0.3">
      <c r="A668">
        <v>667</v>
      </c>
      <c r="B668" t="s">
        <v>2175</v>
      </c>
      <c r="C668" s="3">
        <v>42953</v>
      </c>
      <c r="D668" s="7" t="str">
        <f t="shared" si="20"/>
        <v>August</v>
      </c>
      <c r="E668" s="3">
        <f t="shared" si="21"/>
        <v>42978</v>
      </c>
      <c r="F668" s="3">
        <v>43014</v>
      </c>
      <c r="G668" t="s">
        <v>23</v>
      </c>
      <c r="H668" t="s">
        <v>2176</v>
      </c>
      <c r="I668" t="s">
        <v>2177</v>
      </c>
      <c r="J668" t="s">
        <v>41</v>
      </c>
      <c r="K668" t="s">
        <v>27</v>
      </c>
      <c r="L668" t="s">
        <v>817</v>
      </c>
      <c r="M668" t="s">
        <v>104</v>
      </c>
      <c r="N668">
        <v>75081</v>
      </c>
      <c r="O668" t="s">
        <v>105</v>
      </c>
      <c r="P668" t="s">
        <v>1057</v>
      </c>
      <c r="Q668" t="s">
        <v>46</v>
      </c>
      <c r="R668" t="s">
        <v>90</v>
      </c>
      <c r="S668" t="s">
        <v>186</v>
      </c>
      <c r="T668" s="4">
        <v>85.055999999999997</v>
      </c>
      <c r="U668">
        <v>3</v>
      </c>
      <c r="V668">
        <v>0.2</v>
      </c>
      <c r="W668" s="4">
        <v>28.706399999999999</v>
      </c>
    </row>
    <row r="669" spans="1:23" x14ac:dyDescent="0.3">
      <c r="A669">
        <v>668</v>
      </c>
      <c r="B669" t="s">
        <v>2175</v>
      </c>
      <c r="C669" s="3">
        <v>42953</v>
      </c>
      <c r="D669" s="7" t="str">
        <f t="shared" si="20"/>
        <v>August</v>
      </c>
      <c r="E669" s="3">
        <f t="shared" si="21"/>
        <v>42978</v>
      </c>
      <c r="F669" s="3">
        <v>43014</v>
      </c>
      <c r="G669" t="s">
        <v>23</v>
      </c>
      <c r="H669" t="s">
        <v>2176</v>
      </c>
      <c r="I669" t="s">
        <v>2177</v>
      </c>
      <c r="J669" t="s">
        <v>41</v>
      </c>
      <c r="K669" t="s">
        <v>27</v>
      </c>
      <c r="L669" t="s">
        <v>817</v>
      </c>
      <c r="M669" t="s">
        <v>104</v>
      </c>
      <c r="N669">
        <v>75081</v>
      </c>
      <c r="O669" t="s">
        <v>105</v>
      </c>
      <c r="P669" t="s">
        <v>2180</v>
      </c>
      <c r="Q669" t="s">
        <v>71</v>
      </c>
      <c r="R669" t="s">
        <v>72</v>
      </c>
      <c r="S669" t="s">
        <v>2181</v>
      </c>
      <c r="T669" s="4">
        <v>381.57600000000002</v>
      </c>
      <c r="U669">
        <v>3</v>
      </c>
      <c r="V669">
        <v>0.2</v>
      </c>
      <c r="W669" s="4">
        <v>28.618200000000002</v>
      </c>
    </row>
    <row r="670" spans="1:23" x14ac:dyDescent="0.3">
      <c r="A670">
        <v>669</v>
      </c>
      <c r="B670" t="s">
        <v>2182</v>
      </c>
      <c r="C670" s="3">
        <v>42350</v>
      </c>
      <c r="D670" s="7" t="str">
        <f t="shared" si="20"/>
        <v>December</v>
      </c>
      <c r="E670" s="3">
        <f t="shared" si="21"/>
        <v>42369</v>
      </c>
      <c r="F670" s="3">
        <v>42412</v>
      </c>
      <c r="G670" t="s">
        <v>188</v>
      </c>
      <c r="H670" t="s">
        <v>2183</v>
      </c>
      <c r="I670" t="s">
        <v>2184</v>
      </c>
      <c r="J670" t="s">
        <v>26</v>
      </c>
      <c r="K670" t="s">
        <v>27</v>
      </c>
      <c r="L670" t="s">
        <v>2185</v>
      </c>
      <c r="M670" t="s">
        <v>498</v>
      </c>
      <c r="N670">
        <v>44105</v>
      </c>
      <c r="O670" t="s">
        <v>148</v>
      </c>
      <c r="P670" t="s">
        <v>2186</v>
      </c>
      <c r="Q670" t="s">
        <v>32</v>
      </c>
      <c r="R670" t="s">
        <v>65</v>
      </c>
      <c r="S670" t="s">
        <v>2187</v>
      </c>
      <c r="T670" s="4">
        <v>30.36</v>
      </c>
      <c r="U670">
        <v>5</v>
      </c>
      <c r="V670">
        <v>0.2</v>
      </c>
      <c r="W670" s="4">
        <v>8.7285000000000004</v>
      </c>
    </row>
    <row r="671" spans="1:23" x14ac:dyDescent="0.3">
      <c r="A671">
        <v>670</v>
      </c>
      <c r="B671" t="s">
        <v>2188</v>
      </c>
      <c r="C671" s="3">
        <v>42984</v>
      </c>
      <c r="D671" s="7" t="str">
        <f t="shared" si="20"/>
        <v>September</v>
      </c>
      <c r="E671" s="3">
        <f t="shared" si="21"/>
        <v>43008</v>
      </c>
      <c r="F671" s="3">
        <v>43106</v>
      </c>
      <c r="G671" t="s">
        <v>50</v>
      </c>
      <c r="H671" t="s">
        <v>2072</v>
      </c>
      <c r="I671" t="s">
        <v>2073</v>
      </c>
      <c r="J671" t="s">
        <v>102</v>
      </c>
      <c r="K671" t="s">
        <v>27</v>
      </c>
      <c r="L671" t="s">
        <v>303</v>
      </c>
      <c r="M671" t="s">
        <v>211</v>
      </c>
      <c r="N671">
        <v>60653</v>
      </c>
      <c r="O671" t="s">
        <v>105</v>
      </c>
      <c r="P671" t="s">
        <v>2189</v>
      </c>
      <c r="Q671" t="s">
        <v>32</v>
      </c>
      <c r="R671" t="s">
        <v>65</v>
      </c>
      <c r="S671" t="s">
        <v>2190</v>
      </c>
      <c r="T671" s="4">
        <v>23.975999999999999</v>
      </c>
      <c r="U671">
        <v>3</v>
      </c>
      <c r="V671">
        <v>0.6</v>
      </c>
      <c r="W671" s="4">
        <v>-14.3856</v>
      </c>
    </row>
    <row r="672" spans="1:23" x14ac:dyDescent="0.3">
      <c r="A672">
        <v>671</v>
      </c>
      <c r="B672" t="s">
        <v>2188</v>
      </c>
      <c r="C672" s="3">
        <v>42984</v>
      </c>
      <c r="D672" s="7" t="str">
        <f t="shared" si="20"/>
        <v>September</v>
      </c>
      <c r="E672" s="3">
        <f t="shared" si="21"/>
        <v>43008</v>
      </c>
      <c r="F672" s="3">
        <v>43106</v>
      </c>
      <c r="G672" t="s">
        <v>50</v>
      </c>
      <c r="H672" t="s">
        <v>2072</v>
      </c>
      <c r="I672" t="s">
        <v>2073</v>
      </c>
      <c r="J672" t="s">
        <v>102</v>
      </c>
      <c r="K672" t="s">
        <v>27</v>
      </c>
      <c r="L672" t="s">
        <v>303</v>
      </c>
      <c r="M672" t="s">
        <v>211</v>
      </c>
      <c r="N672">
        <v>60653</v>
      </c>
      <c r="O672" t="s">
        <v>105</v>
      </c>
      <c r="P672" t="s">
        <v>2191</v>
      </c>
      <c r="Q672" t="s">
        <v>32</v>
      </c>
      <c r="R672" t="s">
        <v>56</v>
      </c>
      <c r="S672" t="s">
        <v>2192</v>
      </c>
      <c r="T672" s="4">
        <v>108.925</v>
      </c>
      <c r="U672">
        <v>1</v>
      </c>
      <c r="V672">
        <v>0.5</v>
      </c>
      <c r="W672" s="4">
        <v>-71.890500000000003</v>
      </c>
    </row>
    <row r="673" spans="1:23" x14ac:dyDescent="0.3">
      <c r="A673">
        <v>672</v>
      </c>
      <c r="B673" t="s">
        <v>2188</v>
      </c>
      <c r="C673" s="3">
        <v>42984</v>
      </c>
      <c r="D673" s="7" t="str">
        <f t="shared" si="20"/>
        <v>September</v>
      </c>
      <c r="E673" s="3">
        <f t="shared" si="21"/>
        <v>43008</v>
      </c>
      <c r="F673" s="3">
        <v>43106</v>
      </c>
      <c r="G673" t="s">
        <v>50</v>
      </c>
      <c r="H673" t="s">
        <v>2072</v>
      </c>
      <c r="I673" t="s">
        <v>2073</v>
      </c>
      <c r="J673" t="s">
        <v>102</v>
      </c>
      <c r="K673" t="s">
        <v>27</v>
      </c>
      <c r="L673" t="s">
        <v>303</v>
      </c>
      <c r="M673" t="s">
        <v>211</v>
      </c>
      <c r="N673">
        <v>60653</v>
      </c>
      <c r="O673" t="s">
        <v>105</v>
      </c>
      <c r="P673" t="s">
        <v>560</v>
      </c>
      <c r="Q673" t="s">
        <v>46</v>
      </c>
      <c r="R673" t="s">
        <v>90</v>
      </c>
      <c r="S673" t="s">
        <v>2193</v>
      </c>
      <c r="T673" s="4">
        <v>36.351999999999997</v>
      </c>
      <c r="U673">
        <v>8</v>
      </c>
      <c r="V673">
        <v>0.2</v>
      </c>
      <c r="W673" s="4">
        <v>11.36</v>
      </c>
    </row>
    <row r="674" spans="1:23" x14ac:dyDescent="0.3">
      <c r="A674">
        <v>673</v>
      </c>
      <c r="B674" t="s">
        <v>2194</v>
      </c>
      <c r="C674" s="3">
        <v>43165</v>
      </c>
      <c r="D674" s="7" t="str">
        <f t="shared" si="20"/>
        <v>March</v>
      </c>
      <c r="E674" s="3">
        <f t="shared" si="21"/>
        <v>43190</v>
      </c>
      <c r="F674" s="3">
        <v>43379</v>
      </c>
      <c r="G674" t="s">
        <v>50</v>
      </c>
      <c r="H674" t="s">
        <v>1245</v>
      </c>
      <c r="I674" t="s">
        <v>1246</v>
      </c>
      <c r="J674" t="s">
        <v>26</v>
      </c>
      <c r="K674" t="s">
        <v>27</v>
      </c>
      <c r="L674" t="s">
        <v>1324</v>
      </c>
      <c r="M674" t="s">
        <v>211</v>
      </c>
      <c r="N674">
        <v>62301</v>
      </c>
      <c r="O674" t="s">
        <v>105</v>
      </c>
      <c r="P674" t="s">
        <v>2195</v>
      </c>
      <c r="Q674" t="s">
        <v>46</v>
      </c>
      <c r="R674" t="s">
        <v>68</v>
      </c>
      <c r="S674" t="s">
        <v>2196</v>
      </c>
      <c r="T674" s="4">
        <v>19.559999999999999</v>
      </c>
      <c r="U674">
        <v>5</v>
      </c>
      <c r="V674">
        <v>0.2</v>
      </c>
      <c r="W674" s="4">
        <v>1.7115</v>
      </c>
    </row>
    <row r="675" spans="1:23" x14ac:dyDescent="0.3">
      <c r="A675">
        <v>674</v>
      </c>
      <c r="B675" t="s">
        <v>2197</v>
      </c>
      <c r="C675" s="3">
        <v>42867</v>
      </c>
      <c r="D675" s="7" t="str">
        <f t="shared" si="20"/>
        <v>May</v>
      </c>
      <c r="E675" s="3">
        <f t="shared" si="21"/>
        <v>42886</v>
      </c>
      <c r="F675" s="3">
        <v>42959</v>
      </c>
      <c r="G675" t="s">
        <v>188</v>
      </c>
      <c r="H675" t="s">
        <v>2198</v>
      </c>
      <c r="I675" t="s">
        <v>2199</v>
      </c>
      <c r="J675" t="s">
        <v>26</v>
      </c>
      <c r="K675" t="s">
        <v>27</v>
      </c>
      <c r="L675" t="s">
        <v>497</v>
      </c>
      <c r="M675" t="s">
        <v>254</v>
      </c>
      <c r="N675">
        <v>47201</v>
      </c>
      <c r="O675" t="s">
        <v>105</v>
      </c>
      <c r="P675" t="s">
        <v>2200</v>
      </c>
      <c r="Q675" t="s">
        <v>46</v>
      </c>
      <c r="R675" t="s">
        <v>78</v>
      </c>
      <c r="S675" t="s">
        <v>2201</v>
      </c>
      <c r="T675" s="4">
        <v>61.44</v>
      </c>
      <c r="U675">
        <v>3</v>
      </c>
      <c r="V675">
        <v>0</v>
      </c>
      <c r="W675" s="4">
        <v>16.588799999999999</v>
      </c>
    </row>
    <row r="676" spans="1:23" x14ac:dyDescent="0.3">
      <c r="A676">
        <v>675</v>
      </c>
      <c r="B676" t="s">
        <v>2197</v>
      </c>
      <c r="C676" s="3">
        <v>42867</v>
      </c>
      <c r="D676" s="7" t="str">
        <f t="shared" si="20"/>
        <v>May</v>
      </c>
      <c r="E676" s="3">
        <f t="shared" si="21"/>
        <v>42886</v>
      </c>
      <c r="F676" s="3">
        <v>42959</v>
      </c>
      <c r="G676" t="s">
        <v>188</v>
      </c>
      <c r="H676" t="s">
        <v>2198</v>
      </c>
      <c r="I676" t="s">
        <v>2199</v>
      </c>
      <c r="J676" t="s">
        <v>26</v>
      </c>
      <c r="K676" t="s">
        <v>27</v>
      </c>
      <c r="L676" t="s">
        <v>497</v>
      </c>
      <c r="M676" t="s">
        <v>254</v>
      </c>
      <c r="N676">
        <v>47201</v>
      </c>
      <c r="O676" t="s">
        <v>105</v>
      </c>
      <c r="P676" t="s">
        <v>2202</v>
      </c>
      <c r="Q676" t="s">
        <v>46</v>
      </c>
      <c r="R676" t="s">
        <v>90</v>
      </c>
      <c r="S676" t="s">
        <v>2203</v>
      </c>
      <c r="T676" s="4">
        <v>38.9</v>
      </c>
      <c r="U676">
        <v>5</v>
      </c>
      <c r="V676">
        <v>0</v>
      </c>
      <c r="W676" s="4">
        <v>17.504999999999999</v>
      </c>
    </row>
    <row r="677" spans="1:23" x14ac:dyDescent="0.3">
      <c r="A677">
        <v>676</v>
      </c>
      <c r="B677" t="s">
        <v>2197</v>
      </c>
      <c r="C677" s="3">
        <v>42867</v>
      </c>
      <c r="D677" s="7" t="str">
        <f t="shared" si="20"/>
        <v>May</v>
      </c>
      <c r="E677" s="3">
        <f t="shared" si="21"/>
        <v>42886</v>
      </c>
      <c r="F677" s="3">
        <v>42959</v>
      </c>
      <c r="G677" t="s">
        <v>188</v>
      </c>
      <c r="H677" t="s">
        <v>2198</v>
      </c>
      <c r="I677" t="s">
        <v>2199</v>
      </c>
      <c r="J677" t="s">
        <v>26</v>
      </c>
      <c r="K677" t="s">
        <v>27</v>
      </c>
      <c r="L677" t="s">
        <v>497</v>
      </c>
      <c r="M677" t="s">
        <v>254</v>
      </c>
      <c r="N677">
        <v>47201</v>
      </c>
      <c r="O677" t="s">
        <v>105</v>
      </c>
      <c r="P677" t="s">
        <v>909</v>
      </c>
      <c r="Q677" t="s">
        <v>71</v>
      </c>
      <c r="R677" t="s">
        <v>161</v>
      </c>
      <c r="S677" t="s">
        <v>1789</v>
      </c>
      <c r="T677" s="4">
        <v>99.39</v>
      </c>
      <c r="U677">
        <v>3</v>
      </c>
      <c r="V677">
        <v>0</v>
      </c>
      <c r="W677" s="4">
        <v>40.749899999999997</v>
      </c>
    </row>
    <row r="678" spans="1:23" x14ac:dyDescent="0.3">
      <c r="A678">
        <v>677</v>
      </c>
      <c r="B678" t="s">
        <v>2204</v>
      </c>
      <c r="C678" s="3">
        <v>43254</v>
      </c>
      <c r="D678" s="7" t="str">
        <f t="shared" si="20"/>
        <v>June</v>
      </c>
      <c r="E678" s="3">
        <f t="shared" si="21"/>
        <v>43281</v>
      </c>
      <c r="F678" s="3">
        <v>43407</v>
      </c>
      <c r="G678" t="s">
        <v>50</v>
      </c>
      <c r="H678" t="s">
        <v>2205</v>
      </c>
      <c r="I678" t="s">
        <v>2206</v>
      </c>
      <c r="J678" t="s">
        <v>26</v>
      </c>
      <c r="K678" t="s">
        <v>27</v>
      </c>
      <c r="L678" t="s">
        <v>2207</v>
      </c>
      <c r="M678" t="s">
        <v>104</v>
      </c>
      <c r="N678">
        <v>75701</v>
      </c>
      <c r="O678" t="s">
        <v>105</v>
      </c>
      <c r="P678" t="s">
        <v>2208</v>
      </c>
      <c r="Q678" t="s">
        <v>46</v>
      </c>
      <c r="R678" t="s">
        <v>78</v>
      </c>
      <c r="S678" t="s">
        <v>2209</v>
      </c>
      <c r="T678" s="4">
        <v>2.6880000000000002</v>
      </c>
      <c r="U678">
        <v>3</v>
      </c>
      <c r="V678">
        <v>0.8</v>
      </c>
      <c r="W678" s="4">
        <v>-7.3920000000000003</v>
      </c>
    </row>
    <row r="679" spans="1:23" x14ac:dyDescent="0.3">
      <c r="A679">
        <v>678</v>
      </c>
      <c r="B679" t="s">
        <v>2204</v>
      </c>
      <c r="C679" s="3">
        <v>43254</v>
      </c>
      <c r="D679" s="7" t="str">
        <f t="shared" si="20"/>
        <v>June</v>
      </c>
      <c r="E679" s="3">
        <f t="shared" si="21"/>
        <v>43281</v>
      </c>
      <c r="F679" s="3">
        <v>43407</v>
      </c>
      <c r="G679" t="s">
        <v>50</v>
      </c>
      <c r="H679" t="s">
        <v>2205</v>
      </c>
      <c r="I679" t="s">
        <v>2206</v>
      </c>
      <c r="J679" t="s">
        <v>26</v>
      </c>
      <c r="K679" t="s">
        <v>27</v>
      </c>
      <c r="L679" t="s">
        <v>2207</v>
      </c>
      <c r="M679" t="s">
        <v>104</v>
      </c>
      <c r="N679">
        <v>75701</v>
      </c>
      <c r="O679" t="s">
        <v>105</v>
      </c>
      <c r="P679" t="s">
        <v>2210</v>
      </c>
      <c r="Q679" t="s">
        <v>71</v>
      </c>
      <c r="R679" t="s">
        <v>161</v>
      </c>
      <c r="S679" t="s">
        <v>2211</v>
      </c>
      <c r="T679" s="4">
        <v>27.815999999999999</v>
      </c>
      <c r="U679">
        <v>3</v>
      </c>
      <c r="V679">
        <v>0.2</v>
      </c>
      <c r="W679" s="4">
        <v>4.5201000000000002</v>
      </c>
    </row>
    <row r="680" spans="1:23" x14ac:dyDescent="0.3">
      <c r="A680">
        <v>679</v>
      </c>
      <c r="B680" t="s">
        <v>2204</v>
      </c>
      <c r="C680" s="3">
        <v>43254</v>
      </c>
      <c r="D680" s="7" t="str">
        <f t="shared" si="20"/>
        <v>June</v>
      </c>
      <c r="E680" s="3">
        <f t="shared" si="21"/>
        <v>43281</v>
      </c>
      <c r="F680" s="3">
        <v>43407</v>
      </c>
      <c r="G680" t="s">
        <v>50</v>
      </c>
      <c r="H680" t="s">
        <v>2205</v>
      </c>
      <c r="I680" t="s">
        <v>2206</v>
      </c>
      <c r="J680" t="s">
        <v>26</v>
      </c>
      <c r="K680" t="s">
        <v>27</v>
      </c>
      <c r="L680" t="s">
        <v>2207</v>
      </c>
      <c r="M680" t="s">
        <v>104</v>
      </c>
      <c r="N680">
        <v>75701</v>
      </c>
      <c r="O680" t="s">
        <v>105</v>
      </c>
      <c r="P680" t="s">
        <v>2212</v>
      </c>
      <c r="Q680" t="s">
        <v>32</v>
      </c>
      <c r="R680" t="s">
        <v>65</v>
      </c>
      <c r="S680" t="s">
        <v>2213</v>
      </c>
      <c r="T680" s="4">
        <v>82.524000000000001</v>
      </c>
      <c r="U680">
        <v>3</v>
      </c>
      <c r="V680">
        <v>0.6</v>
      </c>
      <c r="W680" s="4">
        <v>-41.262</v>
      </c>
    </row>
    <row r="681" spans="1:23" x14ac:dyDescent="0.3">
      <c r="A681">
        <v>680</v>
      </c>
      <c r="B681" t="s">
        <v>2204</v>
      </c>
      <c r="C681" s="3">
        <v>43254</v>
      </c>
      <c r="D681" s="7" t="str">
        <f t="shared" si="20"/>
        <v>June</v>
      </c>
      <c r="E681" s="3">
        <f t="shared" si="21"/>
        <v>43281</v>
      </c>
      <c r="F681" s="3">
        <v>43407</v>
      </c>
      <c r="G681" t="s">
        <v>50</v>
      </c>
      <c r="H681" t="s">
        <v>2205</v>
      </c>
      <c r="I681" t="s">
        <v>2206</v>
      </c>
      <c r="J681" t="s">
        <v>26</v>
      </c>
      <c r="K681" t="s">
        <v>27</v>
      </c>
      <c r="L681" t="s">
        <v>2207</v>
      </c>
      <c r="M681" t="s">
        <v>104</v>
      </c>
      <c r="N681">
        <v>75701</v>
      </c>
      <c r="O681" t="s">
        <v>105</v>
      </c>
      <c r="P681" t="s">
        <v>2214</v>
      </c>
      <c r="Q681" t="s">
        <v>46</v>
      </c>
      <c r="R681" t="s">
        <v>75</v>
      </c>
      <c r="S681" t="s">
        <v>2215</v>
      </c>
      <c r="T681" s="4">
        <v>182.994</v>
      </c>
      <c r="U681">
        <v>3</v>
      </c>
      <c r="V681">
        <v>0.8</v>
      </c>
      <c r="W681" s="4">
        <v>-320.23950000000002</v>
      </c>
    </row>
    <row r="682" spans="1:23" x14ac:dyDescent="0.3">
      <c r="A682">
        <v>681</v>
      </c>
      <c r="B682" t="s">
        <v>2216</v>
      </c>
      <c r="C682" s="3">
        <v>42927</v>
      </c>
      <c r="D682" s="7" t="str">
        <f t="shared" si="20"/>
        <v>July</v>
      </c>
      <c r="E682" s="3">
        <f t="shared" si="21"/>
        <v>42947</v>
      </c>
      <c r="F682" s="3">
        <v>43080</v>
      </c>
      <c r="G682" t="s">
        <v>50</v>
      </c>
      <c r="H682" t="s">
        <v>2217</v>
      </c>
      <c r="I682" t="s">
        <v>2218</v>
      </c>
      <c r="J682" t="s">
        <v>26</v>
      </c>
      <c r="K682" t="s">
        <v>27</v>
      </c>
      <c r="L682" t="s">
        <v>266</v>
      </c>
      <c r="M682" t="s">
        <v>267</v>
      </c>
      <c r="N682">
        <v>10024</v>
      </c>
      <c r="O682" t="s">
        <v>148</v>
      </c>
      <c r="P682" t="s">
        <v>2219</v>
      </c>
      <c r="Q682" t="s">
        <v>46</v>
      </c>
      <c r="R682" t="s">
        <v>75</v>
      </c>
      <c r="S682" t="s">
        <v>2220</v>
      </c>
      <c r="T682" s="4">
        <v>14.352</v>
      </c>
      <c r="U682">
        <v>3</v>
      </c>
      <c r="V682">
        <v>0.2</v>
      </c>
      <c r="W682" s="4">
        <v>4.6643999999999997</v>
      </c>
    </row>
    <row r="683" spans="1:23" x14ac:dyDescent="0.3">
      <c r="A683">
        <v>682</v>
      </c>
      <c r="B683" t="s">
        <v>2216</v>
      </c>
      <c r="C683" s="3">
        <v>42927</v>
      </c>
      <c r="D683" s="7" t="str">
        <f t="shared" si="20"/>
        <v>July</v>
      </c>
      <c r="E683" s="3">
        <f t="shared" si="21"/>
        <v>42947</v>
      </c>
      <c r="F683" s="3">
        <v>43080</v>
      </c>
      <c r="G683" t="s">
        <v>50</v>
      </c>
      <c r="H683" t="s">
        <v>2217</v>
      </c>
      <c r="I683" t="s">
        <v>2218</v>
      </c>
      <c r="J683" t="s">
        <v>26</v>
      </c>
      <c r="K683" t="s">
        <v>27</v>
      </c>
      <c r="L683" t="s">
        <v>266</v>
      </c>
      <c r="M683" t="s">
        <v>267</v>
      </c>
      <c r="N683">
        <v>10024</v>
      </c>
      <c r="O683" t="s">
        <v>148</v>
      </c>
      <c r="P683" t="s">
        <v>2221</v>
      </c>
      <c r="Q683" t="s">
        <v>46</v>
      </c>
      <c r="R683" t="s">
        <v>59</v>
      </c>
      <c r="S683" t="s">
        <v>2222</v>
      </c>
      <c r="T683" s="4">
        <v>64.959999999999994</v>
      </c>
      <c r="U683">
        <v>2</v>
      </c>
      <c r="V683">
        <v>0</v>
      </c>
      <c r="W683" s="4">
        <v>2.5983999999999998</v>
      </c>
    </row>
    <row r="684" spans="1:23" x14ac:dyDescent="0.3">
      <c r="A684">
        <v>683</v>
      </c>
      <c r="B684" t="s">
        <v>2216</v>
      </c>
      <c r="C684" s="3">
        <v>42927</v>
      </c>
      <c r="D684" s="7" t="str">
        <f t="shared" si="20"/>
        <v>July</v>
      </c>
      <c r="E684" s="3">
        <f t="shared" si="21"/>
        <v>42947</v>
      </c>
      <c r="F684" s="3">
        <v>43080</v>
      </c>
      <c r="G684" t="s">
        <v>50</v>
      </c>
      <c r="H684" t="s">
        <v>2217</v>
      </c>
      <c r="I684" t="s">
        <v>2218</v>
      </c>
      <c r="J684" t="s">
        <v>26</v>
      </c>
      <c r="K684" t="s">
        <v>27</v>
      </c>
      <c r="L684" t="s">
        <v>266</v>
      </c>
      <c r="M684" t="s">
        <v>267</v>
      </c>
      <c r="N684">
        <v>10024</v>
      </c>
      <c r="O684" t="s">
        <v>148</v>
      </c>
      <c r="P684" t="s">
        <v>1770</v>
      </c>
      <c r="Q684" t="s">
        <v>46</v>
      </c>
      <c r="R684" t="s">
        <v>59</v>
      </c>
      <c r="S684" t="s">
        <v>1771</v>
      </c>
      <c r="T684" s="4">
        <v>68.599999999999994</v>
      </c>
      <c r="U684">
        <v>4</v>
      </c>
      <c r="V684">
        <v>0</v>
      </c>
      <c r="W684" s="4">
        <v>18.521999999999998</v>
      </c>
    </row>
    <row r="685" spans="1:23" x14ac:dyDescent="0.3">
      <c r="A685">
        <v>684</v>
      </c>
      <c r="B685" t="s">
        <v>2223</v>
      </c>
      <c r="C685" s="3">
        <v>42836</v>
      </c>
      <c r="D685" s="7" t="str">
        <f t="shared" si="20"/>
        <v>April</v>
      </c>
      <c r="E685" s="3">
        <f t="shared" si="21"/>
        <v>42855</v>
      </c>
      <c r="F685" s="3">
        <v>42836</v>
      </c>
      <c r="G685" t="s">
        <v>1293</v>
      </c>
      <c r="H685" t="s">
        <v>2224</v>
      </c>
      <c r="I685" t="s">
        <v>2225</v>
      </c>
      <c r="J685" t="s">
        <v>41</v>
      </c>
      <c r="K685" t="s">
        <v>27</v>
      </c>
      <c r="L685" t="s">
        <v>2226</v>
      </c>
      <c r="M685" t="s">
        <v>88</v>
      </c>
      <c r="N685">
        <v>27217</v>
      </c>
      <c r="O685" t="s">
        <v>30</v>
      </c>
      <c r="P685" t="s">
        <v>2227</v>
      </c>
      <c r="Q685" t="s">
        <v>71</v>
      </c>
      <c r="R685" t="s">
        <v>684</v>
      </c>
      <c r="S685" t="s">
        <v>2228</v>
      </c>
      <c r="T685" s="4">
        <v>7999.98</v>
      </c>
      <c r="U685">
        <v>4</v>
      </c>
      <c r="V685">
        <v>0.5</v>
      </c>
      <c r="W685" s="4">
        <v>-3839.9904000000001</v>
      </c>
    </row>
    <row r="686" spans="1:23" x14ac:dyDescent="0.3">
      <c r="A686">
        <v>685</v>
      </c>
      <c r="B686" t="s">
        <v>2223</v>
      </c>
      <c r="C686" s="3">
        <v>42836</v>
      </c>
      <c r="D686" s="7" t="str">
        <f t="shared" si="20"/>
        <v>April</v>
      </c>
      <c r="E686" s="3">
        <f t="shared" si="21"/>
        <v>42855</v>
      </c>
      <c r="F686" s="3">
        <v>42836</v>
      </c>
      <c r="G686" t="s">
        <v>1293</v>
      </c>
      <c r="H686" t="s">
        <v>2224</v>
      </c>
      <c r="I686" t="s">
        <v>2225</v>
      </c>
      <c r="J686" t="s">
        <v>41</v>
      </c>
      <c r="K686" t="s">
        <v>27</v>
      </c>
      <c r="L686" t="s">
        <v>2226</v>
      </c>
      <c r="M686" t="s">
        <v>88</v>
      </c>
      <c r="N686">
        <v>27217</v>
      </c>
      <c r="O686" t="s">
        <v>30</v>
      </c>
      <c r="P686" t="s">
        <v>2137</v>
      </c>
      <c r="Q686" t="s">
        <v>46</v>
      </c>
      <c r="R686" t="s">
        <v>78</v>
      </c>
      <c r="S686" t="s">
        <v>2138</v>
      </c>
      <c r="T686" s="4">
        <v>167.44</v>
      </c>
      <c r="U686">
        <v>2</v>
      </c>
      <c r="V686">
        <v>0.2</v>
      </c>
      <c r="W686" s="4">
        <v>14.651</v>
      </c>
    </row>
    <row r="687" spans="1:23" x14ac:dyDescent="0.3">
      <c r="A687">
        <v>686</v>
      </c>
      <c r="B687" t="s">
        <v>2229</v>
      </c>
      <c r="C687" s="3">
        <v>41766</v>
      </c>
      <c r="D687" s="7" t="str">
        <f t="shared" si="20"/>
        <v>May</v>
      </c>
      <c r="E687" s="3">
        <f t="shared" si="21"/>
        <v>41790</v>
      </c>
      <c r="F687" s="3">
        <v>41858</v>
      </c>
      <c r="G687" t="s">
        <v>188</v>
      </c>
      <c r="H687" t="s">
        <v>2230</v>
      </c>
      <c r="I687" t="s">
        <v>2231</v>
      </c>
      <c r="J687" t="s">
        <v>26</v>
      </c>
      <c r="K687" t="s">
        <v>27</v>
      </c>
      <c r="L687" t="s">
        <v>328</v>
      </c>
      <c r="M687" t="s">
        <v>1492</v>
      </c>
      <c r="N687">
        <v>39212</v>
      </c>
      <c r="O687" t="s">
        <v>30</v>
      </c>
      <c r="P687" t="s">
        <v>1315</v>
      </c>
      <c r="Q687" t="s">
        <v>71</v>
      </c>
      <c r="R687" t="s">
        <v>161</v>
      </c>
      <c r="S687" t="s">
        <v>1316</v>
      </c>
      <c r="T687" s="4">
        <v>479.97</v>
      </c>
      <c r="U687">
        <v>3</v>
      </c>
      <c r="V687">
        <v>0</v>
      </c>
      <c r="W687" s="4">
        <v>163.18979999999999</v>
      </c>
    </row>
    <row r="688" spans="1:23" x14ac:dyDescent="0.3">
      <c r="A688">
        <v>687</v>
      </c>
      <c r="B688" t="s">
        <v>2229</v>
      </c>
      <c r="C688" s="3">
        <v>41766</v>
      </c>
      <c r="D688" s="7" t="str">
        <f t="shared" si="20"/>
        <v>May</v>
      </c>
      <c r="E688" s="3">
        <f t="shared" si="21"/>
        <v>41790</v>
      </c>
      <c r="F688" s="3">
        <v>41858</v>
      </c>
      <c r="G688" t="s">
        <v>188</v>
      </c>
      <c r="H688" t="s">
        <v>2230</v>
      </c>
      <c r="I688" t="s">
        <v>2231</v>
      </c>
      <c r="J688" t="s">
        <v>26</v>
      </c>
      <c r="K688" t="s">
        <v>27</v>
      </c>
      <c r="L688" t="s">
        <v>328</v>
      </c>
      <c r="M688" t="s">
        <v>1492</v>
      </c>
      <c r="N688">
        <v>39212</v>
      </c>
      <c r="O688" t="s">
        <v>30</v>
      </c>
      <c r="P688" t="s">
        <v>2232</v>
      </c>
      <c r="Q688" t="s">
        <v>46</v>
      </c>
      <c r="R688" t="s">
        <v>47</v>
      </c>
      <c r="S688" t="s">
        <v>2233</v>
      </c>
      <c r="T688" s="4">
        <v>14.62</v>
      </c>
      <c r="U688">
        <v>2</v>
      </c>
      <c r="V688">
        <v>0</v>
      </c>
      <c r="W688" s="4">
        <v>6.8714000000000004</v>
      </c>
    </row>
    <row r="689" spans="1:23" x14ac:dyDescent="0.3">
      <c r="A689">
        <v>688</v>
      </c>
      <c r="B689" t="s">
        <v>2229</v>
      </c>
      <c r="C689" s="3">
        <v>41766</v>
      </c>
      <c r="D689" s="7" t="str">
        <f t="shared" si="20"/>
        <v>May</v>
      </c>
      <c r="E689" s="3">
        <f t="shared" si="21"/>
        <v>41790</v>
      </c>
      <c r="F689" s="3">
        <v>41858</v>
      </c>
      <c r="G689" t="s">
        <v>188</v>
      </c>
      <c r="H689" t="s">
        <v>2230</v>
      </c>
      <c r="I689" t="s">
        <v>2231</v>
      </c>
      <c r="J689" t="s">
        <v>26</v>
      </c>
      <c r="K689" t="s">
        <v>27</v>
      </c>
      <c r="L689" t="s">
        <v>328</v>
      </c>
      <c r="M689" t="s">
        <v>1492</v>
      </c>
      <c r="N689">
        <v>39212</v>
      </c>
      <c r="O689" t="s">
        <v>30</v>
      </c>
      <c r="P689" t="s">
        <v>404</v>
      </c>
      <c r="Q689" t="s">
        <v>46</v>
      </c>
      <c r="R689" t="s">
        <v>90</v>
      </c>
      <c r="S689" t="s">
        <v>405</v>
      </c>
      <c r="T689" s="4">
        <v>19.440000000000001</v>
      </c>
      <c r="U689">
        <v>3</v>
      </c>
      <c r="V689">
        <v>0</v>
      </c>
      <c r="W689" s="4">
        <v>9.3312000000000008</v>
      </c>
    </row>
    <row r="690" spans="1:23" x14ac:dyDescent="0.3">
      <c r="A690">
        <v>689</v>
      </c>
      <c r="B690" t="s">
        <v>2234</v>
      </c>
      <c r="C690" s="3">
        <v>43477</v>
      </c>
      <c r="D690" s="7" t="str">
        <f t="shared" si="20"/>
        <v>January</v>
      </c>
      <c r="E690" s="3">
        <f t="shared" si="21"/>
        <v>43496</v>
      </c>
      <c r="F690" s="3">
        <v>43597</v>
      </c>
      <c r="G690" t="s">
        <v>50</v>
      </c>
      <c r="H690" t="s">
        <v>2235</v>
      </c>
      <c r="I690" t="s">
        <v>2236</v>
      </c>
      <c r="J690" t="s">
        <v>26</v>
      </c>
      <c r="K690" t="s">
        <v>27</v>
      </c>
      <c r="L690" t="s">
        <v>266</v>
      </c>
      <c r="M690" t="s">
        <v>267</v>
      </c>
      <c r="N690">
        <v>10035</v>
      </c>
      <c r="O690" t="s">
        <v>148</v>
      </c>
      <c r="P690" t="s">
        <v>2237</v>
      </c>
      <c r="Q690" t="s">
        <v>32</v>
      </c>
      <c r="R690" t="s">
        <v>33</v>
      </c>
      <c r="S690" t="s">
        <v>2238</v>
      </c>
      <c r="T690" s="4">
        <v>191.98400000000001</v>
      </c>
      <c r="U690">
        <v>2</v>
      </c>
      <c r="V690">
        <v>0.2</v>
      </c>
      <c r="W690" s="4">
        <v>4.7995999999999999</v>
      </c>
    </row>
    <row r="691" spans="1:23" x14ac:dyDescent="0.3">
      <c r="A691">
        <v>690</v>
      </c>
      <c r="B691" t="s">
        <v>2239</v>
      </c>
      <c r="C691" s="3">
        <v>42253</v>
      </c>
      <c r="D691" s="7" t="str">
        <f t="shared" si="20"/>
        <v>September</v>
      </c>
      <c r="E691" s="3">
        <f t="shared" si="21"/>
        <v>42277</v>
      </c>
      <c r="F691" s="3">
        <v>42314</v>
      </c>
      <c r="G691" t="s">
        <v>23</v>
      </c>
      <c r="H691" t="s">
        <v>2240</v>
      </c>
      <c r="I691" t="s">
        <v>2241</v>
      </c>
      <c r="J691" t="s">
        <v>26</v>
      </c>
      <c r="K691" t="s">
        <v>27</v>
      </c>
      <c r="L691" t="s">
        <v>2242</v>
      </c>
      <c r="M691" t="s">
        <v>319</v>
      </c>
      <c r="N691">
        <v>22980</v>
      </c>
      <c r="O691" t="s">
        <v>30</v>
      </c>
      <c r="P691" t="s">
        <v>2243</v>
      </c>
      <c r="Q691" t="s">
        <v>32</v>
      </c>
      <c r="R691" t="s">
        <v>65</v>
      </c>
      <c r="S691" t="s">
        <v>2244</v>
      </c>
      <c r="T691" s="4">
        <v>104.01</v>
      </c>
      <c r="U691">
        <v>1</v>
      </c>
      <c r="V691">
        <v>0</v>
      </c>
      <c r="W691" s="4">
        <v>14.561400000000001</v>
      </c>
    </row>
    <row r="692" spans="1:23" x14ac:dyDescent="0.3">
      <c r="A692">
        <v>691</v>
      </c>
      <c r="B692" t="s">
        <v>2239</v>
      </c>
      <c r="C692" s="3">
        <v>42253</v>
      </c>
      <c r="D692" s="7" t="str">
        <f t="shared" si="20"/>
        <v>September</v>
      </c>
      <c r="E692" s="3">
        <f t="shared" si="21"/>
        <v>42277</v>
      </c>
      <c r="F692" s="3">
        <v>42314</v>
      </c>
      <c r="G692" t="s">
        <v>23</v>
      </c>
      <c r="H692" t="s">
        <v>2240</v>
      </c>
      <c r="I692" t="s">
        <v>2241</v>
      </c>
      <c r="J692" t="s">
        <v>26</v>
      </c>
      <c r="K692" t="s">
        <v>27</v>
      </c>
      <c r="L692" t="s">
        <v>2242</v>
      </c>
      <c r="M692" t="s">
        <v>319</v>
      </c>
      <c r="N692">
        <v>22980</v>
      </c>
      <c r="O692" t="s">
        <v>30</v>
      </c>
      <c r="P692" t="s">
        <v>82</v>
      </c>
      <c r="Q692" t="s">
        <v>71</v>
      </c>
      <c r="R692" t="s">
        <v>72</v>
      </c>
      <c r="S692" t="s">
        <v>83</v>
      </c>
      <c r="T692" s="4">
        <v>284.82</v>
      </c>
      <c r="U692">
        <v>1</v>
      </c>
      <c r="V692">
        <v>0</v>
      </c>
      <c r="W692" s="4">
        <v>74.053200000000004</v>
      </c>
    </row>
    <row r="693" spans="1:23" x14ac:dyDescent="0.3">
      <c r="A693">
        <v>692</v>
      </c>
      <c r="B693" t="s">
        <v>2239</v>
      </c>
      <c r="C693" s="3">
        <v>42253</v>
      </c>
      <c r="D693" s="7" t="str">
        <f t="shared" si="20"/>
        <v>September</v>
      </c>
      <c r="E693" s="3">
        <f t="shared" si="21"/>
        <v>42277</v>
      </c>
      <c r="F693" s="3">
        <v>42314</v>
      </c>
      <c r="G693" t="s">
        <v>23</v>
      </c>
      <c r="H693" t="s">
        <v>2240</v>
      </c>
      <c r="I693" t="s">
        <v>2241</v>
      </c>
      <c r="J693" t="s">
        <v>26</v>
      </c>
      <c r="K693" t="s">
        <v>27</v>
      </c>
      <c r="L693" t="s">
        <v>2242</v>
      </c>
      <c r="M693" t="s">
        <v>319</v>
      </c>
      <c r="N693">
        <v>22980</v>
      </c>
      <c r="O693" t="s">
        <v>30</v>
      </c>
      <c r="P693" t="s">
        <v>2245</v>
      </c>
      <c r="Q693" t="s">
        <v>46</v>
      </c>
      <c r="R693" t="s">
        <v>59</v>
      </c>
      <c r="S693" t="s">
        <v>2246</v>
      </c>
      <c r="T693" s="4">
        <v>36.840000000000003</v>
      </c>
      <c r="U693">
        <v>3</v>
      </c>
      <c r="V693">
        <v>0</v>
      </c>
      <c r="W693" s="4">
        <v>10.315200000000001</v>
      </c>
    </row>
    <row r="694" spans="1:23" x14ac:dyDescent="0.3">
      <c r="A694">
        <v>693</v>
      </c>
      <c r="B694" t="s">
        <v>2247</v>
      </c>
      <c r="C694" s="3">
        <v>42828</v>
      </c>
      <c r="D694" s="7" t="str">
        <f t="shared" si="20"/>
        <v>April</v>
      </c>
      <c r="E694" s="3">
        <f t="shared" si="21"/>
        <v>42855</v>
      </c>
      <c r="F694" s="3">
        <v>42039</v>
      </c>
      <c r="G694" t="s">
        <v>50</v>
      </c>
      <c r="H694" t="s">
        <v>2248</v>
      </c>
      <c r="I694" t="s">
        <v>2249</v>
      </c>
      <c r="J694" t="s">
        <v>26</v>
      </c>
      <c r="K694" t="s">
        <v>27</v>
      </c>
      <c r="L694" t="s">
        <v>42</v>
      </c>
      <c r="M694" t="s">
        <v>43</v>
      </c>
      <c r="N694">
        <v>90036</v>
      </c>
      <c r="O694" t="s">
        <v>44</v>
      </c>
      <c r="P694" t="s">
        <v>2250</v>
      </c>
      <c r="Q694" t="s">
        <v>71</v>
      </c>
      <c r="R694" t="s">
        <v>161</v>
      </c>
      <c r="S694" t="s">
        <v>2251</v>
      </c>
      <c r="T694" s="4">
        <v>166.24</v>
      </c>
      <c r="U694">
        <v>1</v>
      </c>
      <c r="V694">
        <v>0</v>
      </c>
      <c r="W694" s="4">
        <v>24.936</v>
      </c>
    </row>
    <row r="695" spans="1:23" x14ac:dyDescent="0.3">
      <c r="A695">
        <v>694</v>
      </c>
      <c r="B695" t="s">
        <v>2247</v>
      </c>
      <c r="C695" s="3">
        <v>42828</v>
      </c>
      <c r="D695" s="7" t="str">
        <f t="shared" si="20"/>
        <v>April</v>
      </c>
      <c r="E695" s="3">
        <f t="shared" si="21"/>
        <v>42855</v>
      </c>
      <c r="F695" s="3">
        <v>42039</v>
      </c>
      <c r="G695" t="s">
        <v>50</v>
      </c>
      <c r="H695" t="s">
        <v>2248</v>
      </c>
      <c r="I695" t="s">
        <v>2249</v>
      </c>
      <c r="J695" t="s">
        <v>26</v>
      </c>
      <c r="K695" t="s">
        <v>27</v>
      </c>
      <c r="L695" t="s">
        <v>42</v>
      </c>
      <c r="M695" t="s">
        <v>43</v>
      </c>
      <c r="N695">
        <v>90036</v>
      </c>
      <c r="O695" t="s">
        <v>44</v>
      </c>
      <c r="P695" t="s">
        <v>2252</v>
      </c>
      <c r="Q695" t="s">
        <v>46</v>
      </c>
      <c r="R695" t="s">
        <v>90</v>
      </c>
      <c r="S695" t="s">
        <v>2253</v>
      </c>
      <c r="T695" s="4">
        <v>33.4</v>
      </c>
      <c r="U695">
        <v>5</v>
      </c>
      <c r="V695">
        <v>0</v>
      </c>
      <c r="W695" s="4">
        <v>16.032</v>
      </c>
    </row>
    <row r="696" spans="1:23" x14ac:dyDescent="0.3">
      <c r="A696">
        <v>695</v>
      </c>
      <c r="B696" t="s">
        <v>2254</v>
      </c>
      <c r="C696" s="3">
        <v>42405</v>
      </c>
      <c r="D696" s="7" t="str">
        <f t="shared" si="20"/>
        <v>February</v>
      </c>
      <c r="E696" s="3">
        <f t="shared" si="21"/>
        <v>42429</v>
      </c>
      <c r="F696" s="3">
        <v>42495</v>
      </c>
      <c r="G696" t="s">
        <v>188</v>
      </c>
      <c r="H696" t="s">
        <v>2255</v>
      </c>
      <c r="I696" t="s">
        <v>2256</v>
      </c>
      <c r="J696" t="s">
        <v>102</v>
      </c>
      <c r="K696" t="s">
        <v>27</v>
      </c>
      <c r="L696" t="s">
        <v>2257</v>
      </c>
      <c r="M696" t="s">
        <v>147</v>
      </c>
      <c r="N696">
        <v>19013</v>
      </c>
      <c r="O696" t="s">
        <v>148</v>
      </c>
      <c r="P696" t="s">
        <v>1162</v>
      </c>
      <c r="Q696" t="s">
        <v>46</v>
      </c>
      <c r="R696" t="s">
        <v>68</v>
      </c>
      <c r="S696" t="s">
        <v>1163</v>
      </c>
      <c r="T696" s="4">
        <v>198.27199999999999</v>
      </c>
      <c r="U696">
        <v>8</v>
      </c>
      <c r="V696">
        <v>0.2</v>
      </c>
      <c r="W696" s="4">
        <v>17.348800000000001</v>
      </c>
    </row>
    <row r="697" spans="1:23" x14ac:dyDescent="0.3">
      <c r="A697">
        <v>696</v>
      </c>
      <c r="B697" t="s">
        <v>2254</v>
      </c>
      <c r="C697" s="3">
        <v>42405</v>
      </c>
      <c r="D697" s="7" t="str">
        <f t="shared" si="20"/>
        <v>February</v>
      </c>
      <c r="E697" s="3">
        <f t="shared" si="21"/>
        <v>42429</v>
      </c>
      <c r="F697" s="3">
        <v>42495</v>
      </c>
      <c r="G697" t="s">
        <v>188</v>
      </c>
      <c r="H697" t="s">
        <v>2255</v>
      </c>
      <c r="I697" t="s">
        <v>2256</v>
      </c>
      <c r="J697" t="s">
        <v>102</v>
      </c>
      <c r="K697" t="s">
        <v>27</v>
      </c>
      <c r="L697" t="s">
        <v>2257</v>
      </c>
      <c r="M697" t="s">
        <v>147</v>
      </c>
      <c r="N697">
        <v>19013</v>
      </c>
      <c r="O697" t="s">
        <v>148</v>
      </c>
      <c r="P697" t="s">
        <v>2258</v>
      </c>
      <c r="Q697" t="s">
        <v>46</v>
      </c>
      <c r="R697" t="s">
        <v>47</v>
      </c>
      <c r="S697" t="s">
        <v>2259</v>
      </c>
      <c r="T697" s="4">
        <v>47.36</v>
      </c>
      <c r="U697">
        <v>4</v>
      </c>
      <c r="V697">
        <v>0.2</v>
      </c>
      <c r="W697" s="4">
        <v>17.760000000000002</v>
      </c>
    </row>
    <row r="698" spans="1:23" x14ac:dyDescent="0.3">
      <c r="A698">
        <v>697</v>
      </c>
      <c r="B698" t="s">
        <v>2254</v>
      </c>
      <c r="C698" s="3">
        <v>42405</v>
      </c>
      <c r="D698" s="7" t="str">
        <f t="shared" si="20"/>
        <v>February</v>
      </c>
      <c r="E698" s="3">
        <f t="shared" si="21"/>
        <v>42429</v>
      </c>
      <c r="F698" s="3">
        <v>42495</v>
      </c>
      <c r="G698" t="s">
        <v>188</v>
      </c>
      <c r="H698" t="s">
        <v>2255</v>
      </c>
      <c r="I698" t="s">
        <v>2256</v>
      </c>
      <c r="J698" t="s">
        <v>102</v>
      </c>
      <c r="K698" t="s">
        <v>27</v>
      </c>
      <c r="L698" t="s">
        <v>2257</v>
      </c>
      <c r="M698" t="s">
        <v>147</v>
      </c>
      <c r="N698">
        <v>19013</v>
      </c>
      <c r="O698" t="s">
        <v>148</v>
      </c>
      <c r="P698" t="s">
        <v>374</v>
      </c>
      <c r="Q698" t="s">
        <v>46</v>
      </c>
      <c r="R698" t="s">
        <v>173</v>
      </c>
      <c r="S698" t="s">
        <v>375</v>
      </c>
      <c r="T698" s="4">
        <v>200.98400000000001</v>
      </c>
      <c r="U698">
        <v>7</v>
      </c>
      <c r="V698">
        <v>0.2</v>
      </c>
      <c r="W698" s="4">
        <v>62.807499999999997</v>
      </c>
    </row>
    <row r="699" spans="1:23" x14ac:dyDescent="0.3">
      <c r="A699">
        <v>698</v>
      </c>
      <c r="B699" t="s">
        <v>2254</v>
      </c>
      <c r="C699" s="3">
        <v>42405</v>
      </c>
      <c r="D699" s="7" t="str">
        <f t="shared" si="20"/>
        <v>February</v>
      </c>
      <c r="E699" s="3">
        <f t="shared" si="21"/>
        <v>42429</v>
      </c>
      <c r="F699" s="3">
        <v>42495</v>
      </c>
      <c r="G699" t="s">
        <v>188</v>
      </c>
      <c r="H699" t="s">
        <v>2255</v>
      </c>
      <c r="I699" t="s">
        <v>2256</v>
      </c>
      <c r="J699" t="s">
        <v>102</v>
      </c>
      <c r="K699" t="s">
        <v>27</v>
      </c>
      <c r="L699" t="s">
        <v>2257</v>
      </c>
      <c r="M699" t="s">
        <v>147</v>
      </c>
      <c r="N699">
        <v>19013</v>
      </c>
      <c r="O699" t="s">
        <v>148</v>
      </c>
      <c r="P699" t="s">
        <v>2260</v>
      </c>
      <c r="Q699" t="s">
        <v>46</v>
      </c>
      <c r="R699" t="s">
        <v>47</v>
      </c>
      <c r="S699" t="s">
        <v>2261</v>
      </c>
      <c r="T699" s="4">
        <v>97.695999999999998</v>
      </c>
      <c r="U699">
        <v>4</v>
      </c>
      <c r="V699">
        <v>0.2</v>
      </c>
      <c r="W699" s="4">
        <v>31.751200000000001</v>
      </c>
    </row>
    <row r="700" spans="1:23" x14ac:dyDescent="0.3">
      <c r="A700">
        <v>699</v>
      </c>
      <c r="B700" t="s">
        <v>2254</v>
      </c>
      <c r="C700" s="3">
        <v>42405</v>
      </c>
      <c r="D700" s="7" t="str">
        <f t="shared" si="20"/>
        <v>February</v>
      </c>
      <c r="E700" s="3">
        <f t="shared" si="21"/>
        <v>42429</v>
      </c>
      <c r="F700" s="3">
        <v>42495</v>
      </c>
      <c r="G700" t="s">
        <v>188</v>
      </c>
      <c r="H700" t="s">
        <v>2255</v>
      </c>
      <c r="I700" t="s">
        <v>2256</v>
      </c>
      <c r="J700" t="s">
        <v>102</v>
      </c>
      <c r="K700" t="s">
        <v>27</v>
      </c>
      <c r="L700" t="s">
        <v>2257</v>
      </c>
      <c r="M700" t="s">
        <v>147</v>
      </c>
      <c r="N700">
        <v>19013</v>
      </c>
      <c r="O700" t="s">
        <v>148</v>
      </c>
      <c r="P700" t="s">
        <v>2262</v>
      </c>
      <c r="Q700" t="s">
        <v>46</v>
      </c>
      <c r="R700" t="s">
        <v>68</v>
      </c>
      <c r="S700" t="s">
        <v>2263</v>
      </c>
      <c r="T700" s="4">
        <v>2.6960000000000002</v>
      </c>
      <c r="U700">
        <v>1</v>
      </c>
      <c r="V700">
        <v>0.2</v>
      </c>
      <c r="W700" s="4">
        <v>0.80879999999999996</v>
      </c>
    </row>
    <row r="701" spans="1:23" x14ac:dyDescent="0.3">
      <c r="A701">
        <v>700</v>
      </c>
      <c r="B701" t="s">
        <v>2254</v>
      </c>
      <c r="C701" s="3">
        <v>42405</v>
      </c>
      <c r="D701" s="7" t="str">
        <f t="shared" si="20"/>
        <v>February</v>
      </c>
      <c r="E701" s="3">
        <f t="shared" si="21"/>
        <v>42429</v>
      </c>
      <c r="F701" s="3">
        <v>42495</v>
      </c>
      <c r="G701" t="s">
        <v>188</v>
      </c>
      <c r="H701" t="s">
        <v>2255</v>
      </c>
      <c r="I701" t="s">
        <v>2256</v>
      </c>
      <c r="J701" t="s">
        <v>102</v>
      </c>
      <c r="K701" t="s">
        <v>27</v>
      </c>
      <c r="L701" t="s">
        <v>2257</v>
      </c>
      <c r="M701" t="s">
        <v>147</v>
      </c>
      <c r="N701">
        <v>19013</v>
      </c>
      <c r="O701" t="s">
        <v>148</v>
      </c>
      <c r="P701" t="s">
        <v>2264</v>
      </c>
      <c r="Q701" t="s">
        <v>46</v>
      </c>
      <c r="R701" t="s">
        <v>75</v>
      </c>
      <c r="S701" t="s">
        <v>2265</v>
      </c>
      <c r="T701" s="4">
        <v>18.588000000000001</v>
      </c>
      <c r="U701">
        <v>2</v>
      </c>
      <c r="V701">
        <v>0.7</v>
      </c>
      <c r="W701" s="4">
        <v>-13.6312</v>
      </c>
    </row>
    <row r="702" spans="1:23" x14ac:dyDescent="0.3">
      <c r="A702">
        <v>701</v>
      </c>
      <c r="B702" t="s">
        <v>2254</v>
      </c>
      <c r="C702" s="3">
        <v>42405</v>
      </c>
      <c r="D702" s="7" t="str">
        <f t="shared" si="20"/>
        <v>February</v>
      </c>
      <c r="E702" s="3">
        <f t="shared" si="21"/>
        <v>42429</v>
      </c>
      <c r="F702" s="3">
        <v>42495</v>
      </c>
      <c r="G702" t="s">
        <v>188</v>
      </c>
      <c r="H702" t="s">
        <v>2255</v>
      </c>
      <c r="I702" t="s">
        <v>2256</v>
      </c>
      <c r="J702" t="s">
        <v>102</v>
      </c>
      <c r="K702" t="s">
        <v>27</v>
      </c>
      <c r="L702" t="s">
        <v>2257</v>
      </c>
      <c r="M702" t="s">
        <v>147</v>
      </c>
      <c r="N702">
        <v>19013</v>
      </c>
      <c r="O702" t="s">
        <v>148</v>
      </c>
      <c r="P702" t="s">
        <v>1211</v>
      </c>
      <c r="Q702" t="s">
        <v>46</v>
      </c>
      <c r="R702" t="s">
        <v>75</v>
      </c>
      <c r="S702" t="s">
        <v>1212</v>
      </c>
      <c r="T702" s="4">
        <v>4.8959999999999999</v>
      </c>
      <c r="U702">
        <v>3</v>
      </c>
      <c r="V702">
        <v>0.7</v>
      </c>
      <c r="W702" s="4">
        <v>-3.4272</v>
      </c>
    </row>
    <row r="703" spans="1:23" x14ac:dyDescent="0.3">
      <c r="A703">
        <v>702</v>
      </c>
      <c r="B703" t="s">
        <v>2266</v>
      </c>
      <c r="C703" s="3">
        <v>42775</v>
      </c>
      <c r="D703" s="7" t="str">
        <f t="shared" si="20"/>
        <v>February</v>
      </c>
      <c r="E703" s="3">
        <f t="shared" si="21"/>
        <v>42794</v>
      </c>
      <c r="F703" s="3">
        <v>42956</v>
      </c>
      <c r="G703" t="s">
        <v>50</v>
      </c>
      <c r="H703" t="s">
        <v>977</v>
      </c>
      <c r="I703" t="s">
        <v>978</v>
      </c>
      <c r="J703" t="s">
        <v>41</v>
      </c>
      <c r="K703" t="s">
        <v>27</v>
      </c>
      <c r="L703" t="s">
        <v>2185</v>
      </c>
      <c r="M703" t="s">
        <v>498</v>
      </c>
      <c r="N703">
        <v>44105</v>
      </c>
      <c r="O703" t="s">
        <v>148</v>
      </c>
      <c r="P703" t="s">
        <v>823</v>
      </c>
      <c r="Q703" t="s">
        <v>32</v>
      </c>
      <c r="R703" t="s">
        <v>65</v>
      </c>
      <c r="S703" t="s">
        <v>824</v>
      </c>
      <c r="T703" s="4">
        <v>15.071999999999999</v>
      </c>
      <c r="U703">
        <v>3</v>
      </c>
      <c r="V703">
        <v>0.2</v>
      </c>
      <c r="W703" s="4">
        <v>4.1448</v>
      </c>
    </row>
    <row r="704" spans="1:23" x14ac:dyDescent="0.3">
      <c r="A704">
        <v>703</v>
      </c>
      <c r="B704" t="s">
        <v>2267</v>
      </c>
      <c r="C704" s="3">
        <v>42471</v>
      </c>
      <c r="D704" s="7" t="str">
        <f t="shared" si="20"/>
        <v>April</v>
      </c>
      <c r="E704" s="3">
        <f t="shared" si="21"/>
        <v>42490</v>
      </c>
      <c r="F704" s="3">
        <v>42593</v>
      </c>
      <c r="G704" t="s">
        <v>23</v>
      </c>
      <c r="H704" t="s">
        <v>1342</v>
      </c>
      <c r="I704" t="s">
        <v>1343</v>
      </c>
      <c r="J704" t="s">
        <v>41</v>
      </c>
      <c r="K704" t="s">
        <v>27</v>
      </c>
      <c r="L704" t="s">
        <v>95</v>
      </c>
      <c r="M704" t="s">
        <v>96</v>
      </c>
      <c r="N704">
        <v>98103</v>
      </c>
      <c r="O704" t="s">
        <v>44</v>
      </c>
      <c r="P704" t="s">
        <v>2268</v>
      </c>
      <c r="Q704" t="s">
        <v>32</v>
      </c>
      <c r="R704" t="s">
        <v>65</v>
      </c>
      <c r="S704" t="s">
        <v>2269</v>
      </c>
      <c r="T704" s="4">
        <v>209.88</v>
      </c>
      <c r="U704">
        <v>3</v>
      </c>
      <c r="V704">
        <v>0</v>
      </c>
      <c r="W704" s="4">
        <v>35.679600000000001</v>
      </c>
    </row>
    <row r="705" spans="1:23" x14ac:dyDescent="0.3">
      <c r="A705">
        <v>704</v>
      </c>
      <c r="B705" t="s">
        <v>2270</v>
      </c>
      <c r="C705" s="3">
        <v>42251</v>
      </c>
      <c r="D705" s="7" t="str">
        <f t="shared" si="20"/>
        <v>September</v>
      </c>
      <c r="E705" s="3">
        <f t="shared" si="21"/>
        <v>42277</v>
      </c>
      <c r="F705" s="3">
        <v>42404</v>
      </c>
      <c r="G705" t="s">
        <v>50</v>
      </c>
      <c r="H705" t="s">
        <v>2271</v>
      </c>
      <c r="I705" t="s">
        <v>2272</v>
      </c>
      <c r="J705" t="s">
        <v>26</v>
      </c>
      <c r="K705" t="s">
        <v>27</v>
      </c>
      <c r="L705" t="s">
        <v>1176</v>
      </c>
      <c r="M705" t="s">
        <v>43</v>
      </c>
      <c r="N705">
        <v>90805</v>
      </c>
      <c r="O705" t="s">
        <v>44</v>
      </c>
      <c r="P705" t="s">
        <v>2273</v>
      </c>
      <c r="Q705" t="s">
        <v>32</v>
      </c>
      <c r="R705" t="s">
        <v>56</v>
      </c>
      <c r="S705" t="s">
        <v>2274</v>
      </c>
      <c r="T705" s="4">
        <v>369.91199999999998</v>
      </c>
      <c r="U705">
        <v>3</v>
      </c>
      <c r="V705">
        <v>0.2</v>
      </c>
      <c r="W705" s="4">
        <v>-13.871700000000001</v>
      </c>
    </row>
    <row r="706" spans="1:23" x14ac:dyDescent="0.3">
      <c r="A706">
        <v>705</v>
      </c>
      <c r="B706" t="s">
        <v>2275</v>
      </c>
      <c r="C706" s="3">
        <v>41982</v>
      </c>
      <c r="D706" s="7" t="str">
        <f t="shared" si="20"/>
        <v>December</v>
      </c>
      <c r="E706" s="3">
        <f t="shared" si="21"/>
        <v>42004</v>
      </c>
      <c r="F706" s="3">
        <v>42133</v>
      </c>
      <c r="G706" t="s">
        <v>50</v>
      </c>
      <c r="H706" t="s">
        <v>2276</v>
      </c>
      <c r="I706" t="s">
        <v>2277</v>
      </c>
      <c r="J706" t="s">
        <v>41</v>
      </c>
      <c r="K706" t="s">
        <v>27</v>
      </c>
      <c r="L706" t="s">
        <v>2278</v>
      </c>
      <c r="M706" t="s">
        <v>88</v>
      </c>
      <c r="N706">
        <v>27511</v>
      </c>
      <c r="O706" t="s">
        <v>30</v>
      </c>
      <c r="P706" t="s">
        <v>2279</v>
      </c>
      <c r="Q706" t="s">
        <v>46</v>
      </c>
      <c r="R706" t="s">
        <v>90</v>
      </c>
      <c r="S706" t="s">
        <v>2280</v>
      </c>
      <c r="T706" s="4">
        <v>10.368</v>
      </c>
      <c r="U706">
        <v>2</v>
      </c>
      <c r="V706">
        <v>0.2</v>
      </c>
      <c r="W706" s="4">
        <v>3.6288</v>
      </c>
    </row>
    <row r="707" spans="1:23" x14ac:dyDescent="0.3">
      <c r="A707">
        <v>706</v>
      </c>
      <c r="B707" t="s">
        <v>2275</v>
      </c>
      <c r="C707" s="3">
        <v>41982</v>
      </c>
      <c r="D707" s="7" t="str">
        <f t="shared" ref="D707:D770" si="22">TEXT(C707,"mmmm")</f>
        <v>December</v>
      </c>
      <c r="E707" s="3">
        <f t="shared" ref="E707:E770" si="23">EOMONTH(C707,0)</f>
        <v>42004</v>
      </c>
      <c r="F707" s="3">
        <v>42133</v>
      </c>
      <c r="G707" t="s">
        <v>50</v>
      </c>
      <c r="H707" t="s">
        <v>2276</v>
      </c>
      <c r="I707" t="s">
        <v>2277</v>
      </c>
      <c r="J707" t="s">
        <v>41</v>
      </c>
      <c r="K707" t="s">
        <v>27</v>
      </c>
      <c r="L707" t="s">
        <v>2278</v>
      </c>
      <c r="M707" t="s">
        <v>88</v>
      </c>
      <c r="N707">
        <v>27511</v>
      </c>
      <c r="O707" t="s">
        <v>30</v>
      </c>
      <c r="P707" t="s">
        <v>2281</v>
      </c>
      <c r="Q707" t="s">
        <v>46</v>
      </c>
      <c r="R707" t="s">
        <v>78</v>
      </c>
      <c r="S707" t="s">
        <v>2282</v>
      </c>
      <c r="T707" s="4">
        <v>166.84</v>
      </c>
      <c r="U707">
        <v>5</v>
      </c>
      <c r="V707">
        <v>0.2</v>
      </c>
      <c r="W707" s="4">
        <v>18.769500000000001</v>
      </c>
    </row>
    <row r="708" spans="1:23" x14ac:dyDescent="0.3">
      <c r="A708">
        <v>707</v>
      </c>
      <c r="B708" t="s">
        <v>2275</v>
      </c>
      <c r="C708" s="3">
        <v>41982</v>
      </c>
      <c r="D708" s="7" t="str">
        <f t="shared" si="22"/>
        <v>December</v>
      </c>
      <c r="E708" s="3">
        <f t="shared" si="23"/>
        <v>42004</v>
      </c>
      <c r="F708" s="3">
        <v>42133</v>
      </c>
      <c r="G708" t="s">
        <v>50</v>
      </c>
      <c r="H708" t="s">
        <v>2276</v>
      </c>
      <c r="I708" t="s">
        <v>2277</v>
      </c>
      <c r="J708" t="s">
        <v>41</v>
      </c>
      <c r="K708" t="s">
        <v>27</v>
      </c>
      <c r="L708" t="s">
        <v>2278</v>
      </c>
      <c r="M708" t="s">
        <v>88</v>
      </c>
      <c r="N708">
        <v>27511</v>
      </c>
      <c r="O708" t="s">
        <v>30</v>
      </c>
      <c r="P708" t="s">
        <v>1755</v>
      </c>
      <c r="Q708" t="s">
        <v>71</v>
      </c>
      <c r="R708" t="s">
        <v>161</v>
      </c>
      <c r="S708" t="s">
        <v>1756</v>
      </c>
      <c r="T708" s="4">
        <v>15.215999999999999</v>
      </c>
      <c r="U708">
        <v>1</v>
      </c>
      <c r="V708">
        <v>0.2</v>
      </c>
      <c r="W708" s="4">
        <v>2.2824</v>
      </c>
    </row>
    <row r="709" spans="1:23" x14ac:dyDescent="0.3">
      <c r="A709">
        <v>708</v>
      </c>
      <c r="B709" t="s">
        <v>2283</v>
      </c>
      <c r="C709" s="3">
        <v>41682</v>
      </c>
      <c r="D709" s="7" t="str">
        <f t="shared" si="22"/>
        <v>February</v>
      </c>
      <c r="E709" s="3">
        <f t="shared" si="23"/>
        <v>41698</v>
      </c>
      <c r="F709" s="3">
        <v>41741</v>
      </c>
      <c r="G709" t="s">
        <v>188</v>
      </c>
      <c r="H709" t="s">
        <v>2284</v>
      </c>
      <c r="I709" t="s">
        <v>2285</v>
      </c>
      <c r="J709" t="s">
        <v>26</v>
      </c>
      <c r="K709" t="s">
        <v>27</v>
      </c>
      <c r="L709" t="s">
        <v>266</v>
      </c>
      <c r="M709" t="s">
        <v>267</v>
      </c>
      <c r="N709">
        <v>10035</v>
      </c>
      <c r="O709" t="s">
        <v>148</v>
      </c>
      <c r="P709" t="s">
        <v>1021</v>
      </c>
      <c r="Q709" t="s">
        <v>71</v>
      </c>
      <c r="R709" t="s">
        <v>161</v>
      </c>
      <c r="S709" t="s">
        <v>1022</v>
      </c>
      <c r="T709" s="4">
        <v>119.96</v>
      </c>
      <c r="U709">
        <v>4</v>
      </c>
      <c r="V709">
        <v>0</v>
      </c>
      <c r="W709" s="4">
        <v>52.782400000000003</v>
      </c>
    </row>
    <row r="710" spans="1:23" x14ac:dyDescent="0.3">
      <c r="A710">
        <v>709</v>
      </c>
      <c r="B710" t="s">
        <v>2283</v>
      </c>
      <c r="C710" s="3">
        <v>41682</v>
      </c>
      <c r="D710" s="7" t="str">
        <f t="shared" si="22"/>
        <v>February</v>
      </c>
      <c r="E710" s="3">
        <f t="shared" si="23"/>
        <v>41698</v>
      </c>
      <c r="F710" s="3">
        <v>41741</v>
      </c>
      <c r="G710" t="s">
        <v>188</v>
      </c>
      <c r="H710" t="s">
        <v>2284</v>
      </c>
      <c r="I710" t="s">
        <v>2285</v>
      </c>
      <c r="J710" t="s">
        <v>26</v>
      </c>
      <c r="K710" t="s">
        <v>27</v>
      </c>
      <c r="L710" t="s">
        <v>266</v>
      </c>
      <c r="M710" t="s">
        <v>267</v>
      </c>
      <c r="N710">
        <v>10035</v>
      </c>
      <c r="O710" t="s">
        <v>148</v>
      </c>
      <c r="P710" t="s">
        <v>2286</v>
      </c>
      <c r="Q710" t="s">
        <v>32</v>
      </c>
      <c r="R710" t="s">
        <v>33</v>
      </c>
      <c r="S710" t="s">
        <v>2287</v>
      </c>
      <c r="T710" s="4">
        <v>883.92</v>
      </c>
      <c r="U710">
        <v>5</v>
      </c>
      <c r="V710">
        <v>0.2</v>
      </c>
      <c r="W710" s="4">
        <v>-110.49</v>
      </c>
    </row>
    <row r="711" spans="1:23" x14ac:dyDescent="0.3">
      <c r="A711">
        <v>710</v>
      </c>
      <c r="B711" t="s">
        <v>2283</v>
      </c>
      <c r="C711" s="3">
        <v>41682</v>
      </c>
      <c r="D711" s="7" t="str">
        <f t="shared" si="22"/>
        <v>February</v>
      </c>
      <c r="E711" s="3">
        <f t="shared" si="23"/>
        <v>41698</v>
      </c>
      <c r="F711" s="3">
        <v>41741</v>
      </c>
      <c r="G711" t="s">
        <v>188</v>
      </c>
      <c r="H711" t="s">
        <v>2284</v>
      </c>
      <c r="I711" t="s">
        <v>2285</v>
      </c>
      <c r="J711" t="s">
        <v>26</v>
      </c>
      <c r="K711" t="s">
        <v>27</v>
      </c>
      <c r="L711" t="s">
        <v>266</v>
      </c>
      <c r="M711" t="s">
        <v>267</v>
      </c>
      <c r="N711">
        <v>10035</v>
      </c>
      <c r="O711" t="s">
        <v>148</v>
      </c>
      <c r="P711" t="s">
        <v>1376</v>
      </c>
      <c r="Q711" t="s">
        <v>46</v>
      </c>
      <c r="R711" t="s">
        <v>75</v>
      </c>
      <c r="S711" t="s">
        <v>1377</v>
      </c>
      <c r="T711" s="4">
        <v>46.72</v>
      </c>
      <c r="U711">
        <v>8</v>
      </c>
      <c r="V711">
        <v>0.2</v>
      </c>
      <c r="W711" s="4">
        <v>15.768000000000001</v>
      </c>
    </row>
    <row r="712" spans="1:23" x14ac:dyDescent="0.3">
      <c r="A712">
        <v>711</v>
      </c>
      <c r="B712" t="s">
        <v>2288</v>
      </c>
      <c r="C712" s="3">
        <v>41763</v>
      </c>
      <c r="D712" s="7" t="str">
        <f t="shared" si="22"/>
        <v>May</v>
      </c>
      <c r="E712" s="3">
        <f t="shared" si="23"/>
        <v>41790</v>
      </c>
      <c r="F712" s="3">
        <v>41824</v>
      </c>
      <c r="G712" t="s">
        <v>188</v>
      </c>
      <c r="H712" t="s">
        <v>2289</v>
      </c>
      <c r="I712" t="s">
        <v>2290</v>
      </c>
      <c r="J712" t="s">
        <v>102</v>
      </c>
      <c r="K712" t="s">
        <v>27</v>
      </c>
      <c r="L712" t="s">
        <v>266</v>
      </c>
      <c r="M712" t="s">
        <v>267</v>
      </c>
      <c r="N712">
        <v>10035</v>
      </c>
      <c r="O712" t="s">
        <v>148</v>
      </c>
      <c r="P712" t="s">
        <v>1629</v>
      </c>
      <c r="Q712" t="s">
        <v>46</v>
      </c>
      <c r="R712" t="s">
        <v>90</v>
      </c>
      <c r="S712" t="s">
        <v>1630</v>
      </c>
      <c r="T712" s="4">
        <v>55.48</v>
      </c>
      <c r="U712">
        <v>1</v>
      </c>
      <c r="V712">
        <v>0</v>
      </c>
      <c r="W712" s="4">
        <v>26.630400000000002</v>
      </c>
    </row>
    <row r="713" spans="1:23" x14ac:dyDescent="0.3">
      <c r="A713">
        <v>712</v>
      </c>
      <c r="B713" t="s">
        <v>2291</v>
      </c>
      <c r="C713" s="3">
        <v>42803</v>
      </c>
      <c r="D713" s="7" t="str">
        <f t="shared" si="22"/>
        <v>March</v>
      </c>
      <c r="E713" s="3">
        <f t="shared" si="23"/>
        <v>42825</v>
      </c>
      <c r="F713" s="3">
        <v>42925</v>
      </c>
      <c r="G713" t="s">
        <v>50</v>
      </c>
      <c r="H713" t="s">
        <v>2292</v>
      </c>
      <c r="I713" t="s">
        <v>2293</v>
      </c>
      <c r="J713" t="s">
        <v>26</v>
      </c>
      <c r="K713" t="s">
        <v>27</v>
      </c>
      <c r="L713" t="s">
        <v>2294</v>
      </c>
      <c r="M713" t="s">
        <v>54</v>
      </c>
      <c r="N713">
        <v>32137</v>
      </c>
      <c r="O713" t="s">
        <v>30</v>
      </c>
      <c r="P713" t="s">
        <v>2295</v>
      </c>
      <c r="Q713" t="s">
        <v>46</v>
      </c>
      <c r="R713" t="s">
        <v>173</v>
      </c>
      <c r="S713" t="s">
        <v>2296</v>
      </c>
      <c r="T713" s="4">
        <v>24.448</v>
      </c>
      <c r="U713">
        <v>4</v>
      </c>
      <c r="V713">
        <v>0.2</v>
      </c>
      <c r="W713" s="4">
        <v>8.8623999999999992</v>
      </c>
    </row>
    <row r="714" spans="1:23" x14ac:dyDescent="0.3">
      <c r="A714">
        <v>713</v>
      </c>
      <c r="B714" t="s">
        <v>2297</v>
      </c>
      <c r="C714" s="3">
        <v>43286</v>
      </c>
      <c r="D714" s="7" t="str">
        <f t="shared" si="22"/>
        <v>July</v>
      </c>
      <c r="E714" s="3">
        <f t="shared" si="23"/>
        <v>43312</v>
      </c>
      <c r="F714" s="3">
        <v>43439</v>
      </c>
      <c r="G714" t="s">
        <v>50</v>
      </c>
      <c r="H714" t="s">
        <v>2298</v>
      </c>
      <c r="I714" t="s">
        <v>2299</v>
      </c>
      <c r="J714" t="s">
        <v>41</v>
      </c>
      <c r="K714" t="s">
        <v>27</v>
      </c>
      <c r="L714" t="s">
        <v>2300</v>
      </c>
      <c r="M714" t="s">
        <v>267</v>
      </c>
      <c r="N714">
        <v>10550</v>
      </c>
      <c r="O714" t="s">
        <v>148</v>
      </c>
      <c r="P714" t="s">
        <v>2301</v>
      </c>
      <c r="Q714" t="s">
        <v>46</v>
      </c>
      <c r="R714" t="s">
        <v>78</v>
      </c>
      <c r="S714" t="s">
        <v>2302</v>
      </c>
      <c r="T714" s="4">
        <v>281.33999999999997</v>
      </c>
      <c r="U714">
        <v>6</v>
      </c>
      <c r="V714">
        <v>0</v>
      </c>
      <c r="W714" s="4">
        <v>109.7226</v>
      </c>
    </row>
    <row r="715" spans="1:23" x14ac:dyDescent="0.3">
      <c r="A715">
        <v>714</v>
      </c>
      <c r="B715" t="s">
        <v>2297</v>
      </c>
      <c r="C715" s="3">
        <v>43286</v>
      </c>
      <c r="D715" s="7" t="str">
        <f t="shared" si="22"/>
        <v>July</v>
      </c>
      <c r="E715" s="3">
        <f t="shared" si="23"/>
        <v>43312</v>
      </c>
      <c r="F715" s="3">
        <v>43439</v>
      </c>
      <c r="G715" t="s">
        <v>50</v>
      </c>
      <c r="H715" t="s">
        <v>2298</v>
      </c>
      <c r="I715" t="s">
        <v>2299</v>
      </c>
      <c r="J715" t="s">
        <v>41</v>
      </c>
      <c r="K715" t="s">
        <v>27</v>
      </c>
      <c r="L715" t="s">
        <v>2300</v>
      </c>
      <c r="M715" t="s">
        <v>267</v>
      </c>
      <c r="N715">
        <v>10550</v>
      </c>
      <c r="O715" t="s">
        <v>148</v>
      </c>
      <c r="P715" t="s">
        <v>1382</v>
      </c>
      <c r="Q715" t="s">
        <v>71</v>
      </c>
      <c r="R715" t="s">
        <v>72</v>
      </c>
      <c r="S715" t="s">
        <v>1383</v>
      </c>
      <c r="T715" s="4">
        <v>307.98</v>
      </c>
      <c r="U715">
        <v>2</v>
      </c>
      <c r="V715">
        <v>0</v>
      </c>
      <c r="W715" s="4">
        <v>89.3142</v>
      </c>
    </row>
    <row r="716" spans="1:23" x14ac:dyDescent="0.3">
      <c r="A716">
        <v>715</v>
      </c>
      <c r="B716" t="s">
        <v>2297</v>
      </c>
      <c r="C716" s="3">
        <v>43286</v>
      </c>
      <c r="D716" s="7" t="str">
        <f t="shared" si="22"/>
        <v>July</v>
      </c>
      <c r="E716" s="3">
        <f t="shared" si="23"/>
        <v>43312</v>
      </c>
      <c r="F716" s="3">
        <v>43439</v>
      </c>
      <c r="G716" t="s">
        <v>50</v>
      </c>
      <c r="H716" t="s">
        <v>2298</v>
      </c>
      <c r="I716" t="s">
        <v>2299</v>
      </c>
      <c r="J716" t="s">
        <v>41</v>
      </c>
      <c r="K716" t="s">
        <v>27</v>
      </c>
      <c r="L716" t="s">
        <v>2300</v>
      </c>
      <c r="M716" t="s">
        <v>267</v>
      </c>
      <c r="N716">
        <v>10550</v>
      </c>
      <c r="O716" t="s">
        <v>148</v>
      </c>
      <c r="P716" t="s">
        <v>2303</v>
      </c>
      <c r="Q716" t="s">
        <v>71</v>
      </c>
      <c r="R716" t="s">
        <v>161</v>
      </c>
      <c r="S716" t="s">
        <v>2304</v>
      </c>
      <c r="T716" s="4">
        <v>299.97000000000003</v>
      </c>
      <c r="U716">
        <v>3</v>
      </c>
      <c r="V716">
        <v>0</v>
      </c>
      <c r="W716" s="4">
        <v>113.98860000000001</v>
      </c>
    </row>
    <row r="717" spans="1:23" x14ac:dyDescent="0.3">
      <c r="A717">
        <v>716</v>
      </c>
      <c r="B717" t="s">
        <v>2305</v>
      </c>
      <c r="C717" s="3">
        <v>41646</v>
      </c>
      <c r="D717" s="7" t="str">
        <f t="shared" si="22"/>
        <v>January</v>
      </c>
      <c r="E717" s="3">
        <f t="shared" si="23"/>
        <v>41670</v>
      </c>
      <c r="F717" s="3">
        <v>41797</v>
      </c>
      <c r="G717" t="s">
        <v>23</v>
      </c>
      <c r="H717" t="s">
        <v>977</v>
      </c>
      <c r="I717" t="s">
        <v>978</v>
      </c>
      <c r="J717" t="s">
        <v>41</v>
      </c>
      <c r="K717" t="s">
        <v>27</v>
      </c>
      <c r="L717" t="s">
        <v>95</v>
      </c>
      <c r="M717" t="s">
        <v>96</v>
      </c>
      <c r="N717">
        <v>98105</v>
      </c>
      <c r="O717" t="s">
        <v>44</v>
      </c>
      <c r="P717" t="s">
        <v>2306</v>
      </c>
      <c r="Q717" t="s">
        <v>46</v>
      </c>
      <c r="R717" t="s">
        <v>75</v>
      </c>
      <c r="S717" t="s">
        <v>2307</v>
      </c>
      <c r="T717" s="4">
        <v>19.920000000000002</v>
      </c>
      <c r="U717">
        <v>5</v>
      </c>
      <c r="V717">
        <v>0.2</v>
      </c>
      <c r="W717" s="4">
        <v>6.9720000000000004</v>
      </c>
    </row>
    <row r="718" spans="1:23" x14ac:dyDescent="0.3">
      <c r="A718">
        <v>717</v>
      </c>
      <c r="B718" t="s">
        <v>2308</v>
      </c>
      <c r="C718" s="3">
        <v>41944</v>
      </c>
      <c r="D718" s="7" t="str">
        <f t="shared" si="22"/>
        <v>November</v>
      </c>
      <c r="E718" s="3">
        <f t="shared" si="23"/>
        <v>41973</v>
      </c>
      <c r="F718" s="3">
        <v>42036</v>
      </c>
      <c r="G718" t="s">
        <v>188</v>
      </c>
      <c r="H718" t="s">
        <v>2309</v>
      </c>
      <c r="I718" t="s">
        <v>2310</v>
      </c>
      <c r="J718" t="s">
        <v>26</v>
      </c>
      <c r="K718" t="s">
        <v>27</v>
      </c>
      <c r="L718" t="s">
        <v>244</v>
      </c>
      <c r="M718" t="s">
        <v>245</v>
      </c>
      <c r="N718">
        <v>19901</v>
      </c>
      <c r="O718" t="s">
        <v>148</v>
      </c>
      <c r="P718" t="s">
        <v>2050</v>
      </c>
      <c r="Q718" t="s">
        <v>32</v>
      </c>
      <c r="R718" t="s">
        <v>65</v>
      </c>
      <c r="S718" t="s">
        <v>2051</v>
      </c>
      <c r="T718" s="4">
        <v>9.94</v>
      </c>
      <c r="U718">
        <v>2</v>
      </c>
      <c r="V718">
        <v>0</v>
      </c>
      <c r="W718" s="4">
        <v>3.0813999999999999</v>
      </c>
    </row>
    <row r="719" spans="1:23" x14ac:dyDescent="0.3">
      <c r="A719">
        <v>718</v>
      </c>
      <c r="B719" t="s">
        <v>2311</v>
      </c>
      <c r="C719" s="3">
        <v>43443</v>
      </c>
      <c r="D719" s="7" t="str">
        <f t="shared" si="22"/>
        <v>December</v>
      </c>
      <c r="E719" s="3">
        <f t="shared" si="23"/>
        <v>43465</v>
      </c>
      <c r="F719" s="3">
        <v>43594</v>
      </c>
      <c r="G719" t="s">
        <v>50</v>
      </c>
      <c r="H719" t="s">
        <v>948</v>
      </c>
      <c r="I719" t="s">
        <v>949</v>
      </c>
      <c r="J719" t="s">
        <v>26</v>
      </c>
      <c r="K719" t="s">
        <v>27</v>
      </c>
      <c r="L719" t="s">
        <v>607</v>
      </c>
      <c r="M719" t="s">
        <v>498</v>
      </c>
      <c r="N719">
        <v>43055</v>
      </c>
      <c r="O719" t="s">
        <v>148</v>
      </c>
      <c r="P719" t="s">
        <v>2312</v>
      </c>
      <c r="Q719" t="s">
        <v>32</v>
      </c>
      <c r="R719" t="s">
        <v>65</v>
      </c>
      <c r="S719" t="s">
        <v>2313</v>
      </c>
      <c r="T719" s="4">
        <v>103.056</v>
      </c>
      <c r="U719">
        <v>3</v>
      </c>
      <c r="V719">
        <v>0.2</v>
      </c>
      <c r="W719" s="4">
        <v>24.4758</v>
      </c>
    </row>
    <row r="720" spans="1:23" x14ac:dyDescent="0.3">
      <c r="A720">
        <v>719</v>
      </c>
      <c r="B720" t="s">
        <v>2314</v>
      </c>
      <c r="C720" s="3">
        <v>41676</v>
      </c>
      <c r="D720" s="7" t="str">
        <f t="shared" si="22"/>
        <v>February</v>
      </c>
      <c r="E720" s="3">
        <f t="shared" si="23"/>
        <v>41698</v>
      </c>
      <c r="F720" s="3">
        <v>41826</v>
      </c>
      <c r="G720" t="s">
        <v>50</v>
      </c>
      <c r="H720" t="s">
        <v>2315</v>
      </c>
      <c r="I720" t="s">
        <v>2316</v>
      </c>
      <c r="J720" t="s">
        <v>102</v>
      </c>
      <c r="K720" t="s">
        <v>27</v>
      </c>
      <c r="L720" t="s">
        <v>154</v>
      </c>
      <c r="M720" t="s">
        <v>121</v>
      </c>
      <c r="N720">
        <v>84057</v>
      </c>
      <c r="O720" t="s">
        <v>44</v>
      </c>
      <c r="P720" t="s">
        <v>1729</v>
      </c>
      <c r="Q720" t="s">
        <v>46</v>
      </c>
      <c r="R720" t="s">
        <v>75</v>
      </c>
      <c r="S720" t="s">
        <v>1730</v>
      </c>
      <c r="T720" s="4">
        <v>59.808</v>
      </c>
      <c r="U720">
        <v>3</v>
      </c>
      <c r="V720">
        <v>0.2</v>
      </c>
      <c r="W720" s="4">
        <v>19.4376</v>
      </c>
    </row>
    <row r="721" spans="1:23" x14ac:dyDescent="0.3">
      <c r="A721">
        <v>720</v>
      </c>
      <c r="B721" t="s">
        <v>2314</v>
      </c>
      <c r="C721" s="3">
        <v>41676</v>
      </c>
      <c r="D721" s="7" t="str">
        <f t="shared" si="22"/>
        <v>February</v>
      </c>
      <c r="E721" s="3">
        <f t="shared" si="23"/>
        <v>41698</v>
      </c>
      <c r="F721" s="3">
        <v>41826</v>
      </c>
      <c r="G721" t="s">
        <v>50</v>
      </c>
      <c r="H721" t="s">
        <v>2315</v>
      </c>
      <c r="I721" t="s">
        <v>2316</v>
      </c>
      <c r="J721" t="s">
        <v>102</v>
      </c>
      <c r="K721" t="s">
        <v>27</v>
      </c>
      <c r="L721" t="s">
        <v>154</v>
      </c>
      <c r="M721" t="s">
        <v>121</v>
      </c>
      <c r="N721">
        <v>84057</v>
      </c>
      <c r="O721" t="s">
        <v>44</v>
      </c>
      <c r="P721" t="s">
        <v>1545</v>
      </c>
      <c r="Q721" t="s">
        <v>32</v>
      </c>
      <c r="R721" t="s">
        <v>65</v>
      </c>
      <c r="S721" t="s">
        <v>1546</v>
      </c>
      <c r="T721" s="4">
        <v>73.319999999999993</v>
      </c>
      <c r="U721">
        <v>6</v>
      </c>
      <c r="V721">
        <v>0</v>
      </c>
      <c r="W721" s="4">
        <v>21.995999999999999</v>
      </c>
    </row>
    <row r="722" spans="1:23" x14ac:dyDescent="0.3">
      <c r="A722">
        <v>721</v>
      </c>
      <c r="B722" t="s">
        <v>2317</v>
      </c>
      <c r="C722" s="3">
        <v>42737</v>
      </c>
      <c r="D722" s="7" t="str">
        <f t="shared" si="22"/>
        <v>January</v>
      </c>
      <c r="E722" s="3">
        <f t="shared" si="23"/>
        <v>42766</v>
      </c>
      <c r="F722" s="3">
        <v>42888</v>
      </c>
      <c r="G722" t="s">
        <v>50</v>
      </c>
      <c r="H722" t="s">
        <v>2318</v>
      </c>
      <c r="I722" t="s">
        <v>2319</v>
      </c>
      <c r="J722" t="s">
        <v>102</v>
      </c>
      <c r="K722" t="s">
        <v>27</v>
      </c>
      <c r="L722" t="s">
        <v>42</v>
      </c>
      <c r="M722" t="s">
        <v>43</v>
      </c>
      <c r="N722">
        <v>90045</v>
      </c>
      <c r="O722" t="s">
        <v>44</v>
      </c>
      <c r="P722" t="s">
        <v>2320</v>
      </c>
      <c r="Q722" t="s">
        <v>46</v>
      </c>
      <c r="R722" t="s">
        <v>90</v>
      </c>
      <c r="S722" t="s">
        <v>2321</v>
      </c>
      <c r="T722" s="4">
        <v>146.82</v>
      </c>
      <c r="U722">
        <v>3</v>
      </c>
      <c r="V722">
        <v>0</v>
      </c>
      <c r="W722" s="4">
        <v>73.41</v>
      </c>
    </row>
    <row r="723" spans="1:23" x14ac:dyDescent="0.3">
      <c r="A723">
        <v>722</v>
      </c>
      <c r="B723" t="s">
        <v>2322</v>
      </c>
      <c r="C723" s="3">
        <v>42806</v>
      </c>
      <c r="D723" s="7" t="str">
        <f t="shared" si="22"/>
        <v>March</v>
      </c>
      <c r="E723" s="3">
        <f t="shared" si="23"/>
        <v>42825</v>
      </c>
      <c r="F723" s="3">
        <v>42928</v>
      </c>
      <c r="G723" t="s">
        <v>50</v>
      </c>
      <c r="H723" t="s">
        <v>1482</v>
      </c>
      <c r="I723" t="s">
        <v>1483</v>
      </c>
      <c r="J723" t="s">
        <v>41</v>
      </c>
      <c r="K723" t="s">
        <v>27</v>
      </c>
      <c r="L723" t="s">
        <v>882</v>
      </c>
      <c r="M723" t="s">
        <v>238</v>
      </c>
      <c r="N723">
        <v>48205</v>
      </c>
      <c r="O723" t="s">
        <v>105</v>
      </c>
      <c r="P723" t="s">
        <v>2323</v>
      </c>
      <c r="Q723" t="s">
        <v>32</v>
      </c>
      <c r="R723" t="s">
        <v>56</v>
      </c>
      <c r="S723" t="s">
        <v>2324</v>
      </c>
      <c r="T723" s="4">
        <v>1652.94</v>
      </c>
      <c r="U723">
        <v>3</v>
      </c>
      <c r="V723">
        <v>0</v>
      </c>
      <c r="W723" s="4">
        <v>231.41159999999999</v>
      </c>
    </row>
    <row r="724" spans="1:23" x14ac:dyDescent="0.3">
      <c r="A724">
        <v>723</v>
      </c>
      <c r="B724" t="s">
        <v>2322</v>
      </c>
      <c r="C724" s="3">
        <v>42806</v>
      </c>
      <c r="D724" s="7" t="str">
        <f t="shared" si="22"/>
        <v>March</v>
      </c>
      <c r="E724" s="3">
        <f t="shared" si="23"/>
        <v>42825</v>
      </c>
      <c r="F724" s="3">
        <v>42928</v>
      </c>
      <c r="G724" t="s">
        <v>50</v>
      </c>
      <c r="H724" t="s">
        <v>1482</v>
      </c>
      <c r="I724" t="s">
        <v>1483</v>
      </c>
      <c r="J724" t="s">
        <v>41</v>
      </c>
      <c r="K724" t="s">
        <v>27</v>
      </c>
      <c r="L724" t="s">
        <v>882</v>
      </c>
      <c r="M724" t="s">
        <v>238</v>
      </c>
      <c r="N724">
        <v>48205</v>
      </c>
      <c r="O724" t="s">
        <v>105</v>
      </c>
      <c r="P724" t="s">
        <v>2325</v>
      </c>
      <c r="Q724" t="s">
        <v>46</v>
      </c>
      <c r="R724" t="s">
        <v>59</v>
      </c>
      <c r="S724" t="s">
        <v>2326</v>
      </c>
      <c r="T724" s="4">
        <v>296.37</v>
      </c>
      <c r="U724">
        <v>3</v>
      </c>
      <c r="V724">
        <v>0</v>
      </c>
      <c r="W724" s="4">
        <v>80.019900000000007</v>
      </c>
    </row>
    <row r="725" spans="1:23" x14ac:dyDescent="0.3">
      <c r="A725">
        <v>724</v>
      </c>
      <c r="B725" t="s">
        <v>2327</v>
      </c>
      <c r="C725" s="3">
        <v>41830</v>
      </c>
      <c r="D725" s="7" t="str">
        <f t="shared" si="22"/>
        <v>July</v>
      </c>
      <c r="E725" s="3">
        <f t="shared" si="23"/>
        <v>41851</v>
      </c>
      <c r="F725" s="3">
        <v>42014</v>
      </c>
      <c r="G725" t="s">
        <v>50</v>
      </c>
      <c r="H725" t="s">
        <v>2328</v>
      </c>
      <c r="I725" t="s">
        <v>2329</v>
      </c>
      <c r="J725" t="s">
        <v>102</v>
      </c>
      <c r="K725" t="s">
        <v>27</v>
      </c>
      <c r="L725" t="s">
        <v>146</v>
      </c>
      <c r="M725" t="s">
        <v>147</v>
      </c>
      <c r="N725">
        <v>19140</v>
      </c>
      <c r="O725" t="s">
        <v>148</v>
      </c>
      <c r="P725" t="s">
        <v>2330</v>
      </c>
      <c r="Q725" t="s">
        <v>32</v>
      </c>
      <c r="R725" t="s">
        <v>65</v>
      </c>
      <c r="S725" t="s">
        <v>2331</v>
      </c>
      <c r="T725" s="4">
        <v>129.91999999999999</v>
      </c>
      <c r="U725">
        <v>5</v>
      </c>
      <c r="V725">
        <v>0.2</v>
      </c>
      <c r="W725" s="4">
        <v>21.111999999999998</v>
      </c>
    </row>
    <row r="726" spans="1:23" x14ac:dyDescent="0.3">
      <c r="A726">
        <v>725</v>
      </c>
      <c r="B726" t="s">
        <v>2332</v>
      </c>
      <c r="C726" s="3">
        <v>42558</v>
      </c>
      <c r="D726" s="7" t="str">
        <f t="shared" si="22"/>
        <v>July</v>
      </c>
      <c r="E726" s="3">
        <f t="shared" si="23"/>
        <v>42582</v>
      </c>
      <c r="F726" s="3">
        <v>42711</v>
      </c>
      <c r="G726" t="s">
        <v>50</v>
      </c>
      <c r="H726" t="s">
        <v>2333</v>
      </c>
      <c r="I726" t="s">
        <v>2334</v>
      </c>
      <c r="J726" t="s">
        <v>41</v>
      </c>
      <c r="K726" t="s">
        <v>27</v>
      </c>
      <c r="L726" t="s">
        <v>2335</v>
      </c>
      <c r="M726" t="s">
        <v>54</v>
      </c>
      <c r="N726">
        <v>33012</v>
      </c>
      <c r="O726" t="s">
        <v>30</v>
      </c>
      <c r="P726" t="s">
        <v>2336</v>
      </c>
      <c r="Q726" t="s">
        <v>46</v>
      </c>
      <c r="R726" t="s">
        <v>579</v>
      </c>
      <c r="S726" t="s">
        <v>2337</v>
      </c>
      <c r="T726" s="4">
        <v>45.584000000000003</v>
      </c>
      <c r="U726">
        <v>7</v>
      </c>
      <c r="V726">
        <v>0.2</v>
      </c>
      <c r="W726" s="4">
        <v>5.1281999999999996</v>
      </c>
    </row>
    <row r="727" spans="1:23" x14ac:dyDescent="0.3">
      <c r="A727">
        <v>726</v>
      </c>
      <c r="B727" t="s">
        <v>2338</v>
      </c>
      <c r="C727" s="3">
        <v>43199</v>
      </c>
      <c r="D727" s="7" t="str">
        <f t="shared" si="22"/>
        <v>April</v>
      </c>
      <c r="E727" s="3">
        <f t="shared" si="23"/>
        <v>43220</v>
      </c>
      <c r="F727" s="3">
        <v>43321</v>
      </c>
      <c r="G727" t="s">
        <v>50</v>
      </c>
      <c r="H727" t="s">
        <v>2339</v>
      </c>
      <c r="I727" t="s">
        <v>2340</v>
      </c>
      <c r="J727" t="s">
        <v>26</v>
      </c>
      <c r="K727" t="s">
        <v>27</v>
      </c>
      <c r="L727" t="s">
        <v>1240</v>
      </c>
      <c r="M727" t="s">
        <v>104</v>
      </c>
      <c r="N727">
        <v>78745</v>
      </c>
      <c r="O727" t="s">
        <v>105</v>
      </c>
      <c r="P727" t="s">
        <v>2341</v>
      </c>
      <c r="Q727" t="s">
        <v>46</v>
      </c>
      <c r="R727" t="s">
        <v>173</v>
      </c>
      <c r="S727" t="s">
        <v>2342</v>
      </c>
      <c r="T727" s="4">
        <v>17.568000000000001</v>
      </c>
      <c r="U727">
        <v>2</v>
      </c>
      <c r="V727">
        <v>0.2</v>
      </c>
      <c r="W727" s="4">
        <v>6.3684000000000003</v>
      </c>
    </row>
    <row r="728" spans="1:23" x14ac:dyDescent="0.3">
      <c r="A728">
        <v>727</v>
      </c>
      <c r="B728" t="s">
        <v>2338</v>
      </c>
      <c r="C728" s="3">
        <v>43199</v>
      </c>
      <c r="D728" s="7" t="str">
        <f t="shared" si="22"/>
        <v>April</v>
      </c>
      <c r="E728" s="3">
        <f t="shared" si="23"/>
        <v>43220</v>
      </c>
      <c r="F728" s="3">
        <v>43321</v>
      </c>
      <c r="G728" t="s">
        <v>50</v>
      </c>
      <c r="H728" t="s">
        <v>2339</v>
      </c>
      <c r="I728" t="s">
        <v>2340</v>
      </c>
      <c r="J728" t="s">
        <v>26</v>
      </c>
      <c r="K728" t="s">
        <v>27</v>
      </c>
      <c r="L728" t="s">
        <v>1240</v>
      </c>
      <c r="M728" t="s">
        <v>104</v>
      </c>
      <c r="N728">
        <v>78745</v>
      </c>
      <c r="O728" t="s">
        <v>105</v>
      </c>
      <c r="P728" t="s">
        <v>2343</v>
      </c>
      <c r="Q728" t="s">
        <v>71</v>
      </c>
      <c r="R728" t="s">
        <v>72</v>
      </c>
      <c r="S728" t="s">
        <v>2344</v>
      </c>
      <c r="T728" s="4">
        <v>55.991999999999997</v>
      </c>
      <c r="U728">
        <v>1</v>
      </c>
      <c r="V728">
        <v>0.2</v>
      </c>
      <c r="W728" s="4">
        <v>5.5991999999999997</v>
      </c>
    </row>
    <row r="729" spans="1:23" x14ac:dyDescent="0.3">
      <c r="A729">
        <v>728</v>
      </c>
      <c r="B729" t="s">
        <v>2345</v>
      </c>
      <c r="C729" s="3">
        <v>42441</v>
      </c>
      <c r="D729" s="7" t="str">
        <f t="shared" si="22"/>
        <v>March</v>
      </c>
      <c r="E729" s="3">
        <f t="shared" si="23"/>
        <v>42460</v>
      </c>
      <c r="F729" s="3">
        <v>42533</v>
      </c>
      <c r="G729" t="s">
        <v>188</v>
      </c>
      <c r="H729" t="s">
        <v>2346</v>
      </c>
      <c r="I729" t="s">
        <v>2347</v>
      </c>
      <c r="J729" t="s">
        <v>26</v>
      </c>
      <c r="K729" t="s">
        <v>27</v>
      </c>
      <c r="L729" t="s">
        <v>2348</v>
      </c>
      <c r="M729" t="s">
        <v>267</v>
      </c>
      <c r="N729">
        <v>11572</v>
      </c>
      <c r="O729" t="s">
        <v>148</v>
      </c>
      <c r="P729" t="s">
        <v>2349</v>
      </c>
      <c r="Q729" t="s">
        <v>46</v>
      </c>
      <c r="R729" t="s">
        <v>90</v>
      </c>
      <c r="S729" t="s">
        <v>2350</v>
      </c>
      <c r="T729" s="4">
        <v>182.72</v>
      </c>
      <c r="U729">
        <v>8</v>
      </c>
      <c r="V729">
        <v>0</v>
      </c>
      <c r="W729" s="4">
        <v>84.051199999999994</v>
      </c>
    </row>
    <row r="730" spans="1:23" x14ac:dyDescent="0.3">
      <c r="A730">
        <v>729</v>
      </c>
      <c r="B730" t="s">
        <v>2345</v>
      </c>
      <c r="C730" s="3">
        <v>42441</v>
      </c>
      <c r="D730" s="7" t="str">
        <f t="shared" si="22"/>
        <v>March</v>
      </c>
      <c r="E730" s="3">
        <f t="shared" si="23"/>
        <v>42460</v>
      </c>
      <c r="F730" s="3">
        <v>42533</v>
      </c>
      <c r="G730" t="s">
        <v>188</v>
      </c>
      <c r="H730" t="s">
        <v>2346</v>
      </c>
      <c r="I730" t="s">
        <v>2347</v>
      </c>
      <c r="J730" t="s">
        <v>26</v>
      </c>
      <c r="K730" t="s">
        <v>27</v>
      </c>
      <c r="L730" t="s">
        <v>2348</v>
      </c>
      <c r="M730" t="s">
        <v>267</v>
      </c>
      <c r="N730">
        <v>11572</v>
      </c>
      <c r="O730" t="s">
        <v>148</v>
      </c>
      <c r="P730" t="s">
        <v>2351</v>
      </c>
      <c r="Q730" t="s">
        <v>32</v>
      </c>
      <c r="R730" t="s">
        <v>56</v>
      </c>
      <c r="S730" t="s">
        <v>2352</v>
      </c>
      <c r="T730" s="4">
        <v>400.03199999999998</v>
      </c>
      <c r="U730">
        <v>2</v>
      </c>
      <c r="V730">
        <v>0.4</v>
      </c>
      <c r="W730" s="4">
        <v>-153.34559999999999</v>
      </c>
    </row>
    <row r="731" spans="1:23" x14ac:dyDescent="0.3">
      <c r="A731">
        <v>730</v>
      </c>
      <c r="B731" t="s">
        <v>2345</v>
      </c>
      <c r="C731" s="3">
        <v>42441</v>
      </c>
      <c r="D731" s="7" t="str">
        <f t="shared" si="22"/>
        <v>March</v>
      </c>
      <c r="E731" s="3">
        <f t="shared" si="23"/>
        <v>42460</v>
      </c>
      <c r="F731" s="3">
        <v>42533</v>
      </c>
      <c r="G731" t="s">
        <v>188</v>
      </c>
      <c r="H731" t="s">
        <v>2346</v>
      </c>
      <c r="I731" t="s">
        <v>2347</v>
      </c>
      <c r="J731" t="s">
        <v>26</v>
      </c>
      <c r="K731" t="s">
        <v>27</v>
      </c>
      <c r="L731" t="s">
        <v>2348</v>
      </c>
      <c r="M731" t="s">
        <v>267</v>
      </c>
      <c r="N731">
        <v>11572</v>
      </c>
      <c r="O731" t="s">
        <v>148</v>
      </c>
      <c r="P731" t="s">
        <v>2353</v>
      </c>
      <c r="Q731" t="s">
        <v>46</v>
      </c>
      <c r="R731" t="s">
        <v>59</v>
      </c>
      <c r="S731" t="s">
        <v>2354</v>
      </c>
      <c r="T731" s="4">
        <v>33.630000000000003</v>
      </c>
      <c r="U731">
        <v>3</v>
      </c>
      <c r="V731">
        <v>0</v>
      </c>
      <c r="W731" s="4">
        <v>10.089</v>
      </c>
    </row>
    <row r="732" spans="1:23" x14ac:dyDescent="0.3">
      <c r="A732">
        <v>731</v>
      </c>
      <c r="B732" t="s">
        <v>2345</v>
      </c>
      <c r="C732" s="3">
        <v>42441</v>
      </c>
      <c r="D732" s="7" t="str">
        <f t="shared" si="22"/>
        <v>March</v>
      </c>
      <c r="E732" s="3">
        <f t="shared" si="23"/>
        <v>42460</v>
      </c>
      <c r="F732" s="3">
        <v>42533</v>
      </c>
      <c r="G732" t="s">
        <v>188</v>
      </c>
      <c r="H732" t="s">
        <v>2346</v>
      </c>
      <c r="I732" t="s">
        <v>2347</v>
      </c>
      <c r="J732" t="s">
        <v>26</v>
      </c>
      <c r="K732" t="s">
        <v>27</v>
      </c>
      <c r="L732" t="s">
        <v>2348</v>
      </c>
      <c r="M732" t="s">
        <v>267</v>
      </c>
      <c r="N732">
        <v>11572</v>
      </c>
      <c r="O732" t="s">
        <v>148</v>
      </c>
      <c r="P732" t="s">
        <v>945</v>
      </c>
      <c r="Q732" t="s">
        <v>32</v>
      </c>
      <c r="R732" t="s">
        <v>36</v>
      </c>
      <c r="S732" t="s">
        <v>946</v>
      </c>
      <c r="T732" s="4">
        <v>542.64599999999996</v>
      </c>
      <c r="U732">
        <v>3</v>
      </c>
      <c r="V732">
        <v>0.1</v>
      </c>
      <c r="W732" s="4">
        <v>102.49979999999999</v>
      </c>
    </row>
    <row r="733" spans="1:23" x14ac:dyDescent="0.3">
      <c r="A733">
        <v>732</v>
      </c>
      <c r="B733" t="s">
        <v>2345</v>
      </c>
      <c r="C733" s="3">
        <v>42441</v>
      </c>
      <c r="D733" s="7" t="str">
        <f t="shared" si="22"/>
        <v>March</v>
      </c>
      <c r="E733" s="3">
        <f t="shared" si="23"/>
        <v>42460</v>
      </c>
      <c r="F733" s="3">
        <v>42533</v>
      </c>
      <c r="G733" t="s">
        <v>188</v>
      </c>
      <c r="H733" t="s">
        <v>2346</v>
      </c>
      <c r="I733" t="s">
        <v>2347</v>
      </c>
      <c r="J733" t="s">
        <v>26</v>
      </c>
      <c r="K733" t="s">
        <v>27</v>
      </c>
      <c r="L733" t="s">
        <v>2348</v>
      </c>
      <c r="M733" t="s">
        <v>267</v>
      </c>
      <c r="N733">
        <v>11572</v>
      </c>
      <c r="O733" t="s">
        <v>148</v>
      </c>
      <c r="P733" t="s">
        <v>1555</v>
      </c>
      <c r="Q733" t="s">
        <v>46</v>
      </c>
      <c r="R733" t="s">
        <v>47</v>
      </c>
      <c r="S733" t="s">
        <v>1556</v>
      </c>
      <c r="T733" s="4">
        <v>6.3</v>
      </c>
      <c r="U733">
        <v>2</v>
      </c>
      <c r="V733">
        <v>0</v>
      </c>
      <c r="W733" s="4">
        <v>3.024</v>
      </c>
    </row>
    <row r="734" spans="1:23" x14ac:dyDescent="0.3">
      <c r="A734">
        <v>733</v>
      </c>
      <c r="B734" t="s">
        <v>2355</v>
      </c>
      <c r="C734" s="3">
        <v>43344</v>
      </c>
      <c r="D734" s="7" t="str">
        <f t="shared" si="22"/>
        <v>September</v>
      </c>
      <c r="E734" s="3">
        <f t="shared" si="23"/>
        <v>43373</v>
      </c>
      <c r="F734" s="3">
        <v>43466</v>
      </c>
      <c r="G734" t="s">
        <v>50</v>
      </c>
      <c r="H734" t="s">
        <v>2356</v>
      </c>
      <c r="I734" t="s">
        <v>2357</v>
      </c>
      <c r="J734" t="s">
        <v>102</v>
      </c>
      <c r="K734" t="s">
        <v>27</v>
      </c>
      <c r="L734" t="s">
        <v>95</v>
      </c>
      <c r="M734" t="s">
        <v>96</v>
      </c>
      <c r="N734">
        <v>98115</v>
      </c>
      <c r="O734" t="s">
        <v>44</v>
      </c>
      <c r="P734" t="s">
        <v>1779</v>
      </c>
      <c r="Q734" t="s">
        <v>46</v>
      </c>
      <c r="R734" t="s">
        <v>59</v>
      </c>
      <c r="S734" t="s">
        <v>1780</v>
      </c>
      <c r="T734" s="4">
        <v>242.94</v>
      </c>
      <c r="U734">
        <v>3</v>
      </c>
      <c r="V734">
        <v>0</v>
      </c>
      <c r="W734" s="4">
        <v>9.7175999999999991</v>
      </c>
    </row>
    <row r="735" spans="1:23" x14ac:dyDescent="0.3">
      <c r="A735">
        <v>734</v>
      </c>
      <c r="B735" t="s">
        <v>2355</v>
      </c>
      <c r="C735" s="3">
        <v>43344</v>
      </c>
      <c r="D735" s="7" t="str">
        <f t="shared" si="22"/>
        <v>September</v>
      </c>
      <c r="E735" s="3">
        <f t="shared" si="23"/>
        <v>43373</v>
      </c>
      <c r="F735" s="3">
        <v>43466</v>
      </c>
      <c r="G735" t="s">
        <v>50</v>
      </c>
      <c r="H735" t="s">
        <v>2356</v>
      </c>
      <c r="I735" t="s">
        <v>2357</v>
      </c>
      <c r="J735" t="s">
        <v>102</v>
      </c>
      <c r="K735" t="s">
        <v>27</v>
      </c>
      <c r="L735" t="s">
        <v>95</v>
      </c>
      <c r="M735" t="s">
        <v>96</v>
      </c>
      <c r="N735">
        <v>98115</v>
      </c>
      <c r="O735" t="s">
        <v>44</v>
      </c>
      <c r="P735" t="s">
        <v>2358</v>
      </c>
      <c r="Q735" t="s">
        <v>71</v>
      </c>
      <c r="R735" t="s">
        <v>161</v>
      </c>
      <c r="S735" t="s">
        <v>2359</v>
      </c>
      <c r="T735" s="4">
        <v>179.97</v>
      </c>
      <c r="U735">
        <v>3</v>
      </c>
      <c r="V735">
        <v>0</v>
      </c>
      <c r="W735" s="4">
        <v>86.385599999999997</v>
      </c>
    </row>
    <row r="736" spans="1:23" x14ac:dyDescent="0.3">
      <c r="A736">
        <v>735</v>
      </c>
      <c r="B736" t="s">
        <v>2355</v>
      </c>
      <c r="C736" s="3">
        <v>43344</v>
      </c>
      <c r="D736" s="7" t="str">
        <f t="shared" si="22"/>
        <v>September</v>
      </c>
      <c r="E736" s="3">
        <f t="shared" si="23"/>
        <v>43373</v>
      </c>
      <c r="F736" s="3">
        <v>43466</v>
      </c>
      <c r="G736" t="s">
        <v>50</v>
      </c>
      <c r="H736" t="s">
        <v>2356</v>
      </c>
      <c r="I736" t="s">
        <v>2357</v>
      </c>
      <c r="J736" t="s">
        <v>102</v>
      </c>
      <c r="K736" t="s">
        <v>27</v>
      </c>
      <c r="L736" t="s">
        <v>95</v>
      </c>
      <c r="M736" t="s">
        <v>96</v>
      </c>
      <c r="N736">
        <v>98115</v>
      </c>
      <c r="O736" t="s">
        <v>44</v>
      </c>
      <c r="P736" t="s">
        <v>1390</v>
      </c>
      <c r="Q736" t="s">
        <v>46</v>
      </c>
      <c r="R736" t="s">
        <v>75</v>
      </c>
      <c r="S736" t="s">
        <v>1391</v>
      </c>
      <c r="T736" s="4">
        <v>99.695999999999998</v>
      </c>
      <c r="U736">
        <v>6</v>
      </c>
      <c r="V736">
        <v>0.2</v>
      </c>
      <c r="W736" s="4">
        <v>33.647399999999998</v>
      </c>
    </row>
    <row r="737" spans="1:23" x14ac:dyDescent="0.3">
      <c r="A737">
        <v>736</v>
      </c>
      <c r="B737" t="s">
        <v>2355</v>
      </c>
      <c r="C737" s="3">
        <v>43344</v>
      </c>
      <c r="D737" s="7" t="str">
        <f t="shared" si="22"/>
        <v>September</v>
      </c>
      <c r="E737" s="3">
        <f t="shared" si="23"/>
        <v>43373</v>
      </c>
      <c r="F737" s="3">
        <v>43466</v>
      </c>
      <c r="G737" t="s">
        <v>50</v>
      </c>
      <c r="H737" t="s">
        <v>2356</v>
      </c>
      <c r="I737" t="s">
        <v>2357</v>
      </c>
      <c r="J737" t="s">
        <v>102</v>
      </c>
      <c r="K737" t="s">
        <v>27</v>
      </c>
      <c r="L737" t="s">
        <v>95</v>
      </c>
      <c r="M737" t="s">
        <v>96</v>
      </c>
      <c r="N737">
        <v>98115</v>
      </c>
      <c r="O737" t="s">
        <v>44</v>
      </c>
      <c r="P737" t="s">
        <v>232</v>
      </c>
      <c r="Q737" t="s">
        <v>46</v>
      </c>
      <c r="R737" t="s">
        <v>75</v>
      </c>
      <c r="S737" t="s">
        <v>233</v>
      </c>
      <c r="T737" s="4">
        <v>27.936</v>
      </c>
      <c r="U737">
        <v>4</v>
      </c>
      <c r="V737">
        <v>0.2</v>
      </c>
      <c r="W737" s="4">
        <v>9.4283999999999999</v>
      </c>
    </row>
    <row r="738" spans="1:23" x14ac:dyDescent="0.3">
      <c r="A738">
        <v>737</v>
      </c>
      <c r="B738" t="s">
        <v>2355</v>
      </c>
      <c r="C738" s="3">
        <v>43344</v>
      </c>
      <c r="D738" s="7" t="str">
        <f t="shared" si="22"/>
        <v>September</v>
      </c>
      <c r="E738" s="3">
        <f t="shared" si="23"/>
        <v>43373</v>
      </c>
      <c r="F738" s="3">
        <v>43466</v>
      </c>
      <c r="G738" t="s">
        <v>50</v>
      </c>
      <c r="H738" t="s">
        <v>2356</v>
      </c>
      <c r="I738" t="s">
        <v>2357</v>
      </c>
      <c r="J738" t="s">
        <v>102</v>
      </c>
      <c r="K738" t="s">
        <v>27</v>
      </c>
      <c r="L738" t="s">
        <v>95</v>
      </c>
      <c r="M738" t="s">
        <v>96</v>
      </c>
      <c r="N738">
        <v>98115</v>
      </c>
      <c r="O738" t="s">
        <v>44</v>
      </c>
      <c r="P738" t="s">
        <v>2360</v>
      </c>
      <c r="Q738" t="s">
        <v>32</v>
      </c>
      <c r="R738" t="s">
        <v>33</v>
      </c>
      <c r="S738" t="s">
        <v>2361</v>
      </c>
      <c r="T738" s="4">
        <v>84.98</v>
      </c>
      <c r="U738">
        <v>1</v>
      </c>
      <c r="V738">
        <v>0</v>
      </c>
      <c r="W738" s="4">
        <v>18.695599999999999</v>
      </c>
    </row>
    <row r="739" spans="1:23" x14ac:dyDescent="0.3">
      <c r="A739">
        <v>738</v>
      </c>
      <c r="B739" t="s">
        <v>2355</v>
      </c>
      <c r="C739" s="3">
        <v>43344</v>
      </c>
      <c r="D739" s="7" t="str">
        <f t="shared" si="22"/>
        <v>September</v>
      </c>
      <c r="E739" s="3">
        <f t="shared" si="23"/>
        <v>43373</v>
      </c>
      <c r="F739" s="3">
        <v>43466</v>
      </c>
      <c r="G739" t="s">
        <v>50</v>
      </c>
      <c r="H739" t="s">
        <v>2356</v>
      </c>
      <c r="I739" t="s">
        <v>2357</v>
      </c>
      <c r="J739" t="s">
        <v>102</v>
      </c>
      <c r="K739" t="s">
        <v>27</v>
      </c>
      <c r="L739" t="s">
        <v>95</v>
      </c>
      <c r="M739" t="s">
        <v>96</v>
      </c>
      <c r="N739">
        <v>98115</v>
      </c>
      <c r="O739" t="s">
        <v>44</v>
      </c>
      <c r="P739" t="s">
        <v>2362</v>
      </c>
      <c r="Q739" t="s">
        <v>46</v>
      </c>
      <c r="R739" t="s">
        <v>75</v>
      </c>
      <c r="S739" t="s">
        <v>2363</v>
      </c>
      <c r="T739" s="4">
        <v>18.72</v>
      </c>
      <c r="U739">
        <v>5</v>
      </c>
      <c r="V739">
        <v>0.2</v>
      </c>
      <c r="W739" s="4">
        <v>6.5519999999999996</v>
      </c>
    </row>
    <row r="740" spans="1:23" x14ac:dyDescent="0.3">
      <c r="A740">
        <v>739</v>
      </c>
      <c r="B740" t="s">
        <v>2364</v>
      </c>
      <c r="C740" s="3">
        <v>41860</v>
      </c>
      <c r="D740" s="7" t="str">
        <f t="shared" si="22"/>
        <v>August</v>
      </c>
      <c r="E740" s="3">
        <f t="shared" si="23"/>
        <v>41882</v>
      </c>
      <c r="F740" s="3">
        <v>41982</v>
      </c>
      <c r="G740" t="s">
        <v>50</v>
      </c>
      <c r="H740" t="s">
        <v>449</v>
      </c>
      <c r="I740" t="s">
        <v>450</v>
      </c>
      <c r="J740" t="s">
        <v>26</v>
      </c>
      <c r="K740" t="s">
        <v>27</v>
      </c>
      <c r="L740" t="s">
        <v>127</v>
      </c>
      <c r="M740" t="s">
        <v>43</v>
      </c>
      <c r="N740">
        <v>94110</v>
      </c>
      <c r="O740" t="s">
        <v>44</v>
      </c>
      <c r="P740" t="s">
        <v>2365</v>
      </c>
      <c r="Q740" t="s">
        <v>71</v>
      </c>
      <c r="R740" t="s">
        <v>161</v>
      </c>
      <c r="S740" t="s">
        <v>2366</v>
      </c>
      <c r="T740" s="4">
        <v>49.98</v>
      </c>
      <c r="U740">
        <v>2</v>
      </c>
      <c r="V740">
        <v>0</v>
      </c>
      <c r="W740" s="4">
        <v>8.4966000000000008</v>
      </c>
    </row>
    <row r="741" spans="1:23" x14ac:dyDescent="0.3">
      <c r="A741">
        <v>740</v>
      </c>
      <c r="B741" t="s">
        <v>2367</v>
      </c>
      <c r="C741" s="3">
        <v>41730</v>
      </c>
      <c r="D741" s="7" t="str">
        <f t="shared" si="22"/>
        <v>April</v>
      </c>
      <c r="E741" s="3">
        <f t="shared" si="23"/>
        <v>41759</v>
      </c>
      <c r="F741" s="3">
        <v>41852</v>
      </c>
      <c r="G741" t="s">
        <v>50</v>
      </c>
      <c r="H741" t="s">
        <v>2368</v>
      </c>
      <c r="I741" t="s">
        <v>2369</v>
      </c>
      <c r="J741" t="s">
        <v>102</v>
      </c>
      <c r="K741" t="s">
        <v>27</v>
      </c>
      <c r="L741" t="s">
        <v>210</v>
      </c>
      <c r="M741" t="s">
        <v>211</v>
      </c>
      <c r="N741">
        <v>60540</v>
      </c>
      <c r="O741" t="s">
        <v>105</v>
      </c>
      <c r="P741" t="s">
        <v>2370</v>
      </c>
      <c r="Q741" t="s">
        <v>46</v>
      </c>
      <c r="R741" t="s">
        <v>47</v>
      </c>
      <c r="S741" t="s">
        <v>2371</v>
      </c>
      <c r="T741" s="4">
        <v>11.784000000000001</v>
      </c>
      <c r="U741">
        <v>3</v>
      </c>
      <c r="V741">
        <v>0.2</v>
      </c>
      <c r="W741" s="4">
        <v>4.2717000000000001</v>
      </c>
    </row>
    <row r="742" spans="1:23" x14ac:dyDescent="0.3">
      <c r="A742">
        <v>741</v>
      </c>
      <c r="B742" t="s">
        <v>2367</v>
      </c>
      <c r="C742" s="3">
        <v>41730</v>
      </c>
      <c r="D742" s="7" t="str">
        <f t="shared" si="22"/>
        <v>April</v>
      </c>
      <c r="E742" s="3">
        <f t="shared" si="23"/>
        <v>41759</v>
      </c>
      <c r="F742" s="3">
        <v>41852</v>
      </c>
      <c r="G742" t="s">
        <v>50</v>
      </c>
      <c r="H742" t="s">
        <v>2368</v>
      </c>
      <c r="I742" t="s">
        <v>2369</v>
      </c>
      <c r="J742" t="s">
        <v>102</v>
      </c>
      <c r="K742" t="s">
        <v>27</v>
      </c>
      <c r="L742" t="s">
        <v>210</v>
      </c>
      <c r="M742" t="s">
        <v>211</v>
      </c>
      <c r="N742">
        <v>60540</v>
      </c>
      <c r="O742" t="s">
        <v>105</v>
      </c>
      <c r="P742" t="s">
        <v>1634</v>
      </c>
      <c r="Q742" t="s">
        <v>46</v>
      </c>
      <c r="R742" t="s">
        <v>59</v>
      </c>
      <c r="S742" t="s">
        <v>1635</v>
      </c>
      <c r="T742" s="4">
        <v>272.73599999999999</v>
      </c>
      <c r="U742">
        <v>3</v>
      </c>
      <c r="V742">
        <v>0.2</v>
      </c>
      <c r="W742" s="4">
        <v>-64.774799999999999</v>
      </c>
    </row>
    <row r="743" spans="1:23" x14ac:dyDescent="0.3">
      <c r="A743">
        <v>742</v>
      </c>
      <c r="B743" t="s">
        <v>2367</v>
      </c>
      <c r="C743" s="3">
        <v>41730</v>
      </c>
      <c r="D743" s="7" t="str">
        <f t="shared" si="22"/>
        <v>April</v>
      </c>
      <c r="E743" s="3">
        <f t="shared" si="23"/>
        <v>41759</v>
      </c>
      <c r="F743" s="3">
        <v>41852</v>
      </c>
      <c r="G743" t="s">
        <v>50</v>
      </c>
      <c r="H743" t="s">
        <v>2368</v>
      </c>
      <c r="I743" t="s">
        <v>2369</v>
      </c>
      <c r="J743" t="s">
        <v>102</v>
      </c>
      <c r="K743" t="s">
        <v>27</v>
      </c>
      <c r="L743" t="s">
        <v>210</v>
      </c>
      <c r="M743" t="s">
        <v>211</v>
      </c>
      <c r="N743">
        <v>60540</v>
      </c>
      <c r="O743" t="s">
        <v>105</v>
      </c>
      <c r="P743" t="s">
        <v>2372</v>
      </c>
      <c r="Q743" t="s">
        <v>46</v>
      </c>
      <c r="R743" t="s">
        <v>75</v>
      </c>
      <c r="S743" t="s">
        <v>2373</v>
      </c>
      <c r="T743" s="4">
        <v>3.54</v>
      </c>
      <c r="U743">
        <v>2</v>
      </c>
      <c r="V743">
        <v>0.8</v>
      </c>
      <c r="W743" s="4">
        <v>-5.4870000000000001</v>
      </c>
    </row>
    <row r="744" spans="1:23" x14ac:dyDescent="0.3">
      <c r="A744">
        <v>743</v>
      </c>
      <c r="B744" t="s">
        <v>2374</v>
      </c>
      <c r="C744" s="3">
        <v>43167</v>
      </c>
      <c r="D744" s="7" t="str">
        <f t="shared" si="22"/>
        <v>March</v>
      </c>
      <c r="E744" s="3">
        <f t="shared" si="23"/>
        <v>43190</v>
      </c>
      <c r="F744" s="3">
        <v>42378</v>
      </c>
      <c r="G744" t="s">
        <v>50</v>
      </c>
      <c r="H744" t="s">
        <v>2375</v>
      </c>
      <c r="I744" t="s">
        <v>2376</v>
      </c>
      <c r="J744" t="s">
        <v>26</v>
      </c>
      <c r="K744" t="s">
        <v>27</v>
      </c>
      <c r="L744" t="s">
        <v>817</v>
      </c>
      <c r="M744" t="s">
        <v>104</v>
      </c>
      <c r="N744">
        <v>75220</v>
      </c>
      <c r="O744" t="s">
        <v>105</v>
      </c>
      <c r="P744" t="s">
        <v>1964</v>
      </c>
      <c r="Q744" t="s">
        <v>46</v>
      </c>
      <c r="R744" t="s">
        <v>579</v>
      </c>
      <c r="S744" t="s">
        <v>1965</v>
      </c>
      <c r="T744" s="4">
        <v>51.52</v>
      </c>
      <c r="U744">
        <v>5</v>
      </c>
      <c r="V744">
        <v>0.2</v>
      </c>
      <c r="W744" s="4">
        <v>-10.948</v>
      </c>
    </row>
    <row r="745" spans="1:23" x14ac:dyDescent="0.3">
      <c r="A745">
        <v>744</v>
      </c>
      <c r="B745" t="s">
        <v>2374</v>
      </c>
      <c r="C745" s="3">
        <v>43167</v>
      </c>
      <c r="D745" s="7" t="str">
        <f t="shared" si="22"/>
        <v>March</v>
      </c>
      <c r="E745" s="3">
        <f t="shared" si="23"/>
        <v>43190</v>
      </c>
      <c r="F745" s="3">
        <v>42378</v>
      </c>
      <c r="G745" t="s">
        <v>50</v>
      </c>
      <c r="H745" t="s">
        <v>2375</v>
      </c>
      <c r="I745" t="s">
        <v>2376</v>
      </c>
      <c r="J745" t="s">
        <v>26</v>
      </c>
      <c r="K745" t="s">
        <v>27</v>
      </c>
      <c r="L745" t="s">
        <v>817</v>
      </c>
      <c r="M745" t="s">
        <v>104</v>
      </c>
      <c r="N745">
        <v>75220</v>
      </c>
      <c r="O745" t="s">
        <v>105</v>
      </c>
      <c r="P745" t="s">
        <v>1031</v>
      </c>
      <c r="Q745" t="s">
        <v>46</v>
      </c>
      <c r="R745" t="s">
        <v>90</v>
      </c>
      <c r="S745" t="s">
        <v>1032</v>
      </c>
      <c r="T745" s="4">
        <v>3.528</v>
      </c>
      <c r="U745">
        <v>1</v>
      </c>
      <c r="V745">
        <v>0.2</v>
      </c>
      <c r="W745" s="4">
        <v>1.1466000000000001</v>
      </c>
    </row>
    <row r="746" spans="1:23" x14ac:dyDescent="0.3">
      <c r="A746">
        <v>745</v>
      </c>
      <c r="B746" t="s">
        <v>2374</v>
      </c>
      <c r="C746" s="3">
        <v>43167</v>
      </c>
      <c r="D746" s="7" t="str">
        <f t="shared" si="22"/>
        <v>March</v>
      </c>
      <c r="E746" s="3">
        <f t="shared" si="23"/>
        <v>43190</v>
      </c>
      <c r="F746" s="3">
        <v>42378</v>
      </c>
      <c r="G746" t="s">
        <v>50</v>
      </c>
      <c r="H746" t="s">
        <v>2375</v>
      </c>
      <c r="I746" t="s">
        <v>2376</v>
      </c>
      <c r="J746" t="s">
        <v>26</v>
      </c>
      <c r="K746" t="s">
        <v>27</v>
      </c>
      <c r="L746" t="s">
        <v>817</v>
      </c>
      <c r="M746" t="s">
        <v>104</v>
      </c>
      <c r="N746">
        <v>75220</v>
      </c>
      <c r="O746" t="s">
        <v>105</v>
      </c>
      <c r="P746" t="s">
        <v>2377</v>
      </c>
      <c r="Q746" t="s">
        <v>46</v>
      </c>
      <c r="R746" t="s">
        <v>90</v>
      </c>
      <c r="S746" t="s">
        <v>2378</v>
      </c>
      <c r="T746" s="4">
        <v>4.6239999999999997</v>
      </c>
      <c r="U746">
        <v>1</v>
      </c>
      <c r="V746">
        <v>0.2</v>
      </c>
      <c r="W746" s="4">
        <v>1.6761999999999999</v>
      </c>
    </row>
    <row r="747" spans="1:23" x14ac:dyDescent="0.3">
      <c r="A747">
        <v>746</v>
      </c>
      <c r="B747" t="s">
        <v>2374</v>
      </c>
      <c r="C747" s="3">
        <v>43167</v>
      </c>
      <c r="D747" s="7" t="str">
        <f t="shared" si="22"/>
        <v>March</v>
      </c>
      <c r="E747" s="3">
        <f t="shared" si="23"/>
        <v>43190</v>
      </c>
      <c r="F747" s="3">
        <v>42378</v>
      </c>
      <c r="G747" t="s">
        <v>50</v>
      </c>
      <c r="H747" t="s">
        <v>2375</v>
      </c>
      <c r="I747" t="s">
        <v>2376</v>
      </c>
      <c r="J747" t="s">
        <v>26</v>
      </c>
      <c r="K747" t="s">
        <v>27</v>
      </c>
      <c r="L747" t="s">
        <v>817</v>
      </c>
      <c r="M747" t="s">
        <v>104</v>
      </c>
      <c r="N747">
        <v>75220</v>
      </c>
      <c r="O747" t="s">
        <v>105</v>
      </c>
      <c r="P747" t="s">
        <v>2379</v>
      </c>
      <c r="Q747" t="s">
        <v>46</v>
      </c>
      <c r="R747" t="s">
        <v>579</v>
      </c>
      <c r="S747" t="s">
        <v>2380</v>
      </c>
      <c r="T747" s="4">
        <v>55.167999999999999</v>
      </c>
      <c r="U747">
        <v>4</v>
      </c>
      <c r="V747">
        <v>0.2</v>
      </c>
      <c r="W747" s="4">
        <v>6.2064000000000004</v>
      </c>
    </row>
    <row r="748" spans="1:23" x14ac:dyDescent="0.3">
      <c r="A748">
        <v>747</v>
      </c>
      <c r="B748" t="s">
        <v>2381</v>
      </c>
      <c r="C748" s="3">
        <v>42434</v>
      </c>
      <c r="D748" s="7" t="str">
        <f t="shared" si="22"/>
        <v>March</v>
      </c>
      <c r="E748" s="3">
        <f t="shared" si="23"/>
        <v>42460</v>
      </c>
      <c r="F748" s="3">
        <v>42434</v>
      </c>
      <c r="G748" t="s">
        <v>1293</v>
      </c>
      <c r="H748" t="s">
        <v>1626</v>
      </c>
      <c r="I748" t="s">
        <v>1627</v>
      </c>
      <c r="J748" t="s">
        <v>41</v>
      </c>
      <c r="K748" t="s">
        <v>27</v>
      </c>
      <c r="L748" t="s">
        <v>950</v>
      </c>
      <c r="M748" t="s">
        <v>43</v>
      </c>
      <c r="N748">
        <v>92105</v>
      </c>
      <c r="O748" t="s">
        <v>44</v>
      </c>
      <c r="P748" t="s">
        <v>928</v>
      </c>
      <c r="Q748" t="s">
        <v>32</v>
      </c>
      <c r="R748" t="s">
        <v>56</v>
      </c>
      <c r="S748" t="s">
        <v>929</v>
      </c>
      <c r="T748" s="4">
        <v>567.12</v>
      </c>
      <c r="U748">
        <v>10</v>
      </c>
      <c r="V748">
        <v>0.2</v>
      </c>
      <c r="W748" s="4">
        <v>-28.356000000000002</v>
      </c>
    </row>
    <row r="749" spans="1:23" x14ac:dyDescent="0.3">
      <c r="A749">
        <v>748</v>
      </c>
      <c r="B749" t="s">
        <v>2381</v>
      </c>
      <c r="C749" s="3">
        <v>42434</v>
      </c>
      <c r="D749" s="7" t="str">
        <f t="shared" si="22"/>
        <v>March</v>
      </c>
      <c r="E749" s="3">
        <f t="shared" si="23"/>
        <v>42460</v>
      </c>
      <c r="F749" s="3">
        <v>42434</v>
      </c>
      <c r="G749" t="s">
        <v>1293</v>
      </c>
      <c r="H749" t="s">
        <v>1626</v>
      </c>
      <c r="I749" t="s">
        <v>1627</v>
      </c>
      <c r="J749" t="s">
        <v>41</v>
      </c>
      <c r="K749" t="s">
        <v>27</v>
      </c>
      <c r="L749" t="s">
        <v>950</v>
      </c>
      <c r="M749" t="s">
        <v>43</v>
      </c>
      <c r="N749">
        <v>92105</v>
      </c>
      <c r="O749" t="s">
        <v>44</v>
      </c>
      <c r="P749" t="s">
        <v>1694</v>
      </c>
      <c r="Q749" t="s">
        <v>46</v>
      </c>
      <c r="R749" t="s">
        <v>59</v>
      </c>
      <c r="S749" t="s">
        <v>1695</v>
      </c>
      <c r="T749" s="4">
        <v>359.32</v>
      </c>
      <c r="U749">
        <v>4</v>
      </c>
      <c r="V749">
        <v>0</v>
      </c>
      <c r="W749" s="4">
        <v>7.1863999999999999</v>
      </c>
    </row>
    <row r="750" spans="1:23" x14ac:dyDescent="0.3">
      <c r="A750">
        <v>749</v>
      </c>
      <c r="B750" t="s">
        <v>2382</v>
      </c>
      <c r="C750" s="3">
        <v>42950</v>
      </c>
      <c r="D750" s="7" t="str">
        <f t="shared" si="22"/>
        <v>August</v>
      </c>
      <c r="E750" s="3">
        <f t="shared" si="23"/>
        <v>42978</v>
      </c>
      <c r="F750" s="3">
        <v>43011</v>
      </c>
      <c r="G750" t="s">
        <v>23</v>
      </c>
      <c r="H750" t="s">
        <v>2383</v>
      </c>
      <c r="I750" t="s">
        <v>2384</v>
      </c>
      <c r="J750" t="s">
        <v>26</v>
      </c>
      <c r="K750" t="s">
        <v>27</v>
      </c>
      <c r="L750" t="s">
        <v>2385</v>
      </c>
      <c r="M750" t="s">
        <v>211</v>
      </c>
      <c r="N750">
        <v>60201</v>
      </c>
      <c r="O750" t="s">
        <v>105</v>
      </c>
      <c r="P750" t="s">
        <v>2386</v>
      </c>
      <c r="Q750" t="s">
        <v>71</v>
      </c>
      <c r="R750" t="s">
        <v>72</v>
      </c>
      <c r="S750" t="s">
        <v>2387</v>
      </c>
      <c r="T750" s="4">
        <v>11.992000000000001</v>
      </c>
      <c r="U750">
        <v>1</v>
      </c>
      <c r="V750">
        <v>0.2</v>
      </c>
      <c r="W750" s="4">
        <v>0.89939999999999998</v>
      </c>
    </row>
    <row r="751" spans="1:23" x14ac:dyDescent="0.3">
      <c r="A751">
        <v>750</v>
      </c>
      <c r="B751" t="s">
        <v>2388</v>
      </c>
      <c r="C751" s="3">
        <v>42776</v>
      </c>
      <c r="D751" s="7" t="str">
        <f t="shared" si="22"/>
        <v>February</v>
      </c>
      <c r="E751" s="3">
        <f t="shared" si="23"/>
        <v>42794</v>
      </c>
      <c r="F751" s="3">
        <v>42896</v>
      </c>
      <c r="G751" t="s">
        <v>50</v>
      </c>
      <c r="H751" t="s">
        <v>2389</v>
      </c>
      <c r="I751" t="s">
        <v>2390</v>
      </c>
      <c r="J751" t="s">
        <v>26</v>
      </c>
      <c r="K751" t="s">
        <v>27</v>
      </c>
      <c r="L751" t="s">
        <v>2391</v>
      </c>
      <c r="M751" t="s">
        <v>238</v>
      </c>
      <c r="N751">
        <v>48183</v>
      </c>
      <c r="O751" t="s">
        <v>105</v>
      </c>
      <c r="P751" t="s">
        <v>2392</v>
      </c>
      <c r="Q751" t="s">
        <v>46</v>
      </c>
      <c r="R751" t="s">
        <v>75</v>
      </c>
      <c r="S751" t="s">
        <v>2393</v>
      </c>
      <c r="T751" s="4">
        <v>58.05</v>
      </c>
      <c r="U751">
        <v>3</v>
      </c>
      <c r="V751">
        <v>0</v>
      </c>
      <c r="W751" s="4">
        <v>26.702999999999999</v>
      </c>
    </row>
    <row r="752" spans="1:23" x14ac:dyDescent="0.3">
      <c r="A752">
        <v>751</v>
      </c>
      <c r="B752" t="s">
        <v>2388</v>
      </c>
      <c r="C752" s="3">
        <v>42776</v>
      </c>
      <c r="D752" s="7" t="str">
        <f t="shared" si="22"/>
        <v>February</v>
      </c>
      <c r="E752" s="3">
        <f t="shared" si="23"/>
        <v>42794</v>
      </c>
      <c r="F752" s="3">
        <v>42896</v>
      </c>
      <c r="G752" t="s">
        <v>50</v>
      </c>
      <c r="H752" t="s">
        <v>2389</v>
      </c>
      <c r="I752" t="s">
        <v>2390</v>
      </c>
      <c r="J752" t="s">
        <v>26</v>
      </c>
      <c r="K752" t="s">
        <v>27</v>
      </c>
      <c r="L752" t="s">
        <v>2391</v>
      </c>
      <c r="M752" t="s">
        <v>238</v>
      </c>
      <c r="N752">
        <v>48183</v>
      </c>
      <c r="O752" t="s">
        <v>105</v>
      </c>
      <c r="P752" t="s">
        <v>2394</v>
      </c>
      <c r="Q752" t="s">
        <v>32</v>
      </c>
      <c r="R752" t="s">
        <v>65</v>
      </c>
      <c r="S752" t="s">
        <v>2395</v>
      </c>
      <c r="T752" s="4">
        <v>157.74</v>
      </c>
      <c r="U752">
        <v>11</v>
      </c>
      <c r="V752">
        <v>0</v>
      </c>
      <c r="W752" s="4">
        <v>56.7864</v>
      </c>
    </row>
    <row r="753" spans="1:23" x14ac:dyDescent="0.3">
      <c r="A753">
        <v>752</v>
      </c>
      <c r="B753" t="s">
        <v>2388</v>
      </c>
      <c r="C753" s="3">
        <v>42776</v>
      </c>
      <c r="D753" s="7" t="str">
        <f t="shared" si="22"/>
        <v>February</v>
      </c>
      <c r="E753" s="3">
        <f t="shared" si="23"/>
        <v>42794</v>
      </c>
      <c r="F753" s="3">
        <v>42896</v>
      </c>
      <c r="G753" t="s">
        <v>50</v>
      </c>
      <c r="H753" t="s">
        <v>2389</v>
      </c>
      <c r="I753" t="s">
        <v>2390</v>
      </c>
      <c r="J753" t="s">
        <v>26</v>
      </c>
      <c r="K753" t="s">
        <v>27</v>
      </c>
      <c r="L753" t="s">
        <v>2391</v>
      </c>
      <c r="M753" t="s">
        <v>238</v>
      </c>
      <c r="N753">
        <v>48183</v>
      </c>
      <c r="O753" t="s">
        <v>105</v>
      </c>
      <c r="P753" t="s">
        <v>1427</v>
      </c>
      <c r="Q753" t="s">
        <v>46</v>
      </c>
      <c r="R753" t="s">
        <v>68</v>
      </c>
      <c r="S753" t="s">
        <v>1428</v>
      </c>
      <c r="T753" s="4">
        <v>56.98</v>
      </c>
      <c r="U753">
        <v>7</v>
      </c>
      <c r="V753">
        <v>0</v>
      </c>
      <c r="W753" s="4">
        <v>22.792000000000002</v>
      </c>
    </row>
    <row r="754" spans="1:23" x14ac:dyDescent="0.3">
      <c r="A754">
        <v>753</v>
      </c>
      <c r="B754" t="s">
        <v>2388</v>
      </c>
      <c r="C754" s="3">
        <v>42776</v>
      </c>
      <c r="D754" s="7" t="str">
        <f t="shared" si="22"/>
        <v>February</v>
      </c>
      <c r="E754" s="3">
        <f t="shared" si="23"/>
        <v>42794</v>
      </c>
      <c r="F754" s="3">
        <v>42896</v>
      </c>
      <c r="G754" t="s">
        <v>50</v>
      </c>
      <c r="H754" t="s">
        <v>2389</v>
      </c>
      <c r="I754" t="s">
        <v>2390</v>
      </c>
      <c r="J754" t="s">
        <v>26</v>
      </c>
      <c r="K754" t="s">
        <v>27</v>
      </c>
      <c r="L754" t="s">
        <v>2391</v>
      </c>
      <c r="M754" t="s">
        <v>238</v>
      </c>
      <c r="N754">
        <v>48183</v>
      </c>
      <c r="O754" t="s">
        <v>105</v>
      </c>
      <c r="P754" t="s">
        <v>2396</v>
      </c>
      <c r="Q754" t="s">
        <v>46</v>
      </c>
      <c r="R754" t="s">
        <v>75</v>
      </c>
      <c r="S754" t="s">
        <v>2397</v>
      </c>
      <c r="T754" s="4">
        <v>2.88</v>
      </c>
      <c r="U754">
        <v>1</v>
      </c>
      <c r="V754">
        <v>0</v>
      </c>
      <c r="W754" s="4">
        <v>1.4112</v>
      </c>
    </row>
    <row r="755" spans="1:23" x14ac:dyDescent="0.3">
      <c r="A755">
        <v>754</v>
      </c>
      <c r="B755" t="s">
        <v>2398</v>
      </c>
      <c r="C755" s="3">
        <v>42555</v>
      </c>
      <c r="D755" s="7" t="str">
        <f t="shared" si="22"/>
        <v>July</v>
      </c>
      <c r="E755" s="3">
        <f t="shared" si="23"/>
        <v>42582</v>
      </c>
      <c r="F755" s="3">
        <v>42617</v>
      </c>
      <c r="G755" t="s">
        <v>188</v>
      </c>
      <c r="H755" t="s">
        <v>2399</v>
      </c>
      <c r="I755" t="s">
        <v>2400</v>
      </c>
      <c r="J755" t="s">
        <v>41</v>
      </c>
      <c r="K755" t="s">
        <v>27</v>
      </c>
      <c r="L755" t="s">
        <v>127</v>
      </c>
      <c r="M755" t="s">
        <v>43</v>
      </c>
      <c r="N755">
        <v>94110</v>
      </c>
      <c r="O755" t="s">
        <v>44</v>
      </c>
      <c r="P755" t="s">
        <v>2401</v>
      </c>
      <c r="Q755" t="s">
        <v>71</v>
      </c>
      <c r="R755" t="s">
        <v>1219</v>
      </c>
      <c r="S755" t="s">
        <v>2402</v>
      </c>
      <c r="T755" s="4">
        <v>1199.9760000000001</v>
      </c>
      <c r="U755">
        <v>3</v>
      </c>
      <c r="V755">
        <v>0.2</v>
      </c>
      <c r="W755" s="4">
        <v>374.99250000000001</v>
      </c>
    </row>
    <row r="756" spans="1:23" x14ac:dyDescent="0.3">
      <c r="A756">
        <v>755</v>
      </c>
      <c r="B756" t="s">
        <v>2403</v>
      </c>
      <c r="C756" s="3">
        <v>42197</v>
      </c>
      <c r="D756" s="7" t="str">
        <f t="shared" si="22"/>
        <v>July</v>
      </c>
      <c r="E756" s="3">
        <f t="shared" si="23"/>
        <v>42216</v>
      </c>
      <c r="F756" s="3">
        <v>42350</v>
      </c>
      <c r="G756" t="s">
        <v>50</v>
      </c>
      <c r="H756" t="s">
        <v>1989</v>
      </c>
      <c r="I756" t="s">
        <v>1990</v>
      </c>
      <c r="J756" t="s">
        <v>26</v>
      </c>
      <c r="K756" t="s">
        <v>27</v>
      </c>
      <c r="L756" t="s">
        <v>42</v>
      </c>
      <c r="M756" t="s">
        <v>43</v>
      </c>
      <c r="N756">
        <v>90036</v>
      </c>
      <c r="O756" t="s">
        <v>44</v>
      </c>
      <c r="P756" t="s">
        <v>2189</v>
      </c>
      <c r="Q756" t="s">
        <v>32</v>
      </c>
      <c r="R756" t="s">
        <v>65</v>
      </c>
      <c r="S756" t="s">
        <v>2190</v>
      </c>
      <c r="T756" s="4">
        <v>79.92</v>
      </c>
      <c r="U756">
        <v>4</v>
      </c>
      <c r="V756">
        <v>0</v>
      </c>
      <c r="W756" s="4">
        <v>28.7712</v>
      </c>
    </row>
    <row r="757" spans="1:23" x14ac:dyDescent="0.3">
      <c r="A757">
        <v>756</v>
      </c>
      <c r="B757" t="s">
        <v>2404</v>
      </c>
      <c r="C757" s="3">
        <v>42895</v>
      </c>
      <c r="D757" s="7" t="str">
        <f t="shared" si="22"/>
        <v>June</v>
      </c>
      <c r="E757" s="3">
        <f t="shared" si="23"/>
        <v>42916</v>
      </c>
      <c r="F757" s="3">
        <v>43017</v>
      </c>
      <c r="G757" t="s">
        <v>50</v>
      </c>
      <c r="H757" t="s">
        <v>2028</v>
      </c>
      <c r="I757" t="s">
        <v>2029</v>
      </c>
      <c r="J757" t="s">
        <v>41</v>
      </c>
      <c r="K757" t="s">
        <v>27</v>
      </c>
      <c r="L757" t="s">
        <v>1526</v>
      </c>
      <c r="M757" t="s">
        <v>54</v>
      </c>
      <c r="N757">
        <v>32216</v>
      </c>
      <c r="O757" t="s">
        <v>30</v>
      </c>
      <c r="P757" t="s">
        <v>2405</v>
      </c>
      <c r="Q757" t="s">
        <v>32</v>
      </c>
      <c r="R757" t="s">
        <v>56</v>
      </c>
      <c r="S757" t="s">
        <v>2406</v>
      </c>
      <c r="T757" s="4">
        <v>383.43799999999999</v>
      </c>
      <c r="U757">
        <v>4</v>
      </c>
      <c r="V757">
        <v>0.45</v>
      </c>
      <c r="W757" s="4">
        <v>-167.3184</v>
      </c>
    </row>
    <row r="758" spans="1:23" x14ac:dyDescent="0.3">
      <c r="A758">
        <v>757</v>
      </c>
      <c r="B758" t="s">
        <v>2407</v>
      </c>
      <c r="C758" s="3">
        <v>42502</v>
      </c>
      <c r="D758" s="7" t="str">
        <f t="shared" si="22"/>
        <v>May</v>
      </c>
      <c r="E758" s="3">
        <f t="shared" si="23"/>
        <v>42521</v>
      </c>
      <c r="F758" s="3">
        <v>42036</v>
      </c>
      <c r="G758" t="s">
        <v>50</v>
      </c>
      <c r="H758" t="s">
        <v>2408</v>
      </c>
      <c r="I758" t="s">
        <v>2409</v>
      </c>
      <c r="J758" t="s">
        <v>26</v>
      </c>
      <c r="K758" t="s">
        <v>27</v>
      </c>
      <c r="L758" t="s">
        <v>2410</v>
      </c>
      <c r="M758" t="s">
        <v>229</v>
      </c>
      <c r="N758">
        <v>55016</v>
      </c>
      <c r="O758" t="s">
        <v>105</v>
      </c>
      <c r="P758" t="s">
        <v>2245</v>
      </c>
      <c r="Q758" t="s">
        <v>46</v>
      </c>
      <c r="R758" t="s">
        <v>59</v>
      </c>
      <c r="S758" t="s">
        <v>2246</v>
      </c>
      <c r="T758" s="4">
        <v>24.56</v>
      </c>
      <c r="U758">
        <v>2</v>
      </c>
      <c r="V758">
        <v>0</v>
      </c>
      <c r="W758" s="4">
        <v>6.8768000000000002</v>
      </c>
    </row>
    <row r="759" spans="1:23" x14ac:dyDescent="0.3">
      <c r="A759">
        <v>758</v>
      </c>
      <c r="B759" t="s">
        <v>2407</v>
      </c>
      <c r="C759" s="3">
        <v>42502</v>
      </c>
      <c r="D759" s="7" t="str">
        <f t="shared" si="22"/>
        <v>May</v>
      </c>
      <c r="E759" s="3">
        <f t="shared" si="23"/>
        <v>42521</v>
      </c>
      <c r="F759" s="3">
        <v>42036</v>
      </c>
      <c r="G759" t="s">
        <v>50</v>
      </c>
      <c r="H759" t="s">
        <v>2408</v>
      </c>
      <c r="I759" t="s">
        <v>2409</v>
      </c>
      <c r="J759" t="s">
        <v>26</v>
      </c>
      <c r="K759" t="s">
        <v>27</v>
      </c>
      <c r="L759" t="s">
        <v>2410</v>
      </c>
      <c r="M759" t="s">
        <v>229</v>
      </c>
      <c r="N759">
        <v>55016</v>
      </c>
      <c r="O759" t="s">
        <v>105</v>
      </c>
      <c r="P759" t="s">
        <v>2089</v>
      </c>
      <c r="Q759" t="s">
        <v>71</v>
      </c>
      <c r="R759" t="s">
        <v>161</v>
      </c>
      <c r="S759" t="s">
        <v>2090</v>
      </c>
      <c r="T759" s="4">
        <v>119.8</v>
      </c>
      <c r="U759">
        <v>4</v>
      </c>
      <c r="V759">
        <v>0</v>
      </c>
      <c r="W759" s="4">
        <v>47.92</v>
      </c>
    </row>
    <row r="760" spans="1:23" x14ac:dyDescent="0.3">
      <c r="A760">
        <v>759</v>
      </c>
      <c r="B760" t="s">
        <v>2411</v>
      </c>
      <c r="C760" s="3">
        <v>43411</v>
      </c>
      <c r="D760" s="7" t="str">
        <f t="shared" si="22"/>
        <v>November</v>
      </c>
      <c r="E760" s="3">
        <f t="shared" si="23"/>
        <v>43434</v>
      </c>
      <c r="F760" s="3">
        <v>43562</v>
      </c>
      <c r="G760" t="s">
        <v>50</v>
      </c>
      <c r="H760" t="s">
        <v>2412</v>
      </c>
      <c r="I760" t="s">
        <v>2413</v>
      </c>
      <c r="J760" t="s">
        <v>41</v>
      </c>
      <c r="K760" t="s">
        <v>27</v>
      </c>
      <c r="L760" t="s">
        <v>266</v>
      </c>
      <c r="M760" t="s">
        <v>267</v>
      </c>
      <c r="N760">
        <v>10009</v>
      </c>
      <c r="O760" t="s">
        <v>148</v>
      </c>
      <c r="P760" t="s">
        <v>2023</v>
      </c>
      <c r="Q760" t="s">
        <v>46</v>
      </c>
      <c r="R760" t="s">
        <v>75</v>
      </c>
      <c r="S760" t="s">
        <v>2024</v>
      </c>
      <c r="T760" s="4">
        <v>13.128</v>
      </c>
      <c r="U760">
        <v>3</v>
      </c>
      <c r="V760">
        <v>0.2</v>
      </c>
      <c r="W760" s="4">
        <v>4.2666000000000004</v>
      </c>
    </row>
    <row r="761" spans="1:23" x14ac:dyDescent="0.3">
      <c r="A761">
        <v>760</v>
      </c>
      <c r="B761" t="s">
        <v>2414</v>
      </c>
      <c r="C761" s="3">
        <v>43260</v>
      </c>
      <c r="D761" s="7" t="str">
        <f t="shared" si="22"/>
        <v>June</v>
      </c>
      <c r="E761" s="3">
        <f t="shared" si="23"/>
        <v>43281</v>
      </c>
      <c r="F761" s="3">
        <v>43382</v>
      </c>
      <c r="G761" t="s">
        <v>50</v>
      </c>
      <c r="H761" t="s">
        <v>2415</v>
      </c>
      <c r="I761" t="s">
        <v>2416</v>
      </c>
      <c r="J761" t="s">
        <v>41</v>
      </c>
      <c r="K761" t="s">
        <v>27</v>
      </c>
      <c r="L761" t="s">
        <v>1849</v>
      </c>
      <c r="M761" t="s">
        <v>114</v>
      </c>
      <c r="N761">
        <v>54302</v>
      </c>
      <c r="O761" t="s">
        <v>105</v>
      </c>
      <c r="P761" t="s">
        <v>560</v>
      </c>
      <c r="Q761" t="s">
        <v>46</v>
      </c>
      <c r="R761" t="s">
        <v>90</v>
      </c>
      <c r="S761" t="s">
        <v>2193</v>
      </c>
      <c r="T761" s="4">
        <v>22.72</v>
      </c>
      <c r="U761">
        <v>4</v>
      </c>
      <c r="V761">
        <v>0</v>
      </c>
      <c r="W761" s="4">
        <v>10.224</v>
      </c>
    </row>
    <row r="762" spans="1:23" x14ac:dyDescent="0.3">
      <c r="A762">
        <v>761</v>
      </c>
      <c r="B762" t="s">
        <v>2417</v>
      </c>
      <c r="C762" s="3">
        <v>42924</v>
      </c>
      <c r="D762" s="7" t="str">
        <f t="shared" si="22"/>
        <v>July</v>
      </c>
      <c r="E762" s="3">
        <f t="shared" si="23"/>
        <v>42947</v>
      </c>
      <c r="F762" s="3">
        <v>42133</v>
      </c>
      <c r="G762" t="s">
        <v>50</v>
      </c>
      <c r="H762" t="s">
        <v>2021</v>
      </c>
      <c r="I762" t="s">
        <v>2022</v>
      </c>
      <c r="J762" t="s">
        <v>26</v>
      </c>
      <c r="K762" t="s">
        <v>27</v>
      </c>
      <c r="L762" t="s">
        <v>42</v>
      </c>
      <c r="M762" t="s">
        <v>43</v>
      </c>
      <c r="N762">
        <v>90004</v>
      </c>
      <c r="O762" t="s">
        <v>44</v>
      </c>
      <c r="P762" t="s">
        <v>1903</v>
      </c>
      <c r="Q762" t="s">
        <v>46</v>
      </c>
      <c r="R762" t="s">
        <v>90</v>
      </c>
      <c r="S762" t="s">
        <v>1904</v>
      </c>
      <c r="T762" s="4">
        <v>58.32</v>
      </c>
      <c r="U762">
        <v>9</v>
      </c>
      <c r="V762">
        <v>0</v>
      </c>
      <c r="W762" s="4">
        <v>27.993600000000001</v>
      </c>
    </row>
    <row r="763" spans="1:23" x14ac:dyDescent="0.3">
      <c r="A763">
        <v>762</v>
      </c>
      <c r="B763" t="s">
        <v>2418</v>
      </c>
      <c r="C763" s="3">
        <v>42805</v>
      </c>
      <c r="D763" s="7" t="str">
        <f t="shared" si="22"/>
        <v>March</v>
      </c>
      <c r="E763" s="3">
        <f t="shared" si="23"/>
        <v>42825</v>
      </c>
      <c r="F763" s="3">
        <v>42927</v>
      </c>
      <c r="G763" t="s">
        <v>50</v>
      </c>
      <c r="H763" t="s">
        <v>371</v>
      </c>
      <c r="I763" t="s">
        <v>372</v>
      </c>
      <c r="J763" t="s">
        <v>41</v>
      </c>
      <c r="K763" t="s">
        <v>27</v>
      </c>
      <c r="L763" t="s">
        <v>1741</v>
      </c>
      <c r="M763" t="s">
        <v>1275</v>
      </c>
      <c r="N763">
        <v>30318</v>
      </c>
      <c r="O763" t="s">
        <v>30</v>
      </c>
      <c r="P763" t="s">
        <v>2419</v>
      </c>
      <c r="Q763" t="s">
        <v>46</v>
      </c>
      <c r="R763" t="s">
        <v>47</v>
      </c>
      <c r="S763" t="s">
        <v>2420</v>
      </c>
      <c r="T763" s="4">
        <v>12.39</v>
      </c>
      <c r="U763">
        <v>3</v>
      </c>
      <c r="V763">
        <v>0</v>
      </c>
      <c r="W763" s="4">
        <v>5.6993999999999998</v>
      </c>
    </row>
    <row r="764" spans="1:23" x14ac:dyDescent="0.3">
      <c r="A764">
        <v>763</v>
      </c>
      <c r="B764" t="s">
        <v>2421</v>
      </c>
      <c r="C764" s="3">
        <v>42218</v>
      </c>
      <c r="D764" s="7" t="str">
        <f t="shared" si="22"/>
        <v>August</v>
      </c>
      <c r="E764" s="3">
        <f t="shared" si="23"/>
        <v>42247</v>
      </c>
      <c r="F764" s="3">
        <v>42371</v>
      </c>
      <c r="G764" t="s">
        <v>50</v>
      </c>
      <c r="H764" t="s">
        <v>2422</v>
      </c>
      <c r="I764" t="s">
        <v>2423</v>
      </c>
      <c r="J764" t="s">
        <v>26</v>
      </c>
      <c r="K764" t="s">
        <v>27</v>
      </c>
      <c r="L764" t="s">
        <v>497</v>
      </c>
      <c r="M764" t="s">
        <v>498</v>
      </c>
      <c r="N764">
        <v>43229</v>
      </c>
      <c r="O764" t="s">
        <v>148</v>
      </c>
      <c r="P764" t="s">
        <v>694</v>
      </c>
      <c r="Q764" t="s">
        <v>71</v>
      </c>
      <c r="R764" t="s">
        <v>72</v>
      </c>
      <c r="S764" t="s">
        <v>695</v>
      </c>
      <c r="T764" s="4">
        <v>107.982</v>
      </c>
      <c r="U764">
        <v>3</v>
      </c>
      <c r="V764">
        <v>0.4</v>
      </c>
      <c r="W764" s="4">
        <v>-26.9955</v>
      </c>
    </row>
    <row r="765" spans="1:23" x14ac:dyDescent="0.3">
      <c r="A765">
        <v>764</v>
      </c>
      <c r="B765" t="s">
        <v>2424</v>
      </c>
      <c r="C765" s="3">
        <v>42005</v>
      </c>
      <c r="D765" s="7" t="str">
        <f t="shared" si="22"/>
        <v>January</v>
      </c>
      <c r="E765" s="3">
        <f t="shared" si="23"/>
        <v>42035</v>
      </c>
      <c r="F765" s="3">
        <v>42064</v>
      </c>
      <c r="G765" t="s">
        <v>23</v>
      </c>
      <c r="H765" t="s">
        <v>2425</v>
      </c>
      <c r="I765" t="s">
        <v>2426</v>
      </c>
      <c r="J765" t="s">
        <v>41</v>
      </c>
      <c r="K765" t="s">
        <v>27</v>
      </c>
      <c r="L765" t="s">
        <v>2427</v>
      </c>
      <c r="M765" t="s">
        <v>738</v>
      </c>
      <c r="N765">
        <v>71111</v>
      </c>
      <c r="O765" t="s">
        <v>30</v>
      </c>
      <c r="P765" t="s">
        <v>670</v>
      </c>
      <c r="Q765" t="s">
        <v>46</v>
      </c>
      <c r="R765" t="s">
        <v>173</v>
      </c>
      <c r="S765" t="s">
        <v>671</v>
      </c>
      <c r="T765" s="4">
        <v>11.36</v>
      </c>
      <c r="U765">
        <v>2</v>
      </c>
      <c r="V765">
        <v>0</v>
      </c>
      <c r="W765" s="4">
        <v>5.3391999999999999</v>
      </c>
    </row>
    <row r="766" spans="1:23" x14ac:dyDescent="0.3">
      <c r="A766">
        <v>765</v>
      </c>
      <c r="B766" t="s">
        <v>2424</v>
      </c>
      <c r="C766" s="3">
        <v>42005</v>
      </c>
      <c r="D766" s="7" t="str">
        <f t="shared" si="22"/>
        <v>January</v>
      </c>
      <c r="E766" s="3">
        <f t="shared" si="23"/>
        <v>42035</v>
      </c>
      <c r="F766" s="3">
        <v>42064</v>
      </c>
      <c r="G766" t="s">
        <v>23</v>
      </c>
      <c r="H766" t="s">
        <v>2425</v>
      </c>
      <c r="I766" t="s">
        <v>2426</v>
      </c>
      <c r="J766" t="s">
        <v>41</v>
      </c>
      <c r="K766" t="s">
        <v>27</v>
      </c>
      <c r="L766" t="s">
        <v>2427</v>
      </c>
      <c r="M766" t="s">
        <v>738</v>
      </c>
      <c r="N766">
        <v>71111</v>
      </c>
      <c r="O766" t="s">
        <v>30</v>
      </c>
      <c r="P766" t="s">
        <v>2428</v>
      </c>
      <c r="Q766" t="s">
        <v>46</v>
      </c>
      <c r="R766" t="s">
        <v>173</v>
      </c>
      <c r="S766" t="s">
        <v>2429</v>
      </c>
      <c r="T766" s="4">
        <v>50.94</v>
      </c>
      <c r="U766">
        <v>3</v>
      </c>
      <c r="V766">
        <v>0</v>
      </c>
      <c r="W766" s="4">
        <v>25.47</v>
      </c>
    </row>
    <row r="767" spans="1:23" x14ac:dyDescent="0.3">
      <c r="A767">
        <v>766</v>
      </c>
      <c r="B767" t="s">
        <v>2424</v>
      </c>
      <c r="C767" s="3">
        <v>42005</v>
      </c>
      <c r="D767" s="7" t="str">
        <f t="shared" si="22"/>
        <v>January</v>
      </c>
      <c r="E767" s="3">
        <f t="shared" si="23"/>
        <v>42035</v>
      </c>
      <c r="F767" s="3">
        <v>42064</v>
      </c>
      <c r="G767" t="s">
        <v>23</v>
      </c>
      <c r="H767" t="s">
        <v>2425</v>
      </c>
      <c r="I767" t="s">
        <v>2426</v>
      </c>
      <c r="J767" t="s">
        <v>41</v>
      </c>
      <c r="K767" t="s">
        <v>27</v>
      </c>
      <c r="L767" t="s">
        <v>2427</v>
      </c>
      <c r="M767" t="s">
        <v>738</v>
      </c>
      <c r="N767">
        <v>71111</v>
      </c>
      <c r="O767" t="s">
        <v>30</v>
      </c>
      <c r="P767" t="s">
        <v>2430</v>
      </c>
      <c r="Q767" t="s">
        <v>71</v>
      </c>
      <c r="R767" t="s">
        <v>161</v>
      </c>
      <c r="S767" t="s">
        <v>2431</v>
      </c>
      <c r="T767" s="4">
        <v>646.74</v>
      </c>
      <c r="U767">
        <v>6</v>
      </c>
      <c r="V767">
        <v>0</v>
      </c>
      <c r="W767" s="4">
        <v>258.69600000000003</v>
      </c>
    </row>
    <row r="768" spans="1:23" x14ac:dyDescent="0.3">
      <c r="A768">
        <v>767</v>
      </c>
      <c r="B768" t="s">
        <v>2424</v>
      </c>
      <c r="C768" s="3">
        <v>42005</v>
      </c>
      <c r="D768" s="7" t="str">
        <f t="shared" si="22"/>
        <v>January</v>
      </c>
      <c r="E768" s="3">
        <f t="shared" si="23"/>
        <v>42035</v>
      </c>
      <c r="F768" s="3">
        <v>42064</v>
      </c>
      <c r="G768" t="s">
        <v>23</v>
      </c>
      <c r="H768" t="s">
        <v>2425</v>
      </c>
      <c r="I768" t="s">
        <v>2426</v>
      </c>
      <c r="J768" t="s">
        <v>41</v>
      </c>
      <c r="K768" t="s">
        <v>27</v>
      </c>
      <c r="L768" t="s">
        <v>2427</v>
      </c>
      <c r="M768" t="s">
        <v>738</v>
      </c>
      <c r="N768">
        <v>71111</v>
      </c>
      <c r="O768" t="s">
        <v>30</v>
      </c>
      <c r="P768" t="s">
        <v>2432</v>
      </c>
      <c r="Q768" t="s">
        <v>46</v>
      </c>
      <c r="R768" t="s">
        <v>75</v>
      </c>
      <c r="S768" t="s">
        <v>2433</v>
      </c>
      <c r="T768" s="4">
        <v>5.64</v>
      </c>
      <c r="U768">
        <v>3</v>
      </c>
      <c r="V768">
        <v>0</v>
      </c>
      <c r="W768" s="4">
        <v>2.7071999999999998</v>
      </c>
    </row>
    <row r="769" spans="1:23" x14ac:dyDescent="0.3">
      <c r="A769">
        <v>768</v>
      </c>
      <c r="B769" t="s">
        <v>2424</v>
      </c>
      <c r="C769" s="3">
        <v>42005</v>
      </c>
      <c r="D769" s="7" t="str">
        <f t="shared" si="22"/>
        <v>January</v>
      </c>
      <c r="E769" s="3">
        <f t="shared" si="23"/>
        <v>42035</v>
      </c>
      <c r="F769" s="3">
        <v>42064</v>
      </c>
      <c r="G769" t="s">
        <v>23</v>
      </c>
      <c r="H769" t="s">
        <v>2425</v>
      </c>
      <c r="I769" t="s">
        <v>2426</v>
      </c>
      <c r="J769" t="s">
        <v>41</v>
      </c>
      <c r="K769" t="s">
        <v>27</v>
      </c>
      <c r="L769" t="s">
        <v>2427</v>
      </c>
      <c r="M769" t="s">
        <v>738</v>
      </c>
      <c r="N769">
        <v>71111</v>
      </c>
      <c r="O769" t="s">
        <v>30</v>
      </c>
      <c r="P769" t="s">
        <v>2434</v>
      </c>
      <c r="Q769" t="s">
        <v>46</v>
      </c>
      <c r="R769" t="s">
        <v>59</v>
      </c>
      <c r="S769" t="s">
        <v>2435</v>
      </c>
      <c r="T769" s="4">
        <v>572.58000000000004</v>
      </c>
      <c r="U769">
        <v>6</v>
      </c>
      <c r="V769">
        <v>0</v>
      </c>
      <c r="W769" s="4">
        <v>34.354799999999997</v>
      </c>
    </row>
    <row r="770" spans="1:23" x14ac:dyDescent="0.3">
      <c r="A770">
        <v>769</v>
      </c>
      <c r="B770" t="s">
        <v>2436</v>
      </c>
      <c r="C770" s="3">
        <v>42040</v>
      </c>
      <c r="D770" s="7" t="str">
        <f t="shared" si="22"/>
        <v>February</v>
      </c>
      <c r="E770" s="3">
        <f t="shared" si="23"/>
        <v>42063</v>
      </c>
      <c r="F770" s="3">
        <v>42221</v>
      </c>
      <c r="G770" t="s">
        <v>50</v>
      </c>
      <c r="H770" t="s">
        <v>2437</v>
      </c>
      <c r="I770" t="s">
        <v>2438</v>
      </c>
      <c r="J770" t="s">
        <v>41</v>
      </c>
      <c r="K770" t="s">
        <v>27</v>
      </c>
      <c r="L770" t="s">
        <v>1154</v>
      </c>
      <c r="M770" t="s">
        <v>54</v>
      </c>
      <c r="N770">
        <v>33710</v>
      </c>
      <c r="O770" t="s">
        <v>30</v>
      </c>
      <c r="P770" t="s">
        <v>2439</v>
      </c>
      <c r="Q770" t="s">
        <v>32</v>
      </c>
      <c r="R770" t="s">
        <v>65</v>
      </c>
      <c r="S770" t="s">
        <v>2440</v>
      </c>
      <c r="T770" s="4">
        <v>310.88</v>
      </c>
      <c r="U770">
        <v>2</v>
      </c>
      <c r="V770">
        <v>0.2</v>
      </c>
      <c r="W770" s="4">
        <v>23.315999999999999</v>
      </c>
    </row>
    <row r="771" spans="1:23" x14ac:dyDescent="0.3">
      <c r="A771">
        <v>770</v>
      </c>
      <c r="B771" t="s">
        <v>2441</v>
      </c>
      <c r="C771" s="3">
        <v>42921</v>
      </c>
      <c r="D771" s="7" t="str">
        <f t="shared" ref="D771:D834" si="24">TEXT(C771,"mmmm")</f>
        <v>July</v>
      </c>
      <c r="E771" s="3">
        <f t="shared" ref="E771:E834" si="25">EOMONTH(C771,0)</f>
        <v>42947</v>
      </c>
      <c r="F771" s="3">
        <v>43074</v>
      </c>
      <c r="G771" t="s">
        <v>50</v>
      </c>
      <c r="H771" t="s">
        <v>826</v>
      </c>
      <c r="I771" t="s">
        <v>827</v>
      </c>
      <c r="J771" t="s">
        <v>26</v>
      </c>
      <c r="K771" t="s">
        <v>27</v>
      </c>
      <c r="L771" t="s">
        <v>1130</v>
      </c>
      <c r="M771" t="s">
        <v>319</v>
      </c>
      <c r="N771">
        <v>22204</v>
      </c>
      <c r="O771" t="s">
        <v>30</v>
      </c>
      <c r="P771" t="s">
        <v>2442</v>
      </c>
      <c r="Q771" t="s">
        <v>32</v>
      </c>
      <c r="R771" t="s">
        <v>36</v>
      </c>
      <c r="S771" t="s">
        <v>2443</v>
      </c>
      <c r="T771" s="4">
        <v>641.96</v>
      </c>
      <c r="U771">
        <v>2</v>
      </c>
      <c r="V771">
        <v>0</v>
      </c>
      <c r="W771" s="4">
        <v>179.74879999999999</v>
      </c>
    </row>
    <row r="772" spans="1:23" x14ac:dyDescent="0.3">
      <c r="A772">
        <v>771</v>
      </c>
      <c r="B772" t="s">
        <v>2444</v>
      </c>
      <c r="C772" s="3">
        <v>43617</v>
      </c>
      <c r="D772" s="7" t="str">
        <f t="shared" si="24"/>
        <v>June</v>
      </c>
      <c r="E772" s="3">
        <f t="shared" si="25"/>
        <v>43646</v>
      </c>
      <c r="F772" s="3">
        <v>42857</v>
      </c>
      <c r="G772" t="s">
        <v>50</v>
      </c>
      <c r="H772" t="s">
        <v>2445</v>
      </c>
      <c r="I772" t="s">
        <v>2446</v>
      </c>
      <c r="J772" t="s">
        <v>41</v>
      </c>
      <c r="K772" t="s">
        <v>27</v>
      </c>
      <c r="L772" t="s">
        <v>1381</v>
      </c>
      <c r="M772" t="s">
        <v>489</v>
      </c>
      <c r="N772">
        <v>50315</v>
      </c>
      <c r="O772" t="s">
        <v>105</v>
      </c>
      <c r="P772" t="s">
        <v>2447</v>
      </c>
      <c r="Q772" t="s">
        <v>46</v>
      </c>
      <c r="R772" t="s">
        <v>75</v>
      </c>
      <c r="S772" t="s">
        <v>2448</v>
      </c>
      <c r="T772" s="4">
        <v>18.28</v>
      </c>
      <c r="U772">
        <v>2</v>
      </c>
      <c r="V772">
        <v>0</v>
      </c>
      <c r="W772" s="4">
        <v>9.14</v>
      </c>
    </row>
    <row r="773" spans="1:23" x14ac:dyDescent="0.3">
      <c r="A773">
        <v>772</v>
      </c>
      <c r="B773" t="s">
        <v>2444</v>
      </c>
      <c r="C773" s="3">
        <v>43617</v>
      </c>
      <c r="D773" s="7" t="str">
        <f t="shared" si="24"/>
        <v>June</v>
      </c>
      <c r="E773" s="3">
        <f t="shared" si="25"/>
        <v>43646</v>
      </c>
      <c r="F773" s="3">
        <v>42857</v>
      </c>
      <c r="G773" t="s">
        <v>50</v>
      </c>
      <c r="H773" t="s">
        <v>2445</v>
      </c>
      <c r="I773" t="s">
        <v>2446</v>
      </c>
      <c r="J773" t="s">
        <v>41</v>
      </c>
      <c r="K773" t="s">
        <v>27</v>
      </c>
      <c r="L773" t="s">
        <v>1381</v>
      </c>
      <c r="M773" t="s">
        <v>489</v>
      </c>
      <c r="N773">
        <v>50315</v>
      </c>
      <c r="O773" t="s">
        <v>105</v>
      </c>
      <c r="P773" t="s">
        <v>1207</v>
      </c>
      <c r="Q773" t="s">
        <v>71</v>
      </c>
      <c r="R773" t="s">
        <v>72</v>
      </c>
      <c r="S773" t="s">
        <v>1208</v>
      </c>
      <c r="T773" s="4">
        <v>207</v>
      </c>
      <c r="U773">
        <v>3</v>
      </c>
      <c r="V773">
        <v>0</v>
      </c>
      <c r="W773" s="4">
        <v>51.75</v>
      </c>
    </row>
    <row r="774" spans="1:23" x14ac:dyDescent="0.3">
      <c r="A774">
        <v>773</v>
      </c>
      <c r="B774" t="s">
        <v>2444</v>
      </c>
      <c r="C774" s="3">
        <v>43617</v>
      </c>
      <c r="D774" s="7" t="str">
        <f t="shared" si="24"/>
        <v>June</v>
      </c>
      <c r="E774" s="3">
        <f t="shared" si="25"/>
        <v>43646</v>
      </c>
      <c r="F774" s="3">
        <v>42857</v>
      </c>
      <c r="G774" t="s">
        <v>50</v>
      </c>
      <c r="H774" t="s">
        <v>2445</v>
      </c>
      <c r="I774" t="s">
        <v>2446</v>
      </c>
      <c r="J774" t="s">
        <v>41</v>
      </c>
      <c r="K774" t="s">
        <v>27</v>
      </c>
      <c r="L774" t="s">
        <v>1381</v>
      </c>
      <c r="M774" t="s">
        <v>489</v>
      </c>
      <c r="N774">
        <v>50315</v>
      </c>
      <c r="O774" t="s">
        <v>105</v>
      </c>
      <c r="P774" t="s">
        <v>2449</v>
      </c>
      <c r="Q774" t="s">
        <v>46</v>
      </c>
      <c r="R774" t="s">
        <v>75</v>
      </c>
      <c r="S774" t="s">
        <v>2450</v>
      </c>
      <c r="T774" s="4">
        <v>32.35</v>
      </c>
      <c r="U774">
        <v>5</v>
      </c>
      <c r="V774">
        <v>0</v>
      </c>
      <c r="W774" s="4">
        <v>16.175000000000001</v>
      </c>
    </row>
    <row r="775" spans="1:23" x14ac:dyDescent="0.3">
      <c r="A775">
        <v>774</v>
      </c>
      <c r="B775" t="s">
        <v>2444</v>
      </c>
      <c r="C775" s="3">
        <v>43617</v>
      </c>
      <c r="D775" s="7" t="str">
        <f t="shared" si="24"/>
        <v>June</v>
      </c>
      <c r="E775" s="3">
        <f t="shared" si="25"/>
        <v>43646</v>
      </c>
      <c r="F775" s="3">
        <v>42857</v>
      </c>
      <c r="G775" t="s">
        <v>50</v>
      </c>
      <c r="H775" t="s">
        <v>2445</v>
      </c>
      <c r="I775" t="s">
        <v>2446</v>
      </c>
      <c r="J775" t="s">
        <v>41</v>
      </c>
      <c r="K775" t="s">
        <v>27</v>
      </c>
      <c r="L775" t="s">
        <v>1381</v>
      </c>
      <c r="M775" t="s">
        <v>489</v>
      </c>
      <c r="N775">
        <v>50315</v>
      </c>
      <c r="O775" t="s">
        <v>105</v>
      </c>
      <c r="P775" t="s">
        <v>74</v>
      </c>
      <c r="Q775" t="s">
        <v>46</v>
      </c>
      <c r="R775" t="s">
        <v>75</v>
      </c>
      <c r="S775" t="s">
        <v>76</v>
      </c>
      <c r="T775" s="4">
        <v>7.71</v>
      </c>
      <c r="U775">
        <v>1</v>
      </c>
      <c r="V775">
        <v>0</v>
      </c>
      <c r="W775" s="4">
        <v>3.4695</v>
      </c>
    </row>
    <row r="776" spans="1:23" x14ac:dyDescent="0.3">
      <c r="A776">
        <v>775</v>
      </c>
      <c r="B776" t="s">
        <v>2444</v>
      </c>
      <c r="C776" s="3">
        <v>43617</v>
      </c>
      <c r="D776" s="7" t="str">
        <f t="shared" si="24"/>
        <v>June</v>
      </c>
      <c r="E776" s="3">
        <f t="shared" si="25"/>
        <v>43646</v>
      </c>
      <c r="F776" s="3">
        <v>42857</v>
      </c>
      <c r="G776" t="s">
        <v>50</v>
      </c>
      <c r="H776" t="s">
        <v>2445</v>
      </c>
      <c r="I776" t="s">
        <v>2446</v>
      </c>
      <c r="J776" t="s">
        <v>41</v>
      </c>
      <c r="K776" t="s">
        <v>27</v>
      </c>
      <c r="L776" t="s">
        <v>1381</v>
      </c>
      <c r="M776" t="s">
        <v>489</v>
      </c>
      <c r="N776">
        <v>50315</v>
      </c>
      <c r="O776" t="s">
        <v>105</v>
      </c>
      <c r="P776" t="s">
        <v>2451</v>
      </c>
      <c r="Q776" t="s">
        <v>46</v>
      </c>
      <c r="R776" t="s">
        <v>68</v>
      </c>
      <c r="S776" t="s">
        <v>2452</v>
      </c>
      <c r="T776" s="4">
        <v>40.299999999999997</v>
      </c>
      <c r="U776">
        <v>2</v>
      </c>
      <c r="V776">
        <v>0</v>
      </c>
      <c r="W776" s="4">
        <v>10.881</v>
      </c>
    </row>
    <row r="777" spans="1:23" x14ac:dyDescent="0.3">
      <c r="A777">
        <v>776</v>
      </c>
      <c r="B777" t="s">
        <v>2444</v>
      </c>
      <c r="C777" s="3">
        <v>43617</v>
      </c>
      <c r="D777" s="7" t="str">
        <f t="shared" si="24"/>
        <v>June</v>
      </c>
      <c r="E777" s="3">
        <f t="shared" si="25"/>
        <v>43646</v>
      </c>
      <c r="F777" s="3">
        <v>42857</v>
      </c>
      <c r="G777" t="s">
        <v>50</v>
      </c>
      <c r="H777" t="s">
        <v>2445</v>
      </c>
      <c r="I777" t="s">
        <v>2446</v>
      </c>
      <c r="J777" t="s">
        <v>41</v>
      </c>
      <c r="K777" t="s">
        <v>27</v>
      </c>
      <c r="L777" t="s">
        <v>1381</v>
      </c>
      <c r="M777" t="s">
        <v>489</v>
      </c>
      <c r="N777">
        <v>50315</v>
      </c>
      <c r="O777" t="s">
        <v>105</v>
      </c>
      <c r="P777" t="s">
        <v>2453</v>
      </c>
      <c r="Q777" t="s">
        <v>32</v>
      </c>
      <c r="R777" t="s">
        <v>65</v>
      </c>
      <c r="S777" t="s">
        <v>2454</v>
      </c>
      <c r="T777" s="4">
        <v>34.58</v>
      </c>
      <c r="U777">
        <v>7</v>
      </c>
      <c r="V777">
        <v>0</v>
      </c>
      <c r="W777" s="4">
        <v>14.5236</v>
      </c>
    </row>
    <row r="778" spans="1:23" x14ac:dyDescent="0.3">
      <c r="A778">
        <v>777</v>
      </c>
      <c r="B778" t="s">
        <v>2455</v>
      </c>
      <c r="C778" s="3">
        <v>42496</v>
      </c>
      <c r="D778" s="7" t="str">
        <f t="shared" si="24"/>
        <v>May</v>
      </c>
      <c r="E778" s="3">
        <f t="shared" si="25"/>
        <v>42521</v>
      </c>
      <c r="F778" s="3">
        <v>41797</v>
      </c>
      <c r="G778" t="s">
        <v>50</v>
      </c>
      <c r="H778" t="s">
        <v>2456</v>
      </c>
      <c r="I778" t="s">
        <v>2457</v>
      </c>
      <c r="J778" t="s">
        <v>26</v>
      </c>
      <c r="K778" t="s">
        <v>27</v>
      </c>
      <c r="L778" t="s">
        <v>1010</v>
      </c>
      <c r="M778" t="s">
        <v>498</v>
      </c>
      <c r="N778">
        <v>45231</v>
      </c>
      <c r="O778" t="s">
        <v>148</v>
      </c>
      <c r="P778" t="s">
        <v>2458</v>
      </c>
      <c r="Q778" t="s">
        <v>46</v>
      </c>
      <c r="R778" t="s">
        <v>68</v>
      </c>
      <c r="S778" t="s">
        <v>2459</v>
      </c>
      <c r="T778" s="4">
        <v>32.76</v>
      </c>
      <c r="U778">
        <v>7</v>
      </c>
      <c r="V778">
        <v>0.2</v>
      </c>
      <c r="W778" s="4">
        <v>3.6855000000000002</v>
      </c>
    </row>
    <row r="779" spans="1:23" x14ac:dyDescent="0.3">
      <c r="A779">
        <v>778</v>
      </c>
      <c r="B779" t="s">
        <v>2460</v>
      </c>
      <c r="C779" s="3">
        <v>42621</v>
      </c>
      <c r="D779" s="7" t="str">
        <f t="shared" si="24"/>
        <v>September</v>
      </c>
      <c r="E779" s="3">
        <f t="shared" si="25"/>
        <v>42643</v>
      </c>
      <c r="F779" s="3">
        <v>42682</v>
      </c>
      <c r="G779" t="s">
        <v>188</v>
      </c>
      <c r="H779" t="s">
        <v>1071</v>
      </c>
      <c r="I779" t="s">
        <v>1072</v>
      </c>
      <c r="J779" t="s">
        <v>102</v>
      </c>
      <c r="K779" t="s">
        <v>27</v>
      </c>
      <c r="L779" t="s">
        <v>127</v>
      </c>
      <c r="M779" t="s">
        <v>43</v>
      </c>
      <c r="N779">
        <v>94110</v>
      </c>
      <c r="O779" t="s">
        <v>44</v>
      </c>
      <c r="P779" t="s">
        <v>2461</v>
      </c>
      <c r="Q779" t="s">
        <v>32</v>
      </c>
      <c r="R779" t="s">
        <v>36</v>
      </c>
      <c r="S779" t="s">
        <v>2462</v>
      </c>
      <c r="T779" s="4">
        <v>544.00800000000004</v>
      </c>
      <c r="U779">
        <v>3</v>
      </c>
      <c r="V779">
        <v>0.2</v>
      </c>
      <c r="W779" s="4">
        <v>40.800600000000003</v>
      </c>
    </row>
    <row r="780" spans="1:23" x14ac:dyDescent="0.3">
      <c r="A780">
        <v>779</v>
      </c>
      <c r="B780" t="s">
        <v>2460</v>
      </c>
      <c r="C780" s="3">
        <v>42621</v>
      </c>
      <c r="D780" s="7" t="str">
        <f t="shared" si="24"/>
        <v>September</v>
      </c>
      <c r="E780" s="3">
        <f t="shared" si="25"/>
        <v>42643</v>
      </c>
      <c r="F780" s="3">
        <v>42682</v>
      </c>
      <c r="G780" t="s">
        <v>188</v>
      </c>
      <c r="H780" t="s">
        <v>1071</v>
      </c>
      <c r="I780" t="s">
        <v>1072</v>
      </c>
      <c r="J780" t="s">
        <v>102</v>
      </c>
      <c r="K780" t="s">
        <v>27</v>
      </c>
      <c r="L780" t="s">
        <v>127</v>
      </c>
      <c r="M780" t="s">
        <v>43</v>
      </c>
      <c r="N780">
        <v>94110</v>
      </c>
      <c r="O780" t="s">
        <v>44</v>
      </c>
      <c r="P780" t="s">
        <v>1455</v>
      </c>
      <c r="Q780" t="s">
        <v>46</v>
      </c>
      <c r="R780" t="s">
        <v>90</v>
      </c>
      <c r="S780" t="s">
        <v>1456</v>
      </c>
      <c r="T780" s="4">
        <v>59.94</v>
      </c>
      <c r="U780">
        <v>3</v>
      </c>
      <c r="V780">
        <v>0</v>
      </c>
      <c r="W780" s="4">
        <v>28.171800000000001</v>
      </c>
    </row>
    <row r="781" spans="1:23" x14ac:dyDescent="0.3">
      <c r="A781">
        <v>780</v>
      </c>
      <c r="B781" t="s">
        <v>2460</v>
      </c>
      <c r="C781" s="3">
        <v>42621</v>
      </c>
      <c r="D781" s="7" t="str">
        <f t="shared" si="24"/>
        <v>September</v>
      </c>
      <c r="E781" s="3">
        <f t="shared" si="25"/>
        <v>42643</v>
      </c>
      <c r="F781" s="3">
        <v>42682</v>
      </c>
      <c r="G781" t="s">
        <v>188</v>
      </c>
      <c r="H781" t="s">
        <v>1071</v>
      </c>
      <c r="I781" t="s">
        <v>1072</v>
      </c>
      <c r="J781" t="s">
        <v>102</v>
      </c>
      <c r="K781" t="s">
        <v>27</v>
      </c>
      <c r="L781" t="s">
        <v>127</v>
      </c>
      <c r="M781" t="s">
        <v>43</v>
      </c>
      <c r="N781">
        <v>94110</v>
      </c>
      <c r="O781" t="s">
        <v>44</v>
      </c>
      <c r="P781" t="s">
        <v>1424</v>
      </c>
      <c r="Q781" t="s">
        <v>46</v>
      </c>
      <c r="R781" t="s">
        <v>90</v>
      </c>
      <c r="S781" t="s">
        <v>1425</v>
      </c>
      <c r="T781" s="4">
        <v>23.92</v>
      </c>
      <c r="U781">
        <v>4</v>
      </c>
      <c r="V781">
        <v>0</v>
      </c>
      <c r="W781" s="4">
        <v>11.720800000000001</v>
      </c>
    </row>
    <row r="782" spans="1:23" x14ac:dyDescent="0.3">
      <c r="A782">
        <v>781</v>
      </c>
      <c r="B782" t="s">
        <v>2460</v>
      </c>
      <c r="C782" s="3">
        <v>42621</v>
      </c>
      <c r="D782" s="7" t="str">
        <f t="shared" si="24"/>
        <v>September</v>
      </c>
      <c r="E782" s="3">
        <f t="shared" si="25"/>
        <v>42643</v>
      </c>
      <c r="F782" s="3">
        <v>42682</v>
      </c>
      <c r="G782" t="s">
        <v>188</v>
      </c>
      <c r="H782" t="s">
        <v>1071</v>
      </c>
      <c r="I782" t="s">
        <v>1072</v>
      </c>
      <c r="J782" t="s">
        <v>102</v>
      </c>
      <c r="K782" t="s">
        <v>27</v>
      </c>
      <c r="L782" t="s">
        <v>127</v>
      </c>
      <c r="M782" t="s">
        <v>43</v>
      </c>
      <c r="N782">
        <v>94110</v>
      </c>
      <c r="O782" t="s">
        <v>44</v>
      </c>
      <c r="P782" t="s">
        <v>2463</v>
      </c>
      <c r="Q782" t="s">
        <v>46</v>
      </c>
      <c r="R782" t="s">
        <v>90</v>
      </c>
      <c r="S782" t="s">
        <v>2464</v>
      </c>
      <c r="T782" s="4">
        <v>4.28</v>
      </c>
      <c r="U782">
        <v>1</v>
      </c>
      <c r="V782">
        <v>0</v>
      </c>
      <c r="W782" s="4">
        <v>1.9259999999999999</v>
      </c>
    </row>
    <row r="783" spans="1:23" x14ac:dyDescent="0.3">
      <c r="A783">
        <v>782</v>
      </c>
      <c r="B783" t="s">
        <v>2465</v>
      </c>
      <c r="C783" s="3">
        <v>42073</v>
      </c>
      <c r="D783" s="7" t="str">
        <f t="shared" si="24"/>
        <v>March</v>
      </c>
      <c r="E783" s="3">
        <f t="shared" si="25"/>
        <v>42094</v>
      </c>
      <c r="F783" s="3">
        <v>42165</v>
      </c>
      <c r="G783" t="s">
        <v>23</v>
      </c>
      <c r="H783" t="s">
        <v>2466</v>
      </c>
      <c r="I783" t="s">
        <v>2467</v>
      </c>
      <c r="J783" t="s">
        <v>26</v>
      </c>
      <c r="K783" t="s">
        <v>27</v>
      </c>
      <c r="L783" t="s">
        <v>497</v>
      </c>
      <c r="M783" t="s">
        <v>498</v>
      </c>
      <c r="N783">
        <v>43229</v>
      </c>
      <c r="O783" t="s">
        <v>148</v>
      </c>
      <c r="P783" t="s">
        <v>1601</v>
      </c>
      <c r="Q783" t="s">
        <v>46</v>
      </c>
      <c r="R783" t="s">
        <v>75</v>
      </c>
      <c r="S783" t="s">
        <v>1602</v>
      </c>
      <c r="T783" s="4">
        <v>32.07</v>
      </c>
      <c r="U783">
        <v>5</v>
      </c>
      <c r="V783">
        <v>0.7</v>
      </c>
      <c r="W783" s="4">
        <v>-22.449000000000002</v>
      </c>
    </row>
    <row r="784" spans="1:23" x14ac:dyDescent="0.3">
      <c r="A784">
        <v>783</v>
      </c>
      <c r="B784" t="s">
        <v>2465</v>
      </c>
      <c r="C784" s="3">
        <v>42073</v>
      </c>
      <c r="D784" s="7" t="str">
        <f t="shared" si="24"/>
        <v>March</v>
      </c>
      <c r="E784" s="3">
        <f t="shared" si="25"/>
        <v>42094</v>
      </c>
      <c r="F784" s="3">
        <v>42165</v>
      </c>
      <c r="G784" t="s">
        <v>23</v>
      </c>
      <c r="H784" t="s">
        <v>2466</v>
      </c>
      <c r="I784" t="s">
        <v>2467</v>
      </c>
      <c r="J784" t="s">
        <v>26</v>
      </c>
      <c r="K784" t="s">
        <v>27</v>
      </c>
      <c r="L784" t="s">
        <v>497</v>
      </c>
      <c r="M784" t="s">
        <v>498</v>
      </c>
      <c r="N784">
        <v>43229</v>
      </c>
      <c r="O784" t="s">
        <v>148</v>
      </c>
      <c r="P784" t="s">
        <v>246</v>
      </c>
      <c r="Q784" t="s">
        <v>71</v>
      </c>
      <c r="R784" t="s">
        <v>161</v>
      </c>
      <c r="S784" t="s">
        <v>247</v>
      </c>
      <c r="T784" s="4">
        <v>24</v>
      </c>
      <c r="U784">
        <v>2</v>
      </c>
      <c r="V784">
        <v>0.2</v>
      </c>
      <c r="W784" s="4">
        <v>-2.7</v>
      </c>
    </row>
    <row r="785" spans="1:23" x14ac:dyDescent="0.3">
      <c r="A785">
        <v>784</v>
      </c>
      <c r="B785" t="s">
        <v>2465</v>
      </c>
      <c r="C785" s="3">
        <v>42073</v>
      </c>
      <c r="D785" s="7" t="str">
        <f t="shared" si="24"/>
        <v>March</v>
      </c>
      <c r="E785" s="3">
        <f t="shared" si="25"/>
        <v>42094</v>
      </c>
      <c r="F785" s="3">
        <v>42165</v>
      </c>
      <c r="G785" t="s">
        <v>23</v>
      </c>
      <c r="H785" t="s">
        <v>2466</v>
      </c>
      <c r="I785" t="s">
        <v>2467</v>
      </c>
      <c r="J785" t="s">
        <v>26</v>
      </c>
      <c r="K785" t="s">
        <v>27</v>
      </c>
      <c r="L785" t="s">
        <v>497</v>
      </c>
      <c r="M785" t="s">
        <v>498</v>
      </c>
      <c r="N785">
        <v>43229</v>
      </c>
      <c r="O785" t="s">
        <v>148</v>
      </c>
      <c r="P785" t="s">
        <v>2468</v>
      </c>
      <c r="Q785" t="s">
        <v>32</v>
      </c>
      <c r="R785" t="s">
        <v>33</v>
      </c>
      <c r="S785" t="s">
        <v>2469</v>
      </c>
      <c r="T785" s="4">
        <v>35.49</v>
      </c>
      <c r="U785">
        <v>1</v>
      </c>
      <c r="V785">
        <v>0.5</v>
      </c>
      <c r="W785" s="4">
        <v>-15.615600000000001</v>
      </c>
    </row>
    <row r="786" spans="1:23" x14ac:dyDescent="0.3">
      <c r="A786">
        <v>785</v>
      </c>
      <c r="B786" t="s">
        <v>2465</v>
      </c>
      <c r="C786" s="3">
        <v>42073</v>
      </c>
      <c r="D786" s="7" t="str">
        <f t="shared" si="24"/>
        <v>March</v>
      </c>
      <c r="E786" s="3">
        <f t="shared" si="25"/>
        <v>42094</v>
      </c>
      <c r="F786" s="3">
        <v>42165</v>
      </c>
      <c r="G786" t="s">
        <v>23</v>
      </c>
      <c r="H786" t="s">
        <v>2466</v>
      </c>
      <c r="I786" t="s">
        <v>2467</v>
      </c>
      <c r="J786" t="s">
        <v>26</v>
      </c>
      <c r="K786" t="s">
        <v>27</v>
      </c>
      <c r="L786" t="s">
        <v>497</v>
      </c>
      <c r="M786" t="s">
        <v>498</v>
      </c>
      <c r="N786">
        <v>43229</v>
      </c>
      <c r="O786" t="s">
        <v>148</v>
      </c>
      <c r="P786" t="s">
        <v>2470</v>
      </c>
      <c r="Q786" t="s">
        <v>71</v>
      </c>
      <c r="R786" t="s">
        <v>161</v>
      </c>
      <c r="S786" t="s">
        <v>2471</v>
      </c>
      <c r="T786" s="4">
        <v>47.984000000000002</v>
      </c>
      <c r="U786">
        <v>2</v>
      </c>
      <c r="V786">
        <v>0.2</v>
      </c>
      <c r="W786" s="4">
        <v>0.5998</v>
      </c>
    </row>
    <row r="787" spans="1:23" x14ac:dyDescent="0.3">
      <c r="A787">
        <v>786</v>
      </c>
      <c r="B787" t="s">
        <v>2472</v>
      </c>
      <c r="C787" s="3">
        <v>42679</v>
      </c>
      <c r="D787" s="7" t="str">
        <f t="shared" si="24"/>
        <v>November</v>
      </c>
      <c r="E787" s="3">
        <f t="shared" si="25"/>
        <v>42704</v>
      </c>
      <c r="F787" s="3">
        <v>42830</v>
      </c>
      <c r="G787" t="s">
        <v>50</v>
      </c>
      <c r="H787" t="s">
        <v>897</v>
      </c>
      <c r="I787" t="s">
        <v>898</v>
      </c>
      <c r="J787" t="s">
        <v>41</v>
      </c>
      <c r="K787" t="s">
        <v>27</v>
      </c>
      <c r="L787" t="s">
        <v>382</v>
      </c>
      <c r="M787" t="s">
        <v>383</v>
      </c>
      <c r="N787">
        <v>29203</v>
      </c>
      <c r="O787" t="s">
        <v>30</v>
      </c>
      <c r="P787" t="s">
        <v>2473</v>
      </c>
      <c r="Q787" t="s">
        <v>46</v>
      </c>
      <c r="R787" t="s">
        <v>173</v>
      </c>
      <c r="S787" t="s">
        <v>2474</v>
      </c>
      <c r="T787" s="4">
        <v>186.69</v>
      </c>
      <c r="U787">
        <v>3</v>
      </c>
      <c r="V787">
        <v>0</v>
      </c>
      <c r="W787" s="4">
        <v>87.744299999999996</v>
      </c>
    </row>
    <row r="788" spans="1:23" x14ac:dyDescent="0.3">
      <c r="A788">
        <v>787</v>
      </c>
      <c r="B788" t="s">
        <v>2475</v>
      </c>
      <c r="C788" s="3">
        <v>43223</v>
      </c>
      <c r="D788" s="7" t="str">
        <f t="shared" si="24"/>
        <v>May</v>
      </c>
      <c r="E788" s="3">
        <f t="shared" si="25"/>
        <v>43251</v>
      </c>
      <c r="F788" s="3">
        <v>43346</v>
      </c>
      <c r="G788" t="s">
        <v>23</v>
      </c>
      <c r="H788" t="s">
        <v>486</v>
      </c>
      <c r="I788" t="s">
        <v>487</v>
      </c>
      <c r="J788" t="s">
        <v>26</v>
      </c>
      <c r="K788" t="s">
        <v>27</v>
      </c>
      <c r="L788" t="s">
        <v>2476</v>
      </c>
      <c r="M788" t="s">
        <v>43</v>
      </c>
      <c r="N788">
        <v>93534</v>
      </c>
      <c r="O788" t="s">
        <v>44</v>
      </c>
      <c r="P788" t="s">
        <v>2477</v>
      </c>
      <c r="Q788" t="s">
        <v>46</v>
      </c>
      <c r="R788" t="s">
        <v>75</v>
      </c>
      <c r="S788" t="s">
        <v>2478</v>
      </c>
      <c r="T788" s="4">
        <v>17.456</v>
      </c>
      <c r="U788">
        <v>2</v>
      </c>
      <c r="V788">
        <v>0.2</v>
      </c>
      <c r="W788" s="4">
        <v>5.8914</v>
      </c>
    </row>
    <row r="789" spans="1:23" x14ac:dyDescent="0.3">
      <c r="A789">
        <v>788</v>
      </c>
      <c r="B789" t="s">
        <v>2479</v>
      </c>
      <c r="C789" s="3">
        <v>42350</v>
      </c>
      <c r="D789" s="7" t="str">
        <f t="shared" si="24"/>
        <v>December</v>
      </c>
      <c r="E789" s="3">
        <f t="shared" si="25"/>
        <v>42369</v>
      </c>
      <c r="F789" s="3">
        <v>42472</v>
      </c>
      <c r="G789" t="s">
        <v>50</v>
      </c>
      <c r="H789" t="s">
        <v>2480</v>
      </c>
      <c r="I789" t="s">
        <v>2481</v>
      </c>
      <c r="J789" t="s">
        <v>26</v>
      </c>
      <c r="K789" t="s">
        <v>27</v>
      </c>
      <c r="L789" t="s">
        <v>2476</v>
      </c>
      <c r="M789" t="s">
        <v>43</v>
      </c>
      <c r="N789">
        <v>93534</v>
      </c>
      <c r="O789" t="s">
        <v>44</v>
      </c>
      <c r="P789" t="s">
        <v>2482</v>
      </c>
      <c r="Q789" t="s">
        <v>32</v>
      </c>
      <c r="R789" t="s">
        <v>36</v>
      </c>
      <c r="S789" t="s">
        <v>2483</v>
      </c>
      <c r="T789" s="4">
        <v>348.928</v>
      </c>
      <c r="U789">
        <v>2</v>
      </c>
      <c r="V789">
        <v>0.2</v>
      </c>
      <c r="W789" s="4">
        <v>34.892800000000001</v>
      </c>
    </row>
    <row r="790" spans="1:23" x14ac:dyDescent="0.3">
      <c r="A790">
        <v>789</v>
      </c>
      <c r="B790" t="s">
        <v>2484</v>
      </c>
      <c r="C790" s="3">
        <v>42772</v>
      </c>
      <c r="D790" s="7" t="str">
        <f t="shared" si="24"/>
        <v>February</v>
      </c>
      <c r="E790" s="3">
        <f t="shared" si="25"/>
        <v>42794</v>
      </c>
      <c r="F790" s="3">
        <v>42892</v>
      </c>
      <c r="G790" t="s">
        <v>50</v>
      </c>
      <c r="H790" t="s">
        <v>1679</v>
      </c>
      <c r="I790" t="s">
        <v>1680</v>
      </c>
      <c r="J790" t="s">
        <v>26</v>
      </c>
      <c r="K790" t="s">
        <v>27</v>
      </c>
      <c r="L790" t="s">
        <v>1469</v>
      </c>
      <c r="M790" t="s">
        <v>319</v>
      </c>
      <c r="N790">
        <v>23223</v>
      </c>
      <c r="O790" t="s">
        <v>30</v>
      </c>
      <c r="P790" t="s">
        <v>1499</v>
      </c>
      <c r="Q790" t="s">
        <v>46</v>
      </c>
      <c r="R790" t="s">
        <v>75</v>
      </c>
      <c r="S790" t="s">
        <v>1500</v>
      </c>
      <c r="T790" s="4">
        <v>143.96</v>
      </c>
      <c r="U790">
        <v>4</v>
      </c>
      <c r="V790">
        <v>0</v>
      </c>
      <c r="W790" s="4">
        <v>69.100800000000007</v>
      </c>
    </row>
    <row r="791" spans="1:23" x14ac:dyDescent="0.3">
      <c r="A791">
        <v>790</v>
      </c>
      <c r="B791" t="s">
        <v>2484</v>
      </c>
      <c r="C791" s="3">
        <v>42772</v>
      </c>
      <c r="D791" s="7" t="str">
        <f t="shared" si="24"/>
        <v>February</v>
      </c>
      <c r="E791" s="3">
        <f t="shared" si="25"/>
        <v>42794</v>
      </c>
      <c r="F791" s="3">
        <v>42892</v>
      </c>
      <c r="G791" t="s">
        <v>50</v>
      </c>
      <c r="H791" t="s">
        <v>1679</v>
      </c>
      <c r="I791" t="s">
        <v>1680</v>
      </c>
      <c r="J791" t="s">
        <v>26</v>
      </c>
      <c r="K791" t="s">
        <v>27</v>
      </c>
      <c r="L791" t="s">
        <v>1469</v>
      </c>
      <c r="M791" t="s">
        <v>319</v>
      </c>
      <c r="N791">
        <v>23223</v>
      </c>
      <c r="O791" t="s">
        <v>30</v>
      </c>
      <c r="P791" t="s">
        <v>1640</v>
      </c>
      <c r="Q791" t="s">
        <v>46</v>
      </c>
      <c r="R791" t="s">
        <v>59</v>
      </c>
      <c r="S791" t="s">
        <v>1641</v>
      </c>
      <c r="T791" s="4">
        <v>15.42</v>
      </c>
      <c r="U791">
        <v>1</v>
      </c>
      <c r="V791">
        <v>0</v>
      </c>
      <c r="W791" s="4">
        <v>4.1634000000000002</v>
      </c>
    </row>
    <row r="792" spans="1:23" x14ac:dyDescent="0.3">
      <c r="A792">
        <v>791</v>
      </c>
      <c r="B792" t="s">
        <v>2484</v>
      </c>
      <c r="C792" s="3">
        <v>42772</v>
      </c>
      <c r="D792" s="7" t="str">
        <f t="shared" si="24"/>
        <v>February</v>
      </c>
      <c r="E792" s="3">
        <f t="shared" si="25"/>
        <v>42794</v>
      </c>
      <c r="F792" s="3">
        <v>42892</v>
      </c>
      <c r="G792" t="s">
        <v>50</v>
      </c>
      <c r="H792" t="s">
        <v>1679</v>
      </c>
      <c r="I792" t="s">
        <v>1680</v>
      </c>
      <c r="J792" t="s">
        <v>26</v>
      </c>
      <c r="K792" t="s">
        <v>27</v>
      </c>
      <c r="L792" t="s">
        <v>1469</v>
      </c>
      <c r="M792" t="s">
        <v>319</v>
      </c>
      <c r="N792">
        <v>23223</v>
      </c>
      <c r="O792" t="s">
        <v>30</v>
      </c>
      <c r="P792" t="s">
        <v>2485</v>
      </c>
      <c r="Q792" t="s">
        <v>46</v>
      </c>
      <c r="R792" t="s">
        <v>75</v>
      </c>
      <c r="S792" t="s">
        <v>2486</v>
      </c>
      <c r="T792" s="4">
        <v>43.04</v>
      </c>
      <c r="U792">
        <v>8</v>
      </c>
      <c r="V792">
        <v>0</v>
      </c>
      <c r="W792" s="4">
        <v>21.089600000000001</v>
      </c>
    </row>
    <row r="793" spans="1:23" x14ac:dyDescent="0.3">
      <c r="A793">
        <v>792</v>
      </c>
      <c r="B793" t="s">
        <v>2484</v>
      </c>
      <c r="C793" s="3">
        <v>42772</v>
      </c>
      <c r="D793" s="7" t="str">
        <f t="shared" si="24"/>
        <v>February</v>
      </c>
      <c r="E793" s="3">
        <f t="shared" si="25"/>
        <v>42794</v>
      </c>
      <c r="F793" s="3">
        <v>42892</v>
      </c>
      <c r="G793" t="s">
        <v>50</v>
      </c>
      <c r="H793" t="s">
        <v>1679</v>
      </c>
      <c r="I793" t="s">
        <v>1680</v>
      </c>
      <c r="J793" t="s">
        <v>26</v>
      </c>
      <c r="K793" t="s">
        <v>27</v>
      </c>
      <c r="L793" t="s">
        <v>1469</v>
      </c>
      <c r="M793" t="s">
        <v>319</v>
      </c>
      <c r="N793">
        <v>23223</v>
      </c>
      <c r="O793" t="s">
        <v>30</v>
      </c>
      <c r="P793" t="s">
        <v>2487</v>
      </c>
      <c r="Q793" t="s">
        <v>32</v>
      </c>
      <c r="R793" t="s">
        <v>36</v>
      </c>
      <c r="S793" t="s">
        <v>2488</v>
      </c>
      <c r="T793" s="4">
        <v>332.94</v>
      </c>
      <c r="U793">
        <v>3</v>
      </c>
      <c r="V793">
        <v>0</v>
      </c>
      <c r="W793" s="4">
        <v>79.905600000000007</v>
      </c>
    </row>
    <row r="794" spans="1:23" x14ac:dyDescent="0.3">
      <c r="A794">
        <v>793</v>
      </c>
      <c r="B794" t="s">
        <v>2489</v>
      </c>
      <c r="C794" s="3">
        <v>42952</v>
      </c>
      <c r="D794" s="7" t="str">
        <f t="shared" si="24"/>
        <v>August</v>
      </c>
      <c r="E794" s="3">
        <f t="shared" si="25"/>
        <v>42978</v>
      </c>
      <c r="F794" s="3">
        <v>42952</v>
      </c>
      <c r="G794" t="s">
        <v>1293</v>
      </c>
      <c r="H794" t="s">
        <v>2490</v>
      </c>
      <c r="I794" t="s">
        <v>2491</v>
      </c>
      <c r="J794" t="s">
        <v>26</v>
      </c>
      <c r="K794" t="s">
        <v>27</v>
      </c>
      <c r="L794" t="s">
        <v>2492</v>
      </c>
      <c r="M794" t="s">
        <v>88</v>
      </c>
      <c r="N794">
        <v>28806</v>
      </c>
      <c r="O794" t="s">
        <v>30</v>
      </c>
      <c r="P794" t="s">
        <v>2493</v>
      </c>
      <c r="Q794" t="s">
        <v>71</v>
      </c>
      <c r="R794" t="s">
        <v>72</v>
      </c>
      <c r="S794" t="s">
        <v>2494</v>
      </c>
      <c r="T794" s="4">
        <v>1363.96</v>
      </c>
      <c r="U794">
        <v>5</v>
      </c>
      <c r="V794">
        <v>0.2</v>
      </c>
      <c r="W794" s="4">
        <v>85.247500000000002</v>
      </c>
    </row>
    <row r="795" spans="1:23" x14ac:dyDescent="0.3">
      <c r="A795">
        <v>794</v>
      </c>
      <c r="B795" t="s">
        <v>2495</v>
      </c>
      <c r="C795" s="3">
        <v>42225</v>
      </c>
      <c r="D795" s="7" t="str">
        <f t="shared" si="24"/>
        <v>August</v>
      </c>
      <c r="E795" s="3">
        <f t="shared" si="25"/>
        <v>42247</v>
      </c>
      <c r="F795" s="3">
        <v>42409</v>
      </c>
      <c r="G795" t="s">
        <v>50</v>
      </c>
      <c r="H795" t="s">
        <v>2496</v>
      </c>
      <c r="I795" t="s">
        <v>2497</v>
      </c>
      <c r="J795" t="s">
        <v>26</v>
      </c>
      <c r="K795" t="s">
        <v>27</v>
      </c>
      <c r="L795" t="s">
        <v>127</v>
      </c>
      <c r="M795" t="s">
        <v>43</v>
      </c>
      <c r="N795">
        <v>94110</v>
      </c>
      <c r="O795" t="s">
        <v>44</v>
      </c>
      <c r="P795" t="s">
        <v>2498</v>
      </c>
      <c r="Q795" t="s">
        <v>46</v>
      </c>
      <c r="R795" t="s">
        <v>47</v>
      </c>
      <c r="S795" t="s">
        <v>2499</v>
      </c>
      <c r="T795" s="4">
        <v>9.9600000000000009</v>
      </c>
      <c r="U795">
        <v>2</v>
      </c>
      <c r="V795">
        <v>0</v>
      </c>
      <c r="W795" s="4">
        <v>4.5815999999999999</v>
      </c>
    </row>
    <row r="796" spans="1:23" x14ac:dyDescent="0.3">
      <c r="A796">
        <v>795</v>
      </c>
      <c r="B796" t="s">
        <v>2495</v>
      </c>
      <c r="C796" s="3">
        <v>42225</v>
      </c>
      <c r="D796" s="7" t="str">
        <f t="shared" si="24"/>
        <v>August</v>
      </c>
      <c r="E796" s="3">
        <f t="shared" si="25"/>
        <v>42247</v>
      </c>
      <c r="F796" s="3">
        <v>42409</v>
      </c>
      <c r="G796" t="s">
        <v>50</v>
      </c>
      <c r="H796" t="s">
        <v>2496</v>
      </c>
      <c r="I796" t="s">
        <v>2497</v>
      </c>
      <c r="J796" t="s">
        <v>26</v>
      </c>
      <c r="K796" t="s">
        <v>27</v>
      </c>
      <c r="L796" t="s">
        <v>127</v>
      </c>
      <c r="M796" t="s">
        <v>43</v>
      </c>
      <c r="N796">
        <v>94110</v>
      </c>
      <c r="O796" t="s">
        <v>44</v>
      </c>
      <c r="P796" t="s">
        <v>1439</v>
      </c>
      <c r="Q796" t="s">
        <v>46</v>
      </c>
      <c r="R796" t="s">
        <v>90</v>
      </c>
      <c r="S796" t="s">
        <v>1440</v>
      </c>
      <c r="T796" s="4">
        <v>21.72</v>
      </c>
      <c r="U796">
        <v>4</v>
      </c>
      <c r="V796">
        <v>0</v>
      </c>
      <c r="W796" s="4">
        <v>10.642799999999999</v>
      </c>
    </row>
    <row r="797" spans="1:23" x14ac:dyDescent="0.3">
      <c r="A797">
        <v>796</v>
      </c>
      <c r="B797" t="s">
        <v>2500</v>
      </c>
      <c r="C797" s="3">
        <v>43352</v>
      </c>
      <c r="D797" s="7" t="str">
        <f t="shared" si="24"/>
        <v>September</v>
      </c>
      <c r="E797" s="3">
        <f t="shared" si="25"/>
        <v>43373</v>
      </c>
      <c r="F797" s="3">
        <v>43505</v>
      </c>
      <c r="G797" t="s">
        <v>50</v>
      </c>
      <c r="H797" t="s">
        <v>2501</v>
      </c>
      <c r="I797" t="s">
        <v>2502</v>
      </c>
      <c r="J797" t="s">
        <v>26</v>
      </c>
      <c r="K797" t="s">
        <v>27</v>
      </c>
      <c r="L797" t="s">
        <v>389</v>
      </c>
      <c r="M797" t="s">
        <v>229</v>
      </c>
      <c r="N797">
        <v>55901</v>
      </c>
      <c r="O797" t="s">
        <v>105</v>
      </c>
      <c r="P797" t="s">
        <v>2396</v>
      </c>
      <c r="Q797" t="s">
        <v>46</v>
      </c>
      <c r="R797" t="s">
        <v>75</v>
      </c>
      <c r="S797" t="s">
        <v>2397</v>
      </c>
      <c r="T797" s="4">
        <v>20.16</v>
      </c>
      <c r="U797">
        <v>7</v>
      </c>
      <c r="V797">
        <v>0</v>
      </c>
      <c r="W797" s="4">
        <v>9.8783999999999992</v>
      </c>
    </row>
    <row r="798" spans="1:23" x14ac:dyDescent="0.3">
      <c r="A798">
        <v>797</v>
      </c>
      <c r="B798" t="s">
        <v>2503</v>
      </c>
      <c r="C798" s="3">
        <v>42716</v>
      </c>
      <c r="D798" s="7" t="str">
        <f t="shared" si="24"/>
        <v>December</v>
      </c>
      <c r="E798" s="3">
        <f t="shared" si="25"/>
        <v>42735</v>
      </c>
      <c r="F798" s="3">
        <v>42778</v>
      </c>
      <c r="G798" t="s">
        <v>188</v>
      </c>
      <c r="H798" t="s">
        <v>912</v>
      </c>
      <c r="I798" t="s">
        <v>913</v>
      </c>
      <c r="J798" t="s">
        <v>41</v>
      </c>
      <c r="K798" t="s">
        <v>27</v>
      </c>
      <c r="L798" t="s">
        <v>389</v>
      </c>
      <c r="M798" t="s">
        <v>267</v>
      </c>
      <c r="N798">
        <v>14609</v>
      </c>
      <c r="O798" t="s">
        <v>148</v>
      </c>
      <c r="P798" t="s">
        <v>2504</v>
      </c>
      <c r="Q798" t="s">
        <v>46</v>
      </c>
      <c r="R798" t="s">
        <v>90</v>
      </c>
      <c r="S798" t="s">
        <v>2505</v>
      </c>
      <c r="T798" s="4">
        <v>132.79</v>
      </c>
      <c r="U798">
        <v>7</v>
      </c>
      <c r="V798">
        <v>0</v>
      </c>
      <c r="W798" s="4">
        <v>63.739199999999997</v>
      </c>
    </row>
    <row r="799" spans="1:23" x14ac:dyDescent="0.3">
      <c r="A799">
        <v>798</v>
      </c>
      <c r="B799" t="s">
        <v>2503</v>
      </c>
      <c r="C799" s="3">
        <v>42716</v>
      </c>
      <c r="D799" s="7" t="str">
        <f t="shared" si="24"/>
        <v>December</v>
      </c>
      <c r="E799" s="3">
        <f t="shared" si="25"/>
        <v>42735</v>
      </c>
      <c r="F799" s="3">
        <v>42778</v>
      </c>
      <c r="G799" t="s">
        <v>188</v>
      </c>
      <c r="H799" t="s">
        <v>912</v>
      </c>
      <c r="I799" t="s">
        <v>913</v>
      </c>
      <c r="J799" t="s">
        <v>41</v>
      </c>
      <c r="K799" t="s">
        <v>27</v>
      </c>
      <c r="L799" t="s">
        <v>389</v>
      </c>
      <c r="M799" t="s">
        <v>267</v>
      </c>
      <c r="N799">
        <v>14609</v>
      </c>
      <c r="O799" t="s">
        <v>148</v>
      </c>
      <c r="P799" t="s">
        <v>89</v>
      </c>
      <c r="Q799" t="s">
        <v>46</v>
      </c>
      <c r="R799" t="s">
        <v>90</v>
      </c>
      <c r="S799" t="s">
        <v>91</v>
      </c>
      <c r="T799" s="4">
        <v>12.96</v>
      </c>
      <c r="U799">
        <v>2</v>
      </c>
      <c r="V799">
        <v>0</v>
      </c>
      <c r="W799" s="4">
        <v>6.2207999999999997</v>
      </c>
    </row>
    <row r="800" spans="1:23" x14ac:dyDescent="0.3">
      <c r="A800">
        <v>799</v>
      </c>
      <c r="B800" t="s">
        <v>2503</v>
      </c>
      <c r="C800" s="3">
        <v>42716</v>
      </c>
      <c r="D800" s="7" t="str">
        <f t="shared" si="24"/>
        <v>December</v>
      </c>
      <c r="E800" s="3">
        <f t="shared" si="25"/>
        <v>42735</v>
      </c>
      <c r="F800" s="3">
        <v>42778</v>
      </c>
      <c r="G800" t="s">
        <v>188</v>
      </c>
      <c r="H800" t="s">
        <v>912</v>
      </c>
      <c r="I800" t="s">
        <v>913</v>
      </c>
      <c r="J800" t="s">
        <v>41</v>
      </c>
      <c r="K800" t="s">
        <v>27</v>
      </c>
      <c r="L800" t="s">
        <v>389</v>
      </c>
      <c r="M800" t="s">
        <v>267</v>
      </c>
      <c r="N800">
        <v>14609</v>
      </c>
      <c r="O800" t="s">
        <v>148</v>
      </c>
      <c r="P800" t="s">
        <v>2506</v>
      </c>
      <c r="Q800" t="s">
        <v>46</v>
      </c>
      <c r="R800" t="s">
        <v>47</v>
      </c>
      <c r="S800" t="s">
        <v>2507</v>
      </c>
      <c r="T800" s="4">
        <v>21.56</v>
      </c>
      <c r="U800">
        <v>7</v>
      </c>
      <c r="V800">
        <v>0</v>
      </c>
      <c r="W800" s="4">
        <v>10.348800000000001</v>
      </c>
    </row>
    <row r="801" spans="1:23" x14ac:dyDescent="0.3">
      <c r="A801">
        <v>800</v>
      </c>
      <c r="B801" t="s">
        <v>2508</v>
      </c>
      <c r="C801" s="3">
        <v>42805</v>
      </c>
      <c r="D801" s="7" t="str">
        <f t="shared" si="24"/>
        <v>March</v>
      </c>
      <c r="E801" s="3">
        <f t="shared" si="25"/>
        <v>42825</v>
      </c>
      <c r="F801" s="3">
        <v>42075</v>
      </c>
      <c r="G801" t="s">
        <v>50</v>
      </c>
      <c r="H801" t="s">
        <v>2509</v>
      </c>
      <c r="I801" t="s">
        <v>2510</v>
      </c>
      <c r="J801" t="s">
        <v>26</v>
      </c>
      <c r="K801" t="s">
        <v>27</v>
      </c>
      <c r="L801" t="s">
        <v>2511</v>
      </c>
      <c r="M801" t="s">
        <v>43</v>
      </c>
      <c r="N801">
        <v>92530</v>
      </c>
      <c r="O801" t="s">
        <v>44</v>
      </c>
      <c r="P801" t="s">
        <v>1844</v>
      </c>
      <c r="Q801" t="s">
        <v>32</v>
      </c>
      <c r="R801" t="s">
        <v>36</v>
      </c>
      <c r="S801" t="s">
        <v>1845</v>
      </c>
      <c r="T801" s="4">
        <v>283.92</v>
      </c>
      <c r="U801">
        <v>5</v>
      </c>
      <c r="V801">
        <v>0.2</v>
      </c>
      <c r="W801" s="4">
        <v>17.745000000000001</v>
      </c>
    </row>
    <row r="802" spans="1:23" x14ac:dyDescent="0.3">
      <c r="A802">
        <v>801</v>
      </c>
      <c r="B802" t="s">
        <v>2512</v>
      </c>
      <c r="C802" s="3">
        <v>43314</v>
      </c>
      <c r="D802" s="7" t="str">
        <f t="shared" si="24"/>
        <v>August</v>
      </c>
      <c r="E802" s="3">
        <f t="shared" si="25"/>
        <v>43343</v>
      </c>
      <c r="F802" s="3">
        <v>43406</v>
      </c>
      <c r="G802" t="s">
        <v>188</v>
      </c>
      <c r="H802" t="s">
        <v>2513</v>
      </c>
      <c r="I802" t="s">
        <v>2514</v>
      </c>
      <c r="J802" t="s">
        <v>41</v>
      </c>
      <c r="K802" t="s">
        <v>27</v>
      </c>
      <c r="L802" t="s">
        <v>950</v>
      </c>
      <c r="M802" t="s">
        <v>43</v>
      </c>
      <c r="N802">
        <v>92105</v>
      </c>
      <c r="O802" t="s">
        <v>44</v>
      </c>
      <c r="P802" t="s">
        <v>2515</v>
      </c>
      <c r="Q802" t="s">
        <v>32</v>
      </c>
      <c r="R802" t="s">
        <v>65</v>
      </c>
      <c r="S802" t="s">
        <v>2516</v>
      </c>
      <c r="T802" s="4">
        <v>22.23</v>
      </c>
      <c r="U802">
        <v>1</v>
      </c>
      <c r="V802">
        <v>0</v>
      </c>
      <c r="W802" s="4">
        <v>7.3358999999999996</v>
      </c>
    </row>
    <row r="803" spans="1:23" x14ac:dyDescent="0.3">
      <c r="A803">
        <v>802</v>
      </c>
      <c r="B803" t="s">
        <v>2512</v>
      </c>
      <c r="C803" s="3">
        <v>43314</v>
      </c>
      <c r="D803" s="7" t="str">
        <f t="shared" si="24"/>
        <v>August</v>
      </c>
      <c r="E803" s="3">
        <f t="shared" si="25"/>
        <v>43343</v>
      </c>
      <c r="F803" s="3">
        <v>43406</v>
      </c>
      <c r="G803" t="s">
        <v>188</v>
      </c>
      <c r="H803" t="s">
        <v>2513</v>
      </c>
      <c r="I803" t="s">
        <v>2514</v>
      </c>
      <c r="J803" t="s">
        <v>41</v>
      </c>
      <c r="K803" t="s">
        <v>27</v>
      </c>
      <c r="L803" t="s">
        <v>950</v>
      </c>
      <c r="M803" t="s">
        <v>43</v>
      </c>
      <c r="N803">
        <v>92105</v>
      </c>
      <c r="O803" t="s">
        <v>44</v>
      </c>
      <c r="P803" t="s">
        <v>965</v>
      </c>
      <c r="Q803" t="s">
        <v>71</v>
      </c>
      <c r="R803" t="s">
        <v>72</v>
      </c>
      <c r="S803" t="s">
        <v>966</v>
      </c>
      <c r="T803" s="4">
        <v>215.96799999999999</v>
      </c>
      <c r="U803">
        <v>2</v>
      </c>
      <c r="V803">
        <v>0.2</v>
      </c>
      <c r="W803" s="4">
        <v>18.897200000000002</v>
      </c>
    </row>
    <row r="804" spans="1:23" x14ac:dyDescent="0.3">
      <c r="A804">
        <v>803</v>
      </c>
      <c r="B804" t="s">
        <v>2517</v>
      </c>
      <c r="C804" s="3">
        <v>42894</v>
      </c>
      <c r="D804" s="7" t="str">
        <f t="shared" si="24"/>
        <v>June</v>
      </c>
      <c r="E804" s="3">
        <f t="shared" si="25"/>
        <v>42916</v>
      </c>
      <c r="F804" s="3">
        <v>43047</v>
      </c>
      <c r="G804" t="s">
        <v>23</v>
      </c>
      <c r="H804" t="s">
        <v>2513</v>
      </c>
      <c r="I804" t="s">
        <v>2514</v>
      </c>
      <c r="J804" t="s">
        <v>41</v>
      </c>
      <c r="K804" t="s">
        <v>27</v>
      </c>
      <c r="L804" t="s">
        <v>266</v>
      </c>
      <c r="M804" t="s">
        <v>267</v>
      </c>
      <c r="N804">
        <v>10024</v>
      </c>
      <c r="O804" t="s">
        <v>148</v>
      </c>
      <c r="P804" t="s">
        <v>2518</v>
      </c>
      <c r="Q804" t="s">
        <v>46</v>
      </c>
      <c r="R804" t="s">
        <v>78</v>
      </c>
      <c r="S804" t="s">
        <v>2519</v>
      </c>
      <c r="T804" s="4">
        <v>355.32</v>
      </c>
      <c r="U804">
        <v>9</v>
      </c>
      <c r="V804">
        <v>0</v>
      </c>
      <c r="W804" s="4">
        <v>99.489599999999996</v>
      </c>
    </row>
    <row r="805" spans="1:23" x14ac:dyDescent="0.3">
      <c r="A805">
        <v>804</v>
      </c>
      <c r="B805" t="s">
        <v>2520</v>
      </c>
      <c r="C805" s="3">
        <v>42707</v>
      </c>
      <c r="D805" s="7" t="str">
        <f t="shared" si="24"/>
        <v>December</v>
      </c>
      <c r="E805" s="3">
        <f t="shared" si="25"/>
        <v>42735</v>
      </c>
      <c r="F805" s="3">
        <v>42858</v>
      </c>
      <c r="G805" t="s">
        <v>50</v>
      </c>
      <c r="H805" t="s">
        <v>2521</v>
      </c>
      <c r="I805" t="s">
        <v>2522</v>
      </c>
      <c r="J805" t="s">
        <v>41</v>
      </c>
      <c r="K805" t="s">
        <v>27</v>
      </c>
      <c r="L805" t="s">
        <v>737</v>
      </c>
      <c r="M805" t="s">
        <v>738</v>
      </c>
      <c r="N805">
        <v>71203</v>
      </c>
      <c r="O805" t="s">
        <v>30</v>
      </c>
      <c r="P805" t="s">
        <v>2523</v>
      </c>
      <c r="Q805" t="s">
        <v>46</v>
      </c>
      <c r="R805" t="s">
        <v>90</v>
      </c>
      <c r="S805" t="s">
        <v>2524</v>
      </c>
      <c r="T805" s="4">
        <v>12.96</v>
      </c>
      <c r="U805">
        <v>2</v>
      </c>
      <c r="V805">
        <v>0</v>
      </c>
      <c r="W805" s="4">
        <v>6.2207999999999997</v>
      </c>
    </row>
    <row r="806" spans="1:23" x14ac:dyDescent="0.3">
      <c r="A806">
        <v>805</v>
      </c>
      <c r="B806" t="s">
        <v>2525</v>
      </c>
      <c r="C806" s="3">
        <v>43377</v>
      </c>
      <c r="D806" s="7" t="str">
        <f t="shared" si="24"/>
        <v>October</v>
      </c>
      <c r="E806" s="3">
        <f t="shared" si="25"/>
        <v>43404</v>
      </c>
      <c r="F806" s="3">
        <v>43438</v>
      </c>
      <c r="G806" t="s">
        <v>188</v>
      </c>
      <c r="H806" t="s">
        <v>2526</v>
      </c>
      <c r="I806" t="s">
        <v>2527</v>
      </c>
      <c r="J806" t="s">
        <v>26</v>
      </c>
      <c r="K806" t="s">
        <v>27</v>
      </c>
      <c r="L806" t="s">
        <v>127</v>
      </c>
      <c r="M806" t="s">
        <v>43</v>
      </c>
      <c r="N806">
        <v>94122</v>
      </c>
      <c r="O806" t="s">
        <v>44</v>
      </c>
      <c r="P806" t="s">
        <v>2528</v>
      </c>
      <c r="Q806" t="s">
        <v>32</v>
      </c>
      <c r="R806" t="s">
        <v>65</v>
      </c>
      <c r="S806" t="s">
        <v>2529</v>
      </c>
      <c r="T806" s="4">
        <v>18.28</v>
      </c>
      <c r="U806">
        <v>2</v>
      </c>
      <c r="V806">
        <v>0</v>
      </c>
      <c r="W806" s="4">
        <v>6.2152000000000003</v>
      </c>
    </row>
    <row r="807" spans="1:23" x14ac:dyDescent="0.3">
      <c r="A807">
        <v>806</v>
      </c>
      <c r="B807" t="s">
        <v>2530</v>
      </c>
      <c r="C807" s="3">
        <v>41650</v>
      </c>
      <c r="D807" s="7" t="str">
        <f t="shared" si="24"/>
        <v>January</v>
      </c>
      <c r="E807" s="3">
        <f t="shared" si="25"/>
        <v>41670</v>
      </c>
      <c r="F807" s="3">
        <v>41831</v>
      </c>
      <c r="G807" t="s">
        <v>50</v>
      </c>
      <c r="H807" t="s">
        <v>1333</v>
      </c>
      <c r="I807" t="s">
        <v>1334</v>
      </c>
      <c r="J807" t="s">
        <v>26</v>
      </c>
      <c r="K807" t="s">
        <v>27</v>
      </c>
      <c r="L807" t="s">
        <v>809</v>
      </c>
      <c r="M807" t="s">
        <v>457</v>
      </c>
      <c r="N807">
        <v>80219</v>
      </c>
      <c r="O807" t="s">
        <v>44</v>
      </c>
      <c r="P807" t="s">
        <v>2531</v>
      </c>
      <c r="Q807" t="s">
        <v>46</v>
      </c>
      <c r="R807" t="s">
        <v>68</v>
      </c>
      <c r="S807" t="s">
        <v>2532</v>
      </c>
      <c r="T807" s="4">
        <v>43.176000000000002</v>
      </c>
      <c r="U807">
        <v>3</v>
      </c>
      <c r="V807">
        <v>0.2</v>
      </c>
      <c r="W807" s="4">
        <v>4.3175999999999997</v>
      </c>
    </row>
    <row r="808" spans="1:23" x14ac:dyDescent="0.3">
      <c r="A808">
        <v>807</v>
      </c>
      <c r="B808" t="s">
        <v>2530</v>
      </c>
      <c r="C808" s="3">
        <v>41650</v>
      </c>
      <c r="D808" s="7" t="str">
        <f t="shared" si="24"/>
        <v>January</v>
      </c>
      <c r="E808" s="3">
        <f t="shared" si="25"/>
        <v>41670</v>
      </c>
      <c r="F808" s="3">
        <v>41831</v>
      </c>
      <c r="G808" t="s">
        <v>50</v>
      </c>
      <c r="H808" t="s">
        <v>1333</v>
      </c>
      <c r="I808" t="s">
        <v>1334</v>
      </c>
      <c r="J808" t="s">
        <v>26</v>
      </c>
      <c r="K808" t="s">
        <v>27</v>
      </c>
      <c r="L808" t="s">
        <v>809</v>
      </c>
      <c r="M808" t="s">
        <v>457</v>
      </c>
      <c r="N808">
        <v>80219</v>
      </c>
      <c r="O808" t="s">
        <v>44</v>
      </c>
      <c r="P808" t="s">
        <v>2533</v>
      </c>
      <c r="Q808" t="s">
        <v>71</v>
      </c>
      <c r="R808" t="s">
        <v>72</v>
      </c>
      <c r="S808" t="s">
        <v>2534</v>
      </c>
      <c r="T808" s="4">
        <v>1983.9680000000001</v>
      </c>
      <c r="U808">
        <v>4</v>
      </c>
      <c r="V808">
        <v>0.2</v>
      </c>
      <c r="W808" s="4">
        <v>247.99600000000001</v>
      </c>
    </row>
    <row r="809" spans="1:23" x14ac:dyDescent="0.3">
      <c r="A809">
        <v>808</v>
      </c>
      <c r="B809" t="s">
        <v>2535</v>
      </c>
      <c r="C809" s="3">
        <v>42065</v>
      </c>
      <c r="D809" s="7" t="str">
        <f t="shared" si="24"/>
        <v>March</v>
      </c>
      <c r="E809" s="3">
        <f t="shared" si="25"/>
        <v>42094</v>
      </c>
      <c r="F809" s="3">
        <v>42126</v>
      </c>
      <c r="G809" t="s">
        <v>188</v>
      </c>
      <c r="H809" t="s">
        <v>1826</v>
      </c>
      <c r="I809" t="s">
        <v>1827</v>
      </c>
      <c r="J809" t="s">
        <v>26</v>
      </c>
      <c r="K809" t="s">
        <v>27</v>
      </c>
      <c r="L809" t="s">
        <v>2536</v>
      </c>
      <c r="M809" t="s">
        <v>138</v>
      </c>
      <c r="N809">
        <v>68104</v>
      </c>
      <c r="O809" t="s">
        <v>105</v>
      </c>
      <c r="P809" t="s">
        <v>1497</v>
      </c>
      <c r="Q809" t="s">
        <v>32</v>
      </c>
      <c r="R809" t="s">
        <v>65</v>
      </c>
      <c r="S809" t="s">
        <v>1498</v>
      </c>
      <c r="T809" s="4">
        <v>28.4</v>
      </c>
      <c r="U809">
        <v>2</v>
      </c>
      <c r="V809">
        <v>0</v>
      </c>
      <c r="W809" s="4">
        <v>11.076000000000001</v>
      </c>
    </row>
    <row r="810" spans="1:23" x14ac:dyDescent="0.3">
      <c r="A810">
        <v>809</v>
      </c>
      <c r="B810" t="s">
        <v>2535</v>
      </c>
      <c r="C810" s="3">
        <v>42065</v>
      </c>
      <c r="D810" s="7" t="str">
        <f t="shared" si="24"/>
        <v>March</v>
      </c>
      <c r="E810" s="3">
        <f t="shared" si="25"/>
        <v>42094</v>
      </c>
      <c r="F810" s="3">
        <v>42126</v>
      </c>
      <c r="G810" t="s">
        <v>188</v>
      </c>
      <c r="H810" t="s">
        <v>1826</v>
      </c>
      <c r="I810" t="s">
        <v>1827</v>
      </c>
      <c r="J810" t="s">
        <v>26</v>
      </c>
      <c r="K810" t="s">
        <v>27</v>
      </c>
      <c r="L810" t="s">
        <v>2536</v>
      </c>
      <c r="M810" t="s">
        <v>138</v>
      </c>
      <c r="N810">
        <v>68104</v>
      </c>
      <c r="O810" t="s">
        <v>105</v>
      </c>
      <c r="P810" t="s">
        <v>2537</v>
      </c>
      <c r="Q810" t="s">
        <v>71</v>
      </c>
      <c r="R810" t="s">
        <v>161</v>
      </c>
      <c r="S810" t="s">
        <v>2538</v>
      </c>
      <c r="T810" s="4">
        <v>149.97</v>
      </c>
      <c r="U810">
        <v>3</v>
      </c>
      <c r="V810">
        <v>0</v>
      </c>
      <c r="W810" s="4">
        <v>50.989800000000002</v>
      </c>
    </row>
    <row r="811" spans="1:23" x14ac:dyDescent="0.3">
      <c r="A811">
        <v>810</v>
      </c>
      <c r="B811" t="s">
        <v>2539</v>
      </c>
      <c r="C811" s="3">
        <v>42014</v>
      </c>
      <c r="D811" s="7" t="str">
        <f t="shared" si="24"/>
        <v>January</v>
      </c>
      <c r="E811" s="3">
        <f t="shared" si="25"/>
        <v>42035</v>
      </c>
      <c r="F811" s="3">
        <v>42073</v>
      </c>
      <c r="G811" t="s">
        <v>188</v>
      </c>
      <c r="H811" t="s">
        <v>1979</v>
      </c>
      <c r="I811" t="s">
        <v>1980</v>
      </c>
      <c r="J811" t="s">
        <v>26</v>
      </c>
      <c r="K811" t="s">
        <v>27</v>
      </c>
      <c r="L811" t="s">
        <v>2540</v>
      </c>
      <c r="M811" t="s">
        <v>96</v>
      </c>
      <c r="N811">
        <v>98026</v>
      </c>
      <c r="O811" t="s">
        <v>44</v>
      </c>
      <c r="P811" t="s">
        <v>2541</v>
      </c>
      <c r="Q811" t="s">
        <v>46</v>
      </c>
      <c r="R811" t="s">
        <v>68</v>
      </c>
      <c r="S811" t="s">
        <v>2542</v>
      </c>
      <c r="T811" s="4">
        <v>11.52</v>
      </c>
      <c r="U811">
        <v>4</v>
      </c>
      <c r="V811">
        <v>0</v>
      </c>
      <c r="W811" s="4">
        <v>3.2256</v>
      </c>
    </row>
    <row r="812" spans="1:23" x14ac:dyDescent="0.3">
      <c r="A812">
        <v>811</v>
      </c>
      <c r="B812" t="s">
        <v>2539</v>
      </c>
      <c r="C812" s="3">
        <v>42014</v>
      </c>
      <c r="D812" s="7" t="str">
        <f t="shared" si="24"/>
        <v>January</v>
      </c>
      <c r="E812" s="3">
        <f t="shared" si="25"/>
        <v>42035</v>
      </c>
      <c r="F812" s="3">
        <v>42073</v>
      </c>
      <c r="G812" t="s">
        <v>188</v>
      </c>
      <c r="H812" t="s">
        <v>1979</v>
      </c>
      <c r="I812" t="s">
        <v>1980</v>
      </c>
      <c r="J812" t="s">
        <v>26</v>
      </c>
      <c r="K812" t="s">
        <v>27</v>
      </c>
      <c r="L812" t="s">
        <v>2540</v>
      </c>
      <c r="M812" t="s">
        <v>96</v>
      </c>
      <c r="N812">
        <v>98026</v>
      </c>
      <c r="O812" t="s">
        <v>44</v>
      </c>
      <c r="P812" t="s">
        <v>1054</v>
      </c>
      <c r="Q812" t="s">
        <v>32</v>
      </c>
      <c r="R812" t="s">
        <v>56</v>
      </c>
      <c r="S812" t="s">
        <v>1055</v>
      </c>
      <c r="T812" s="4">
        <v>1298.55</v>
      </c>
      <c r="U812">
        <v>5</v>
      </c>
      <c r="V812">
        <v>0</v>
      </c>
      <c r="W812" s="4">
        <v>311.65199999999999</v>
      </c>
    </row>
    <row r="813" spans="1:23" x14ac:dyDescent="0.3">
      <c r="A813">
        <v>812</v>
      </c>
      <c r="B813" t="s">
        <v>2539</v>
      </c>
      <c r="C813" s="3">
        <v>42014</v>
      </c>
      <c r="D813" s="7" t="str">
        <f t="shared" si="24"/>
        <v>January</v>
      </c>
      <c r="E813" s="3">
        <f t="shared" si="25"/>
        <v>42035</v>
      </c>
      <c r="F813" s="3">
        <v>42073</v>
      </c>
      <c r="G813" t="s">
        <v>188</v>
      </c>
      <c r="H813" t="s">
        <v>1979</v>
      </c>
      <c r="I813" t="s">
        <v>1980</v>
      </c>
      <c r="J813" t="s">
        <v>26</v>
      </c>
      <c r="K813" t="s">
        <v>27</v>
      </c>
      <c r="L813" t="s">
        <v>2540</v>
      </c>
      <c r="M813" t="s">
        <v>96</v>
      </c>
      <c r="N813">
        <v>98026</v>
      </c>
      <c r="O813" t="s">
        <v>44</v>
      </c>
      <c r="P813" t="s">
        <v>2543</v>
      </c>
      <c r="Q813" t="s">
        <v>46</v>
      </c>
      <c r="R813" t="s">
        <v>78</v>
      </c>
      <c r="S813" t="s">
        <v>2544</v>
      </c>
      <c r="T813" s="4">
        <v>213.92</v>
      </c>
      <c r="U813">
        <v>4</v>
      </c>
      <c r="V813">
        <v>0</v>
      </c>
      <c r="W813" s="4">
        <v>62.036799999999999</v>
      </c>
    </row>
    <row r="814" spans="1:23" x14ac:dyDescent="0.3">
      <c r="A814">
        <v>813</v>
      </c>
      <c r="B814" t="s">
        <v>2539</v>
      </c>
      <c r="C814" s="3">
        <v>42014</v>
      </c>
      <c r="D814" s="7" t="str">
        <f t="shared" si="24"/>
        <v>January</v>
      </c>
      <c r="E814" s="3">
        <f t="shared" si="25"/>
        <v>42035</v>
      </c>
      <c r="F814" s="3">
        <v>42073</v>
      </c>
      <c r="G814" t="s">
        <v>188</v>
      </c>
      <c r="H814" t="s">
        <v>1979</v>
      </c>
      <c r="I814" t="s">
        <v>1980</v>
      </c>
      <c r="J814" t="s">
        <v>26</v>
      </c>
      <c r="K814" t="s">
        <v>27</v>
      </c>
      <c r="L814" t="s">
        <v>2540</v>
      </c>
      <c r="M814" t="s">
        <v>96</v>
      </c>
      <c r="N814">
        <v>98026</v>
      </c>
      <c r="O814" t="s">
        <v>44</v>
      </c>
      <c r="P814" t="s">
        <v>2154</v>
      </c>
      <c r="Q814" t="s">
        <v>71</v>
      </c>
      <c r="R814" t="s">
        <v>161</v>
      </c>
      <c r="S814" t="s">
        <v>2155</v>
      </c>
      <c r="T814" s="4">
        <v>25.78</v>
      </c>
      <c r="U814">
        <v>2</v>
      </c>
      <c r="V814">
        <v>0</v>
      </c>
      <c r="W814" s="4">
        <v>2.5779999999999998</v>
      </c>
    </row>
    <row r="815" spans="1:23" x14ac:dyDescent="0.3">
      <c r="A815">
        <v>814</v>
      </c>
      <c r="B815" t="s">
        <v>2545</v>
      </c>
      <c r="C815" s="3">
        <v>43136</v>
      </c>
      <c r="D815" s="7" t="str">
        <f t="shared" si="24"/>
        <v>February</v>
      </c>
      <c r="E815" s="3">
        <f t="shared" si="25"/>
        <v>43159</v>
      </c>
      <c r="F815" s="3">
        <v>43136</v>
      </c>
      <c r="G815" t="s">
        <v>1293</v>
      </c>
      <c r="H815" t="s">
        <v>2546</v>
      </c>
      <c r="I815" t="s">
        <v>2547</v>
      </c>
      <c r="J815" t="s">
        <v>26</v>
      </c>
      <c r="K815" t="s">
        <v>27</v>
      </c>
      <c r="L815" t="s">
        <v>2548</v>
      </c>
      <c r="M815" t="s">
        <v>43</v>
      </c>
      <c r="N815">
        <v>92704</v>
      </c>
      <c r="O815" t="s">
        <v>44</v>
      </c>
      <c r="P815" t="s">
        <v>2528</v>
      </c>
      <c r="Q815" t="s">
        <v>32</v>
      </c>
      <c r="R815" t="s">
        <v>65</v>
      </c>
      <c r="S815" t="s">
        <v>2529</v>
      </c>
      <c r="T815" s="4">
        <v>18.28</v>
      </c>
      <c r="U815">
        <v>2</v>
      </c>
      <c r="V815">
        <v>0</v>
      </c>
      <c r="W815" s="4">
        <v>6.2152000000000003</v>
      </c>
    </row>
    <row r="816" spans="1:23" x14ac:dyDescent="0.3">
      <c r="A816">
        <v>815</v>
      </c>
      <c r="B816" t="s">
        <v>2545</v>
      </c>
      <c r="C816" s="3">
        <v>43136</v>
      </c>
      <c r="D816" s="7" t="str">
        <f t="shared" si="24"/>
        <v>February</v>
      </c>
      <c r="E816" s="3">
        <f t="shared" si="25"/>
        <v>43159</v>
      </c>
      <c r="F816" s="3">
        <v>43136</v>
      </c>
      <c r="G816" t="s">
        <v>1293</v>
      </c>
      <c r="H816" t="s">
        <v>2546</v>
      </c>
      <c r="I816" t="s">
        <v>2547</v>
      </c>
      <c r="J816" t="s">
        <v>26</v>
      </c>
      <c r="K816" t="s">
        <v>27</v>
      </c>
      <c r="L816" t="s">
        <v>2548</v>
      </c>
      <c r="M816" t="s">
        <v>43</v>
      </c>
      <c r="N816">
        <v>92704</v>
      </c>
      <c r="O816" t="s">
        <v>44</v>
      </c>
      <c r="P816" t="s">
        <v>2549</v>
      </c>
      <c r="Q816" t="s">
        <v>71</v>
      </c>
      <c r="R816" t="s">
        <v>161</v>
      </c>
      <c r="S816" t="s">
        <v>2550</v>
      </c>
      <c r="T816" s="4">
        <v>1399.93</v>
      </c>
      <c r="U816">
        <v>7</v>
      </c>
      <c r="V816">
        <v>0</v>
      </c>
      <c r="W816" s="4">
        <v>601.96990000000005</v>
      </c>
    </row>
    <row r="817" spans="1:23" x14ac:dyDescent="0.3">
      <c r="A817">
        <v>816</v>
      </c>
      <c r="B817" t="s">
        <v>2551</v>
      </c>
      <c r="C817" s="3">
        <v>42585</v>
      </c>
      <c r="D817" s="7" t="str">
        <f t="shared" si="24"/>
        <v>August</v>
      </c>
      <c r="E817" s="3">
        <f t="shared" si="25"/>
        <v>42613</v>
      </c>
      <c r="F817" s="3">
        <v>42677</v>
      </c>
      <c r="G817" t="s">
        <v>188</v>
      </c>
      <c r="H817" t="s">
        <v>2552</v>
      </c>
      <c r="I817" t="s">
        <v>2553</v>
      </c>
      <c r="J817" t="s">
        <v>41</v>
      </c>
      <c r="K817" t="s">
        <v>27</v>
      </c>
      <c r="L817" t="s">
        <v>2554</v>
      </c>
      <c r="M817" t="s">
        <v>114</v>
      </c>
      <c r="N817">
        <v>53209</v>
      </c>
      <c r="O817" t="s">
        <v>105</v>
      </c>
      <c r="P817" t="s">
        <v>770</v>
      </c>
      <c r="Q817" t="s">
        <v>46</v>
      </c>
      <c r="R817" t="s">
        <v>90</v>
      </c>
      <c r="S817" t="s">
        <v>771</v>
      </c>
      <c r="T817" s="4">
        <v>51.84</v>
      </c>
      <c r="U817">
        <v>8</v>
      </c>
      <c r="V817">
        <v>0</v>
      </c>
      <c r="W817" s="4">
        <v>24.883199999999999</v>
      </c>
    </row>
    <row r="818" spans="1:23" x14ac:dyDescent="0.3">
      <c r="A818">
        <v>817</v>
      </c>
      <c r="B818" t="s">
        <v>2555</v>
      </c>
      <c r="C818" s="3">
        <v>42803</v>
      </c>
      <c r="D818" s="7" t="str">
        <f t="shared" si="24"/>
        <v>March</v>
      </c>
      <c r="E818" s="3">
        <f t="shared" si="25"/>
        <v>42825</v>
      </c>
      <c r="F818" s="3">
        <v>42925</v>
      </c>
      <c r="G818" t="s">
        <v>50</v>
      </c>
      <c r="H818" t="s">
        <v>1777</v>
      </c>
      <c r="I818" t="s">
        <v>1778</v>
      </c>
      <c r="J818" t="s">
        <v>26</v>
      </c>
      <c r="K818" t="s">
        <v>27</v>
      </c>
      <c r="L818" t="s">
        <v>146</v>
      </c>
      <c r="M818" t="s">
        <v>147</v>
      </c>
      <c r="N818">
        <v>19140</v>
      </c>
      <c r="O818" t="s">
        <v>148</v>
      </c>
      <c r="P818" t="s">
        <v>2556</v>
      </c>
      <c r="Q818" t="s">
        <v>46</v>
      </c>
      <c r="R818" t="s">
        <v>90</v>
      </c>
      <c r="S818" t="s">
        <v>2557</v>
      </c>
      <c r="T818" s="4">
        <v>5.3440000000000003</v>
      </c>
      <c r="U818">
        <v>1</v>
      </c>
      <c r="V818">
        <v>0.2</v>
      </c>
      <c r="W818" s="4">
        <v>1.8704000000000001</v>
      </c>
    </row>
    <row r="819" spans="1:23" x14ac:dyDescent="0.3">
      <c r="A819">
        <v>818</v>
      </c>
      <c r="B819" t="s">
        <v>2558</v>
      </c>
      <c r="C819" s="3">
        <v>42466</v>
      </c>
      <c r="D819" s="7" t="str">
        <f t="shared" si="24"/>
        <v>April</v>
      </c>
      <c r="E819" s="3">
        <f t="shared" si="25"/>
        <v>42490</v>
      </c>
      <c r="F819" s="3">
        <v>41677</v>
      </c>
      <c r="G819" t="s">
        <v>50</v>
      </c>
      <c r="H819" t="s">
        <v>1911</v>
      </c>
      <c r="I819" t="s">
        <v>1912</v>
      </c>
      <c r="J819" t="s">
        <v>26</v>
      </c>
      <c r="K819" t="s">
        <v>27</v>
      </c>
      <c r="L819" t="s">
        <v>146</v>
      </c>
      <c r="M819" t="s">
        <v>147</v>
      </c>
      <c r="N819">
        <v>19140</v>
      </c>
      <c r="O819" t="s">
        <v>148</v>
      </c>
      <c r="P819" t="s">
        <v>404</v>
      </c>
      <c r="Q819" t="s">
        <v>46</v>
      </c>
      <c r="R819" t="s">
        <v>90</v>
      </c>
      <c r="S819" t="s">
        <v>405</v>
      </c>
      <c r="T819" s="4">
        <v>41.472000000000001</v>
      </c>
      <c r="U819">
        <v>8</v>
      </c>
      <c r="V819">
        <v>0.2</v>
      </c>
      <c r="W819" s="4">
        <v>14.5152</v>
      </c>
    </row>
    <row r="820" spans="1:23" x14ac:dyDescent="0.3">
      <c r="A820">
        <v>819</v>
      </c>
      <c r="B820" t="s">
        <v>2558</v>
      </c>
      <c r="C820" s="3">
        <v>42466</v>
      </c>
      <c r="D820" s="7" t="str">
        <f t="shared" si="24"/>
        <v>April</v>
      </c>
      <c r="E820" s="3">
        <f t="shared" si="25"/>
        <v>42490</v>
      </c>
      <c r="F820" s="3">
        <v>41677</v>
      </c>
      <c r="G820" t="s">
        <v>50</v>
      </c>
      <c r="H820" t="s">
        <v>1911</v>
      </c>
      <c r="I820" t="s">
        <v>1912</v>
      </c>
      <c r="J820" t="s">
        <v>26</v>
      </c>
      <c r="K820" t="s">
        <v>27</v>
      </c>
      <c r="L820" t="s">
        <v>146</v>
      </c>
      <c r="M820" t="s">
        <v>147</v>
      </c>
      <c r="N820">
        <v>19140</v>
      </c>
      <c r="O820" t="s">
        <v>148</v>
      </c>
      <c r="P820" t="s">
        <v>2559</v>
      </c>
      <c r="Q820" t="s">
        <v>46</v>
      </c>
      <c r="R820" t="s">
        <v>75</v>
      </c>
      <c r="S820" t="s">
        <v>2560</v>
      </c>
      <c r="T820" s="4">
        <v>3.1680000000000001</v>
      </c>
      <c r="U820">
        <v>3</v>
      </c>
      <c r="V820">
        <v>0.7</v>
      </c>
      <c r="W820" s="4">
        <v>-2.4287999999999998</v>
      </c>
    </row>
    <row r="821" spans="1:23" x14ac:dyDescent="0.3">
      <c r="A821">
        <v>820</v>
      </c>
      <c r="B821" t="s">
        <v>2558</v>
      </c>
      <c r="C821" s="3">
        <v>42466</v>
      </c>
      <c r="D821" s="7" t="str">
        <f t="shared" si="24"/>
        <v>April</v>
      </c>
      <c r="E821" s="3">
        <f t="shared" si="25"/>
        <v>42490</v>
      </c>
      <c r="F821" s="3">
        <v>41677</v>
      </c>
      <c r="G821" t="s">
        <v>50</v>
      </c>
      <c r="H821" t="s">
        <v>1911</v>
      </c>
      <c r="I821" t="s">
        <v>1912</v>
      </c>
      <c r="J821" t="s">
        <v>26</v>
      </c>
      <c r="K821" t="s">
        <v>27</v>
      </c>
      <c r="L821" t="s">
        <v>146</v>
      </c>
      <c r="M821" t="s">
        <v>147</v>
      </c>
      <c r="N821">
        <v>19140</v>
      </c>
      <c r="O821" t="s">
        <v>148</v>
      </c>
      <c r="P821" t="s">
        <v>2561</v>
      </c>
      <c r="Q821" t="s">
        <v>32</v>
      </c>
      <c r="R821" t="s">
        <v>36</v>
      </c>
      <c r="S821" t="s">
        <v>2562</v>
      </c>
      <c r="T821" s="4">
        <v>1228.4649999999999</v>
      </c>
      <c r="U821">
        <v>5</v>
      </c>
      <c r="V821">
        <v>0.3</v>
      </c>
      <c r="W821" s="4">
        <v>0</v>
      </c>
    </row>
    <row r="822" spans="1:23" x14ac:dyDescent="0.3">
      <c r="A822">
        <v>821</v>
      </c>
      <c r="B822" t="s">
        <v>2558</v>
      </c>
      <c r="C822" s="3">
        <v>42466</v>
      </c>
      <c r="D822" s="7" t="str">
        <f t="shared" si="24"/>
        <v>April</v>
      </c>
      <c r="E822" s="3">
        <f t="shared" si="25"/>
        <v>42490</v>
      </c>
      <c r="F822" s="3">
        <v>41677</v>
      </c>
      <c r="G822" t="s">
        <v>50</v>
      </c>
      <c r="H822" t="s">
        <v>1911</v>
      </c>
      <c r="I822" t="s">
        <v>1912</v>
      </c>
      <c r="J822" t="s">
        <v>26</v>
      </c>
      <c r="K822" t="s">
        <v>27</v>
      </c>
      <c r="L822" t="s">
        <v>146</v>
      </c>
      <c r="M822" t="s">
        <v>147</v>
      </c>
      <c r="N822">
        <v>19140</v>
      </c>
      <c r="O822" t="s">
        <v>148</v>
      </c>
      <c r="P822" t="s">
        <v>2563</v>
      </c>
      <c r="Q822" t="s">
        <v>46</v>
      </c>
      <c r="R822" t="s">
        <v>75</v>
      </c>
      <c r="S822" t="s">
        <v>2564</v>
      </c>
      <c r="T822" s="4">
        <v>31.085999999999999</v>
      </c>
      <c r="U822">
        <v>3</v>
      </c>
      <c r="V822">
        <v>0.7</v>
      </c>
      <c r="W822" s="4">
        <v>-22.796399999999998</v>
      </c>
    </row>
    <row r="823" spans="1:23" x14ac:dyDescent="0.3">
      <c r="A823">
        <v>822</v>
      </c>
      <c r="B823" t="s">
        <v>2558</v>
      </c>
      <c r="C823" s="3">
        <v>42466</v>
      </c>
      <c r="D823" s="7" t="str">
        <f t="shared" si="24"/>
        <v>April</v>
      </c>
      <c r="E823" s="3">
        <f t="shared" si="25"/>
        <v>42490</v>
      </c>
      <c r="F823" s="3">
        <v>41677</v>
      </c>
      <c r="G823" t="s">
        <v>50</v>
      </c>
      <c r="H823" t="s">
        <v>1911</v>
      </c>
      <c r="I823" t="s">
        <v>1912</v>
      </c>
      <c r="J823" t="s">
        <v>26</v>
      </c>
      <c r="K823" t="s">
        <v>27</v>
      </c>
      <c r="L823" t="s">
        <v>146</v>
      </c>
      <c r="M823" t="s">
        <v>147</v>
      </c>
      <c r="N823">
        <v>19140</v>
      </c>
      <c r="O823" t="s">
        <v>148</v>
      </c>
      <c r="P823" t="s">
        <v>2565</v>
      </c>
      <c r="Q823" t="s">
        <v>46</v>
      </c>
      <c r="R823" t="s">
        <v>90</v>
      </c>
      <c r="S823" t="s">
        <v>2566</v>
      </c>
      <c r="T823" s="4">
        <v>335.52</v>
      </c>
      <c r="U823">
        <v>4</v>
      </c>
      <c r="V823">
        <v>0.2</v>
      </c>
      <c r="W823" s="4">
        <v>117.432</v>
      </c>
    </row>
    <row r="824" spans="1:23" x14ac:dyDescent="0.3">
      <c r="A824">
        <v>823</v>
      </c>
      <c r="B824" t="s">
        <v>2567</v>
      </c>
      <c r="C824" s="3">
        <v>43318</v>
      </c>
      <c r="D824" s="7" t="str">
        <f t="shared" si="24"/>
        <v>August</v>
      </c>
      <c r="E824" s="3">
        <f t="shared" si="25"/>
        <v>43343</v>
      </c>
      <c r="F824" s="3">
        <v>43530</v>
      </c>
      <c r="G824" t="s">
        <v>50</v>
      </c>
      <c r="H824" t="s">
        <v>2568</v>
      </c>
      <c r="I824" t="s">
        <v>2569</v>
      </c>
      <c r="J824" t="s">
        <v>26</v>
      </c>
      <c r="K824" t="s">
        <v>27</v>
      </c>
      <c r="L824" t="s">
        <v>1096</v>
      </c>
      <c r="M824" t="s">
        <v>790</v>
      </c>
      <c r="N824">
        <v>7109</v>
      </c>
      <c r="O824" t="s">
        <v>148</v>
      </c>
      <c r="P824" t="s">
        <v>2570</v>
      </c>
      <c r="Q824" t="s">
        <v>71</v>
      </c>
      <c r="R824" t="s">
        <v>161</v>
      </c>
      <c r="S824" t="s">
        <v>2571</v>
      </c>
      <c r="T824" s="4">
        <v>239.97</v>
      </c>
      <c r="U824">
        <v>3</v>
      </c>
      <c r="V824">
        <v>0</v>
      </c>
      <c r="W824" s="4">
        <v>71.991</v>
      </c>
    </row>
    <row r="825" spans="1:23" x14ac:dyDescent="0.3">
      <c r="A825">
        <v>824</v>
      </c>
      <c r="B825" t="s">
        <v>2567</v>
      </c>
      <c r="C825" s="3">
        <v>43318</v>
      </c>
      <c r="D825" s="7" t="str">
        <f t="shared" si="24"/>
        <v>August</v>
      </c>
      <c r="E825" s="3">
        <f t="shared" si="25"/>
        <v>43343</v>
      </c>
      <c r="F825" s="3">
        <v>43530</v>
      </c>
      <c r="G825" t="s">
        <v>50</v>
      </c>
      <c r="H825" t="s">
        <v>2568</v>
      </c>
      <c r="I825" t="s">
        <v>2569</v>
      </c>
      <c r="J825" t="s">
        <v>26</v>
      </c>
      <c r="K825" t="s">
        <v>27</v>
      </c>
      <c r="L825" t="s">
        <v>1096</v>
      </c>
      <c r="M825" t="s">
        <v>790</v>
      </c>
      <c r="N825">
        <v>7109</v>
      </c>
      <c r="O825" t="s">
        <v>148</v>
      </c>
      <c r="P825" t="s">
        <v>2370</v>
      </c>
      <c r="Q825" t="s">
        <v>46</v>
      </c>
      <c r="R825" t="s">
        <v>47</v>
      </c>
      <c r="S825" t="s">
        <v>2371</v>
      </c>
      <c r="T825" s="4">
        <v>9.82</v>
      </c>
      <c r="U825">
        <v>2</v>
      </c>
      <c r="V825">
        <v>0</v>
      </c>
      <c r="W825" s="4">
        <v>4.8117999999999999</v>
      </c>
    </row>
    <row r="826" spans="1:23" x14ac:dyDescent="0.3">
      <c r="A826">
        <v>825</v>
      </c>
      <c r="B826" t="s">
        <v>2572</v>
      </c>
      <c r="C826" s="3">
        <v>41887</v>
      </c>
      <c r="D826" s="7" t="str">
        <f t="shared" si="24"/>
        <v>September</v>
      </c>
      <c r="E826" s="3">
        <f t="shared" si="25"/>
        <v>41912</v>
      </c>
      <c r="F826" s="3">
        <v>42068</v>
      </c>
      <c r="G826" t="s">
        <v>50</v>
      </c>
      <c r="H826" t="s">
        <v>2573</v>
      </c>
      <c r="I826" t="s">
        <v>2574</v>
      </c>
      <c r="J826" t="s">
        <v>26</v>
      </c>
      <c r="K826" t="s">
        <v>27</v>
      </c>
      <c r="L826" t="s">
        <v>127</v>
      </c>
      <c r="M826" t="s">
        <v>43</v>
      </c>
      <c r="N826">
        <v>94110</v>
      </c>
      <c r="O826" t="s">
        <v>44</v>
      </c>
      <c r="P826" t="s">
        <v>2575</v>
      </c>
      <c r="Q826" t="s">
        <v>71</v>
      </c>
      <c r="R826" t="s">
        <v>161</v>
      </c>
      <c r="S826" t="s">
        <v>2576</v>
      </c>
      <c r="T826" s="4">
        <v>67.8</v>
      </c>
      <c r="U826">
        <v>4</v>
      </c>
      <c r="V826">
        <v>0</v>
      </c>
      <c r="W826" s="4">
        <v>4.0679999999999996</v>
      </c>
    </row>
    <row r="827" spans="1:23" x14ac:dyDescent="0.3">
      <c r="A827">
        <v>826</v>
      </c>
      <c r="B827" t="s">
        <v>2572</v>
      </c>
      <c r="C827" s="3">
        <v>41887</v>
      </c>
      <c r="D827" s="7" t="str">
        <f t="shared" si="24"/>
        <v>September</v>
      </c>
      <c r="E827" s="3">
        <f t="shared" si="25"/>
        <v>41912</v>
      </c>
      <c r="F827" s="3">
        <v>42068</v>
      </c>
      <c r="G827" t="s">
        <v>50</v>
      </c>
      <c r="H827" t="s">
        <v>2573</v>
      </c>
      <c r="I827" t="s">
        <v>2574</v>
      </c>
      <c r="J827" t="s">
        <v>26</v>
      </c>
      <c r="K827" t="s">
        <v>27</v>
      </c>
      <c r="L827" t="s">
        <v>127</v>
      </c>
      <c r="M827" t="s">
        <v>43</v>
      </c>
      <c r="N827">
        <v>94110</v>
      </c>
      <c r="O827" t="s">
        <v>44</v>
      </c>
      <c r="P827" t="s">
        <v>858</v>
      </c>
      <c r="Q827" t="s">
        <v>71</v>
      </c>
      <c r="R827" t="s">
        <v>161</v>
      </c>
      <c r="S827" t="s">
        <v>859</v>
      </c>
      <c r="T827" s="4">
        <v>167.97</v>
      </c>
      <c r="U827">
        <v>3</v>
      </c>
      <c r="V827">
        <v>0</v>
      </c>
      <c r="W827" s="4">
        <v>40.312800000000003</v>
      </c>
    </row>
    <row r="828" spans="1:23" x14ac:dyDescent="0.3">
      <c r="A828">
        <v>827</v>
      </c>
      <c r="B828" t="s">
        <v>2577</v>
      </c>
      <c r="C828" s="3">
        <v>43351</v>
      </c>
      <c r="D828" s="7" t="str">
        <f t="shared" si="24"/>
        <v>September</v>
      </c>
      <c r="E828" s="3">
        <f t="shared" si="25"/>
        <v>43373</v>
      </c>
      <c r="F828" s="3">
        <v>43563</v>
      </c>
      <c r="G828" t="s">
        <v>50</v>
      </c>
      <c r="H828" t="s">
        <v>1883</v>
      </c>
      <c r="I828" t="s">
        <v>1884</v>
      </c>
      <c r="J828" t="s">
        <v>26</v>
      </c>
      <c r="K828" t="s">
        <v>27</v>
      </c>
      <c r="L828" t="s">
        <v>935</v>
      </c>
      <c r="M828" t="s">
        <v>229</v>
      </c>
      <c r="N828">
        <v>55044</v>
      </c>
      <c r="O828" t="s">
        <v>105</v>
      </c>
      <c r="P828" t="s">
        <v>2578</v>
      </c>
      <c r="Q828" t="s">
        <v>46</v>
      </c>
      <c r="R828" t="s">
        <v>269</v>
      </c>
      <c r="S828" t="s">
        <v>2579</v>
      </c>
      <c r="T828" s="4">
        <v>35</v>
      </c>
      <c r="U828">
        <v>7</v>
      </c>
      <c r="V828">
        <v>0</v>
      </c>
      <c r="W828" s="4">
        <v>16.8</v>
      </c>
    </row>
    <row r="829" spans="1:23" x14ac:dyDescent="0.3">
      <c r="A829">
        <v>828</v>
      </c>
      <c r="B829" t="s">
        <v>2577</v>
      </c>
      <c r="C829" s="3">
        <v>43351</v>
      </c>
      <c r="D829" s="7" t="str">
        <f t="shared" si="24"/>
        <v>September</v>
      </c>
      <c r="E829" s="3">
        <f t="shared" si="25"/>
        <v>43373</v>
      </c>
      <c r="F829" s="3">
        <v>43563</v>
      </c>
      <c r="G829" t="s">
        <v>50</v>
      </c>
      <c r="H829" t="s">
        <v>1883</v>
      </c>
      <c r="I829" t="s">
        <v>1884</v>
      </c>
      <c r="J829" t="s">
        <v>26</v>
      </c>
      <c r="K829" t="s">
        <v>27</v>
      </c>
      <c r="L829" t="s">
        <v>935</v>
      </c>
      <c r="M829" t="s">
        <v>229</v>
      </c>
      <c r="N829">
        <v>55044</v>
      </c>
      <c r="O829" t="s">
        <v>105</v>
      </c>
      <c r="P829" t="s">
        <v>2580</v>
      </c>
      <c r="Q829" t="s">
        <v>46</v>
      </c>
      <c r="R829" t="s">
        <v>579</v>
      </c>
      <c r="S829" t="s">
        <v>2581</v>
      </c>
      <c r="T829" s="4">
        <v>37.24</v>
      </c>
      <c r="U829">
        <v>4</v>
      </c>
      <c r="V829">
        <v>0</v>
      </c>
      <c r="W829" s="4">
        <v>10.7996</v>
      </c>
    </row>
    <row r="830" spans="1:23" x14ac:dyDescent="0.3">
      <c r="A830">
        <v>829</v>
      </c>
      <c r="B830" t="s">
        <v>2577</v>
      </c>
      <c r="C830" s="3">
        <v>43351</v>
      </c>
      <c r="D830" s="7" t="str">
        <f t="shared" si="24"/>
        <v>September</v>
      </c>
      <c r="E830" s="3">
        <f t="shared" si="25"/>
        <v>43373</v>
      </c>
      <c r="F830" s="3">
        <v>43563</v>
      </c>
      <c r="G830" t="s">
        <v>50</v>
      </c>
      <c r="H830" t="s">
        <v>1883</v>
      </c>
      <c r="I830" t="s">
        <v>1884</v>
      </c>
      <c r="J830" t="s">
        <v>26</v>
      </c>
      <c r="K830" t="s">
        <v>27</v>
      </c>
      <c r="L830" t="s">
        <v>935</v>
      </c>
      <c r="M830" t="s">
        <v>229</v>
      </c>
      <c r="N830">
        <v>55044</v>
      </c>
      <c r="O830" t="s">
        <v>105</v>
      </c>
      <c r="P830" t="s">
        <v>2582</v>
      </c>
      <c r="Q830" t="s">
        <v>46</v>
      </c>
      <c r="R830" t="s">
        <v>173</v>
      </c>
      <c r="S830" t="s">
        <v>2583</v>
      </c>
      <c r="T830" s="4">
        <v>15.28</v>
      </c>
      <c r="U830">
        <v>2</v>
      </c>
      <c r="V830">
        <v>0</v>
      </c>
      <c r="W830" s="4">
        <v>7.4871999999999996</v>
      </c>
    </row>
    <row r="831" spans="1:23" x14ac:dyDescent="0.3">
      <c r="A831">
        <v>830</v>
      </c>
      <c r="B831" t="s">
        <v>2584</v>
      </c>
      <c r="C831" s="3">
        <v>43196</v>
      </c>
      <c r="D831" s="7" t="str">
        <f t="shared" si="24"/>
        <v>April</v>
      </c>
      <c r="E831" s="3">
        <f t="shared" si="25"/>
        <v>43220</v>
      </c>
      <c r="F831" s="3">
        <v>43349</v>
      </c>
      <c r="G831" t="s">
        <v>23</v>
      </c>
      <c r="H831" t="s">
        <v>332</v>
      </c>
      <c r="I831" t="s">
        <v>333</v>
      </c>
      <c r="J831" t="s">
        <v>26</v>
      </c>
      <c r="K831" t="s">
        <v>27</v>
      </c>
      <c r="L831" t="s">
        <v>2585</v>
      </c>
      <c r="M831" t="s">
        <v>29</v>
      </c>
      <c r="N831">
        <v>41042</v>
      </c>
      <c r="O831" t="s">
        <v>30</v>
      </c>
      <c r="P831" t="s">
        <v>2586</v>
      </c>
      <c r="Q831" t="s">
        <v>32</v>
      </c>
      <c r="R831" t="s">
        <v>36</v>
      </c>
      <c r="S831" t="s">
        <v>2587</v>
      </c>
      <c r="T831" s="4">
        <v>301.95999999999998</v>
      </c>
      <c r="U831">
        <v>2</v>
      </c>
      <c r="V831">
        <v>0</v>
      </c>
      <c r="W831" s="4">
        <v>90.587999999999994</v>
      </c>
    </row>
    <row r="832" spans="1:23" x14ac:dyDescent="0.3">
      <c r="A832">
        <v>831</v>
      </c>
      <c r="B832" t="s">
        <v>2584</v>
      </c>
      <c r="C832" s="3">
        <v>43196</v>
      </c>
      <c r="D832" s="7" t="str">
        <f t="shared" si="24"/>
        <v>April</v>
      </c>
      <c r="E832" s="3">
        <f t="shared" si="25"/>
        <v>43220</v>
      </c>
      <c r="F832" s="3">
        <v>43349</v>
      </c>
      <c r="G832" t="s">
        <v>23</v>
      </c>
      <c r="H832" t="s">
        <v>332</v>
      </c>
      <c r="I832" t="s">
        <v>333</v>
      </c>
      <c r="J832" t="s">
        <v>26</v>
      </c>
      <c r="K832" t="s">
        <v>27</v>
      </c>
      <c r="L832" t="s">
        <v>2585</v>
      </c>
      <c r="M832" t="s">
        <v>29</v>
      </c>
      <c r="N832">
        <v>41042</v>
      </c>
      <c r="O832" t="s">
        <v>30</v>
      </c>
      <c r="P832" t="s">
        <v>2588</v>
      </c>
      <c r="Q832" t="s">
        <v>46</v>
      </c>
      <c r="R832" t="s">
        <v>78</v>
      </c>
      <c r="S832" t="s">
        <v>2589</v>
      </c>
      <c r="T832" s="4">
        <v>180.66</v>
      </c>
      <c r="U832">
        <v>3</v>
      </c>
      <c r="V832">
        <v>0</v>
      </c>
      <c r="W832" s="4">
        <v>50.584800000000001</v>
      </c>
    </row>
    <row r="833" spans="1:23" x14ac:dyDescent="0.3">
      <c r="A833">
        <v>832</v>
      </c>
      <c r="B833" t="s">
        <v>2584</v>
      </c>
      <c r="C833" s="3">
        <v>43196</v>
      </c>
      <c r="D833" s="7" t="str">
        <f t="shared" si="24"/>
        <v>April</v>
      </c>
      <c r="E833" s="3">
        <f t="shared" si="25"/>
        <v>43220</v>
      </c>
      <c r="F833" s="3">
        <v>43349</v>
      </c>
      <c r="G833" t="s">
        <v>23</v>
      </c>
      <c r="H833" t="s">
        <v>332</v>
      </c>
      <c r="I833" t="s">
        <v>333</v>
      </c>
      <c r="J833" t="s">
        <v>26</v>
      </c>
      <c r="K833" t="s">
        <v>27</v>
      </c>
      <c r="L833" t="s">
        <v>2585</v>
      </c>
      <c r="M833" t="s">
        <v>29</v>
      </c>
      <c r="N833">
        <v>41042</v>
      </c>
      <c r="O833" t="s">
        <v>30</v>
      </c>
      <c r="P833" t="s">
        <v>2590</v>
      </c>
      <c r="Q833" t="s">
        <v>71</v>
      </c>
      <c r="R833" t="s">
        <v>72</v>
      </c>
      <c r="S833" t="s">
        <v>2591</v>
      </c>
      <c r="T833" s="4">
        <v>191.98</v>
      </c>
      <c r="U833">
        <v>2</v>
      </c>
      <c r="V833">
        <v>0</v>
      </c>
      <c r="W833" s="4">
        <v>51.834600000000002</v>
      </c>
    </row>
    <row r="834" spans="1:23" x14ac:dyDescent="0.3">
      <c r="A834">
        <v>833</v>
      </c>
      <c r="B834" t="s">
        <v>2584</v>
      </c>
      <c r="C834" s="3">
        <v>43196</v>
      </c>
      <c r="D834" s="7" t="str">
        <f t="shared" si="24"/>
        <v>April</v>
      </c>
      <c r="E834" s="3">
        <f t="shared" si="25"/>
        <v>43220</v>
      </c>
      <c r="F834" s="3">
        <v>43349</v>
      </c>
      <c r="G834" t="s">
        <v>23</v>
      </c>
      <c r="H834" t="s">
        <v>332</v>
      </c>
      <c r="I834" t="s">
        <v>333</v>
      </c>
      <c r="J834" t="s">
        <v>26</v>
      </c>
      <c r="K834" t="s">
        <v>27</v>
      </c>
      <c r="L834" t="s">
        <v>2585</v>
      </c>
      <c r="M834" t="s">
        <v>29</v>
      </c>
      <c r="N834">
        <v>41042</v>
      </c>
      <c r="O834" t="s">
        <v>30</v>
      </c>
      <c r="P834" t="s">
        <v>2592</v>
      </c>
      <c r="Q834" t="s">
        <v>71</v>
      </c>
      <c r="R834" t="s">
        <v>72</v>
      </c>
      <c r="S834" t="s">
        <v>2593</v>
      </c>
      <c r="T834" s="4">
        <v>65.989999999999995</v>
      </c>
      <c r="U834">
        <v>1</v>
      </c>
      <c r="V834">
        <v>0</v>
      </c>
      <c r="W834" s="4">
        <v>17.157399999999999</v>
      </c>
    </row>
    <row r="835" spans="1:23" x14ac:dyDescent="0.3">
      <c r="A835">
        <v>834</v>
      </c>
      <c r="B835" t="s">
        <v>2594</v>
      </c>
      <c r="C835" s="3">
        <v>43046</v>
      </c>
      <c r="D835" s="7" t="str">
        <f t="shared" ref="D835:D898" si="26">TEXT(C835,"mmmm")</f>
        <v>November</v>
      </c>
      <c r="E835" s="3">
        <f t="shared" ref="E835:E898" si="27">EOMONTH(C835,0)</f>
        <v>43069</v>
      </c>
      <c r="F835" s="3">
        <v>43166</v>
      </c>
      <c r="G835" t="s">
        <v>50</v>
      </c>
      <c r="H835" t="s">
        <v>706</v>
      </c>
      <c r="I835" t="s">
        <v>707</v>
      </c>
      <c r="J835" t="s">
        <v>41</v>
      </c>
      <c r="K835" t="s">
        <v>27</v>
      </c>
      <c r="L835" t="s">
        <v>902</v>
      </c>
      <c r="M835" t="s">
        <v>54</v>
      </c>
      <c r="N835">
        <v>33614</v>
      </c>
      <c r="O835" t="s">
        <v>30</v>
      </c>
      <c r="P835" t="s">
        <v>2595</v>
      </c>
      <c r="Q835" t="s">
        <v>46</v>
      </c>
      <c r="R835" t="s">
        <v>68</v>
      </c>
      <c r="S835" t="s">
        <v>2596</v>
      </c>
      <c r="T835" s="4">
        <v>35.216000000000001</v>
      </c>
      <c r="U835">
        <v>2</v>
      </c>
      <c r="V835">
        <v>0.2</v>
      </c>
      <c r="W835" s="4">
        <v>2.6412</v>
      </c>
    </row>
    <row r="836" spans="1:23" x14ac:dyDescent="0.3">
      <c r="A836">
        <v>835</v>
      </c>
      <c r="B836" t="s">
        <v>2594</v>
      </c>
      <c r="C836" s="3">
        <v>43046</v>
      </c>
      <c r="D836" s="7" t="str">
        <f t="shared" si="26"/>
        <v>November</v>
      </c>
      <c r="E836" s="3">
        <f t="shared" si="27"/>
        <v>43069</v>
      </c>
      <c r="F836" s="3">
        <v>43166</v>
      </c>
      <c r="G836" t="s">
        <v>50</v>
      </c>
      <c r="H836" t="s">
        <v>706</v>
      </c>
      <c r="I836" t="s">
        <v>707</v>
      </c>
      <c r="J836" t="s">
        <v>41</v>
      </c>
      <c r="K836" t="s">
        <v>27</v>
      </c>
      <c r="L836" t="s">
        <v>902</v>
      </c>
      <c r="M836" t="s">
        <v>54</v>
      </c>
      <c r="N836">
        <v>33614</v>
      </c>
      <c r="O836" t="s">
        <v>30</v>
      </c>
      <c r="P836" t="s">
        <v>2597</v>
      </c>
      <c r="Q836" t="s">
        <v>46</v>
      </c>
      <c r="R836" t="s">
        <v>78</v>
      </c>
      <c r="S836" t="s">
        <v>2598</v>
      </c>
      <c r="T836" s="4">
        <v>23.696000000000002</v>
      </c>
      <c r="U836">
        <v>2</v>
      </c>
      <c r="V836">
        <v>0.2</v>
      </c>
      <c r="W836" s="4">
        <v>6.5164</v>
      </c>
    </row>
    <row r="837" spans="1:23" x14ac:dyDescent="0.3">
      <c r="A837">
        <v>836</v>
      </c>
      <c r="B837" t="s">
        <v>2594</v>
      </c>
      <c r="C837" s="3">
        <v>43046</v>
      </c>
      <c r="D837" s="7" t="str">
        <f t="shared" si="26"/>
        <v>November</v>
      </c>
      <c r="E837" s="3">
        <f t="shared" si="27"/>
        <v>43069</v>
      </c>
      <c r="F837" s="3">
        <v>43166</v>
      </c>
      <c r="G837" t="s">
        <v>50</v>
      </c>
      <c r="H837" t="s">
        <v>706</v>
      </c>
      <c r="I837" t="s">
        <v>707</v>
      </c>
      <c r="J837" t="s">
        <v>41</v>
      </c>
      <c r="K837" t="s">
        <v>27</v>
      </c>
      <c r="L837" t="s">
        <v>902</v>
      </c>
      <c r="M837" t="s">
        <v>54</v>
      </c>
      <c r="N837">
        <v>33614</v>
      </c>
      <c r="O837" t="s">
        <v>30</v>
      </c>
      <c r="P837" t="s">
        <v>2599</v>
      </c>
      <c r="Q837" t="s">
        <v>71</v>
      </c>
      <c r="R837" t="s">
        <v>684</v>
      </c>
      <c r="S837" t="s">
        <v>2600</v>
      </c>
      <c r="T837" s="4">
        <v>265.47500000000002</v>
      </c>
      <c r="U837">
        <v>1</v>
      </c>
      <c r="V837">
        <v>0.5</v>
      </c>
      <c r="W837" s="4">
        <v>-111.4995</v>
      </c>
    </row>
    <row r="838" spans="1:23" x14ac:dyDescent="0.3">
      <c r="A838">
        <v>837</v>
      </c>
      <c r="B838" t="s">
        <v>2601</v>
      </c>
      <c r="C838" s="3">
        <v>41860</v>
      </c>
      <c r="D838" s="7" t="str">
        <f t="shared" si="26"/>
        <v>August</v>
      </c>
      <c r="E838" s="3">
        <f t="shared" si="27"/>
        <v>41882</v>
      </c>
      <c r="F838" s="3">
        <v>42013</v>
      </c>
      <c r="G838" t="s">
        <v>23</v>
      </c>
      <c r="H838" t="s">
        <v>2422</v>
      </c>
      <c r="I838" t="s">
        <v>2423</v>
      </c>
      <c r="J838" t="s">
        <v>26</v>
      </c>
      <c r="K838" t="s">
        <v>27</v>
      </c>
      <c r="L838" t="s">
        <v>2207</v>
      </c>
      <c r="M838" t="s">
        <v>104</v>
      </c>
      <c r="N838">
        <v>75701</v>
      </c>
      <c r="O838" t="s">
        <v>105</v>
      </c>
      <c r="P838" t="s">
        <v>2602</v>
      </c>
      <c r="Q838" t="s">
        <v>46</v>
      </c>
      <c r="R838" t="s">
        <v>75</v>
      </c>
      <c r="S838" t="s">
        <v>2603</v>
      </c>
      <c r="T838" s="4">
        <v>51.183999999999997</v>
      </c>
      <c r="U838">
        <v>4</v>
      </c>
      <c r="V838">
        <v>0.8</v>
      </c>
      <c r="W838" s="4">
        <v>-79.3352</v>
      </c>
    </row>
    <row r="839" spans="1:23" x14ac:dyDescent="0.3">
      <c r="A839">
        <v>838</v>
      </c>
      <c r="B839" t="s">
        <v>2604</v>
      </c>
      <c r="C839" s="3">
        <v>42836</v>
      </c>
      <c r="D839" s="7" t="str">
        <f t="shared" si="26"/>
        <v>April</v>
      </c>
      <c r="E839" s="3">
        <f t="shared" si="27"/>
        <v>42855</v>
      </c>
      <c r="F839" s="3">
        <v>43050</v>
      </c>
      <c r="G839" t="s">
        <v>50</v>
      </c>
      <c r="H839" t="s">
        <v>2605</v>
      </c>
      <c r="I839" t="s">
        <v>2606</v>
      </c>
      <c r="J839" t="s">
        <v>102</v>
      </c>
      <c r="K839" t="s">
        <v>27</v>
      </c>
      <c r="L839" t="s">
        <v>382</v>
      </c>
      <c r="M839" t="s">
        <v>335</v>
      </c>
      <c r="N839">
        <v>38401</v>
      </c>
      <c r="O839" t="s">
        <v>30</v>
      </c>
      <c r="P839" t="s">
        <v>2607</v>
      </c>
      <c r="Q839" t="s">
        <v>46</v>
      </c>
      <c r="R839" t="s">
        <v>90</v>
      </c>
      <c r="S839" t="s">
        <v>2608</v>
      </c>
      <c r="T839" s="4">
        <v>9.6639999999999997</v>
      </c>
      <c r="U839">
        <v>2</v>
      </c>
      <c r="V839">
        <v>0.2</v>
      </c>
      <c r="W839" s="4">
        <v>3.2616000000000001</v>
      </c>
    </row>
    <row r="840" spans="1:23" x14ac:dyDescent="0.3">
      <c r="A840">
        <v>839</v>
      </c>
      <c r="B840" t="s">
        <v>2609</v>
      </c>
      <c r="C840" s="3">
        <v>42554</v>
      </c>
      <c r="D840" s="7" t="str">
        <f t="shared" si="26"/>
        <v>July</v>
      </c>
      <c r="E840" s="3">
        <f t="shared" si="27"/>
        <v>42582</v>
      </c>
      <c r="F840" s="3">
        <v>42707</v>
      </c>
      <c r="G840" t="s">
        <v>50</v>
      </c>
      <c r="H840" t="s">
        <v>1579</v>
      </c>
      <c r="I840" t="s">
        <v>1580</v>
      </c>
      <c r="J840" t="s">
        <v>41</v>
      </c>
      <c r="K840" t="s">
        <v>27</v>
      </c>
      <c r="L840" t="s">
        <v>103</v>
      </c>
      <c r="M840" t="s">
        <v>104</v>
      </c>
      <c r="N840">
        <v>76106</v>
      </c>
      <c r="O840" t="s">
        <v>105</v>
      </c>
      <c r="P840" t="s">
        <v>1576</v>
      </c>
      <c r="Q840" t="s">
        <v>71</v>
      </c>
      <c r="R840" t="s">
        <v>72</v>
      </c>
      <c r="S840" t="s">
        <v>1577</v>
      </c>
      <c r="T840" s="4">
        <v>21.071999999999999</v>
      </c>
      <c r="U840">
        <v>3</v>
      </c>
      <c r="V840">
        <v>0.2</v>
      </c>
      <c r="W840" s="4">
        <v>1.5804</v>
      </c>
    </row>
    <row r="841" spans="1:23" x14ac:dyDescent="0.3">
      <c r="A841">
        <v>840</v>
      </c>
      <c r="B841" t="s">
        <v>2610</v>
      </c>
      <c r="C841" s="3">
        <v>42593</v>
      </c>
      <c r="D841" s="7" t="str">
        <f t="shared" si="26"/>
        <v>August</v>
      </c>
      <c r="E841" s="3">
        <f t="shared" si="27"/>
        <v>42613</v>
      </c>
      <c r="F841" s="3">
        <v>42746</v>
      </c>
      <c r="G841" t="s">
        <v>50</v>
      </c>
      <c r="H841" t="s">
        <v>2611</v>
      </c>
      <c r="I841" t="s">
        <v>2612</v>
      </c>
      <c r="J841" t="s">
        <v>41</v>
      </c>
      <c r="K841" t="s">
        <v>27</v>
      </c>
      <c r="L841" t="s">
        <v>266</v>
      </c>
      <c r="M841" t="s">
        <v>267</v>
      </c>
      <c r="N841">
        <v>10035</v>
      </c>
      <c r="O841" t="s">
        <v>148</v>
      </c>
      <c r="P841" t="s">
        <v>2451</v>
      </c>
      <c r="Q841" t="s">
        <v>46</v>
      </c>
      <c r="R841" t="s">
        <v>68</v>
      </c>
      <c r="S841" t="s">
        <v>2452</v>
      </c>
      <c r="T841" s="4">
        <v>60.45</v>
      </c>
      <c r="U841">
        <v>3</v>
      </c>
      <c r="V841">
        <v>0</v>
      </c>
      <c r="W841" s="4">
        <v>16.3215</v>
      </c>
    </row>
    <row r="842" spans="1:23" x14ac:dyDescent="0.3">
      <c r="A842">
        <v>841</v>
      </c>
      <c r="B842" t="s">
        <v>2610</v>
      </c>
      <c r="C842" s="3">
        <v>42593</v>
      </c>
      <c r="D842" s="7" t="str">
        <f t="shared" si="26"/>
        <v>August</v>
      </c>
      <c r="E842" s="3">
        <f t="shared" si="27"/>
        <v>42613</v>
      </c>
      <c r="F842" s="3">
        <v>42746</v>
      </c>
      <c r="G842" t="s">
        <v>50</v>
      </c>
      <c r="H842" t="s">
        <v>2611</v>
      </c>
      <c r="I842" t="s">
        <v>2612</v>
      </c>
      <c r="J842" t="s">
        <v>41</v>
      </c>
      <c r="K842" t="s">
        <v>27</v>
      </c>
      <c r="L842" t="s">
        <v>266</v>
      </c>
      <c r="M842" t="s">
        <v>267</v>
      </c>
      <c r="N842">
        <v>10035</v>
      </c>
      <c r="O842" t="s">
        <v>148</v>
      </c>
      <c r="P842" t="s">
        <v>2613</v>
      </c>
      <c r="Q842" t="s">
        <v>46</v>
      </c>
      <c r="R842" t="s">
        <v>68</v>
      </c>
      <c r="S842" t="s">
        <v>2614</v>
      </c>
      <c r="T842" s="4">
        <v>11.52</v>
      </c>
      <c r="U842">
        <v>4</v>
      </c>
      <c r="V842">
        <v>0</v>
      </c>
      <c r="W842" s="4">
        <v>3.3408000000000002</v>
      </c>
    </row>
    <row r="843" spans="1:23" x14ac:dyDescent="0.3">
      <c r="A843">
        <v>842</v>
      </c>
      <c r="B843" t="s">
        <v>2610</v>
      </c>
      <c r="C843" s="3">
        <v>42593</v>
      </c>
      <c r="D843" s="7" t="str">
        <f t="shared" si="26"/>
        <v>August</v>
      </c>
      <c r="E843" s="3">
        <f t="shared" si="27"/>
        <v>42613</v>
      </c>
      <c r="F843" s="3">
        <v>42746</v>
      </c>
      <c r="G843" t="s">
        <v>50</v>
      </c>
      <c r="H843" t="s">
        <v>2611</v>
      </c>
      <c r="I843" t="s">
        <v>2612</v>
      </c>
      <c r="J843" t="s">
        <v>41</v>
      </c>
      <c r="K843" t="s">
        <v>27</v>
      </c>
      <c r="L843" t="s">
        <v>266</v>
      </c>
      <c r="M843" t="s">
        <v>267</v>
      </c>
      <c r="N843">
        <v>10035</v>
      </c>
      <c r="O843" t="s">
        <v>148</v>
      </c>
      <c r="P843" t="s">
        <v>2615</v>
      </c>
      <c r="Q843" t="s">
        <v>32</v>
      </c>
      <c r="R843" t="s">
        <v>33</v>
      </c>
      <c r="S843" t="s">
        <v>2616</v>
      </c>
      <c r="T843" s="4">
        <v>186.048</v>
      </c>
      <c r="U843">
        <v>4</v>
      </c>
      <c r="V843">
        <v>0.2</v>
      </c>
      <c r="W843" s="4">
        <v>9.3024000000000004</v>
      </c>
    </row>
    <row r="844" spans="1:23" x14ac:dyDescent="0.3">
      <c r="A844">
        <v>843</v>
      </c>
      <c r="B844" t="s">
        <v>2617</v>
      </c>
      <c r="C844" s="3">
        <v>42562</v>
      </c>
      <c r="D844" s="7" t="str">
        <f t="shared" si="26"/>
        <v>July</v>
      </c>
      <c r="E844" s="3">
        <f t="shared" si="27"/>
        <v>42582</v>
      </c>
      <c r="F844" s="3">
        <v>42624</v>
      </c>
      <c r="G844" t="s">
        <v>188</v>
      </c>
      <c r="H844" t="s">
        <v>2618</v>
      </c>
      <c r="I844" t="s">
        <v>2619</v>
      </c>
      <c r="J844" t="s">
        <v>41</v>
      </c>
      <c r="K844" t="s">
        <v>27</v>
      </c>
      <c r="L844" t="s">
        <v>42</v>
      </c>
      <c r="M844" t="s">
        <v>43</v>
      </c>
      <c r="N844">
        <v>90036</v>
      </c>
      <c r="O844" t="s">
        <v>44</v>
      </c>
      <c r="P844" t="s">
        <v>2620</v>
      </c>
      <c r="Q844" t="s">
        <v>46</v>
      </c>
      <c r="R844" t="s">
        <v>75</v>
      </c>
      <c r="S844" t="s">
        <v>2621</v>
      </c>
      <c r="T844" s="4">
        <v>37.44</v>
      </c>
      <c r="U844">
        <v>4</v>
      </c>
      <c r="V844">
        <v>0.2</v>
      </c>
      <c r="W844" s="4">
        <v>11.7</v>
      </c>
    </row>
    <row r="845" spans="1:23" x14ac:dyDescent="0.3">
      <c r="A845">
        <v>844</v>
      </c>
      <c r="B845" t="s">
        <v>2617</v>
      </c>
      <c r="C845" s="3">
        <v>42562</v>
      </c>
      <c r="D845" s="7" t="str">
        <f t="shared" si="26"/>
        <v>July</v>
      </c>
      <c r="E845" s="3">
        <f t="shared" si="27"/>
        <v>42582</v>
      </c>
      <c r="F845" s="3">
        <v>42624</v>
      </c>
      <c r="G845" t="s">
        <v>188</v>
      </c>
      <c r="H845" t="s">
        <v>2618</v>
      </c>
      <c r="I845" t="s">
        <v>2619</v>
      </c>
      <c r="J845" t="s">
        <v>41</v>
      </c>
      <c r="K845" t="s">
        <v>27</v>
      </c>
      <c r="L845" t="s">
        <v>42</v>
      </c>
      <c r="M845" t="s">
        <v>43</v>
      </c>
      <c r="N845">
        <v>90036</v>
      </c>
      <c r="O845" t="s">
        <v>44</v>
      </c>
      <c r="P845" t="s">
        <v>2622</v>
      </c>
      <c r="Q845" t="s">
        <v>46</v>
      </c>
      <c r="R845" t="s">
        <v>75</v>
      </c>
      <c r="S845" t="s">
        <v>2623</v>
      </c>
      <c r="T845" s="4">
        <v>26.975999999999999</v>
      </c>
      <c r="U845">
        <v>4</v>
      </c>
      <c r="V845">
        <v>0.2</v>
      </c>
      <c r="W845" s="4">
        <v>8.7672000000000008</v>
      </c>
    </row>
    <row r="846" spans="1:23" x14ac:dyDescent="0.3">
      <c r="A846">
        <v>845</v>
      </c>
      <c r="B846" t="s">
        <v>2617</v>
      </c>
      <c r="C846" s="3">
        <v>42562</v>
      </c>
      <c r="D846" s="7" t="str">
        <f t="shared" si="26"/>
        <v>July</v>
      </c>
      <c r="E846" s="3">
        <f t="shared" si="27"/>
        <v>42582</v>
      </c>
      <c r="F846" s="3">
        <v>42624</v>
      </c>
      <c r="G846" t="s">
        <v>188</v>
      </c>
      <c r="H846" t="s">
        <v>2618</v>
      </c>
      <c r="I846" t="s">
        <v>2619</v>
      </c>
      <c r="J846" t="s">
        <v>41</v>
      </c>
      <c r="K846" t="s">
        <v>27</v>
      </c>
      <c r="L846" t="s">
        <v>42</v>
      </c>
      <c r="M846" t="s">
        <v>43</v>
      </c>
      <c r="N846">
        <v>90036</v>
      </c>
      <c r="O846" t="s">
        <v>44</v>
      </c>
      <c r="P846" t="s">
        <v>2624</v>
      </c>
      <c r="Q846" t="s">
        <v>46</v>
      </c>
      <c r="R846" t="s">
        <v>579</v>
      </c>
      <c r="S846" t="s">
        <v>2625</v>
      </c>
      <c r="T846" s="4">
        <v>11.36</v>
      </c>
      <c r="U846">
        <v>2</v>
      </c>
      <c r="V846">
        <v>0</v>
      </c>
      <c r="W846" s="4">
        <v>3.2944</v>
      </c>
    </row>
    <row r="847" spans="1:23" x14ac:dyDescent="0.3">
      <c r="A847">
        <v>846</v>
      </c>
      <c r="B847" t="s">
        <v>2617</v>
      </c>
      <c r="C847" s="3">
        <v>42562</v>
      </c>
      <c r="D847" s="7" t="str">
        <f t="shared" si="26"/>
        <v>July</v>
      </c>
      <c r="E847" s="3">
        <f t="shared" si="27"/>
        <v>42582</v>
      </c>
      <c r="F847" s="3">
        <v>42624</v>
      </c>
      <c r="G847" t="s">
        <v>188</v>
      </c>
      <c r="H847" t="s">
        <v>2618</v>
      </c>
      <c r="I847" t="s">
        <v>2619</v>
      </c>
      <c r="J847" t="s">
        <v>41</v>
      </c>
      <c r="K847" t="s">
        <v>27</v>
      </c>
      <c r="L847" t="s">
        <v>42</v>
      </c>
      <c r="M847" t="s">
        <v>43</v>
      </c>
      <c r="N847">
        <v>90036</v>
      </c>
      <c r="O847" t="s">
        <v>44</v>
      </c>
      <c r="P847" t="s">
        <v>2626</v>
      </c>
      <c r="Q847" t="s">
        <v>46</v>
      </c>
      <c r="R847" t="s">
        <v>47</v>
      </c>
      <c r="S847" t="s">
        <v>2627</v>
      </c>
      <c r="T847" s="4">
        <v>14.62</v>
      </c>
      <c r="U847">
        <v>2</v>
      </c>
      <c r="V847">
        <v>0</v>
      </c>
      <c r="W847" s="4">
        <v>6.8714000000000004</v>
      </c>
    </row>
    <row r="848" spans="1:23" x14ac:dyDescent="0.3">
      <c r="A848">
        <v>847</v>
      </c>
      <c r="B848" t="s">
        <v>2628</v>
      </c>
      <c r="C848" s="3">
        <v>42379</v>
      </c>
      <c r="D848" s="7" t="str">
        <f t="shared" si="26"/>
        <v>January</v>
      </c>
      <c r="E848" s="3">
        <f t="shared" si="27"/>
        <v>42400</v>
      </c>
      <c r="F848" s="3">
        <v>42500</v>
      </c>
      <c r="G848" t="s">
        <v>50</v>
      </c>
      <c r="H848" t="s">
        <v>2629</v>
      </c>
      <c r="I848" t="s">
        <v>2630</v>
      </c>
      <c r="J848" t="s">
        <v>26</v>
      </c>
      <c r="K848" t="s">
        <v>27</v>
      </c>
      <c r="L848" t="s">
        <v>1478</v>
      </c>
      <c r="M848" t="s">
        <v>29</v>
      </c>
      <c r="N848">
        <v>40214</v>
      </c>
      <c r="O848" t="s">
        <v>30</v>
      </c>
      <c r="P848" t="s">
        <v>768</v>
      </c>
      <c r="Q848" t="s">
        <v>71</v>
      </c>
      <c r="R848" t="s">
        <v>72</v>
      </c>
      <c r="S848" t="s">
        <v>769</v>
      </c>
      <c r="T848" s="4">
        <v>83.72</v>
      </c>
      <c r="U848">
        <v>7</v>
      </c>
      <c r="V848">
        <v>0</v>
      </c>
      <c r="W848" s="4">
        <v>23.441600000000001</v>
      </c>
    </row>
    <row r="849" spans="1:23" x14ac:dyDescent="0.3">
      <c r="A849">
        <v>848</v>
      </c>
      <c r="B849" t="s">
        <v>2628</v>
      </c>
      <c r="C849" s="3">
        <v>42379</v>
      </c>
      <c r="D849" s="7" t="str">
        <f t="shared" si="26"/>
        <v>January</v>
      </c>
      <c r="E849" s="3">
        <f t="shared" si="27"/>
        <v>42400</v>
      </c>
      <c r="F849" s="3">
        <v>42500</v>
      </c>
      <c r="G849" t="s">
        <v>50</v>
      </c>
      <c r="H849" t="s">
        <v>2629</v>
      </c>
      <c r="I849" t="s">
        <v>2630</v>
      </c>
      <c r="J849" t="s">
        <v>26</v>
      </c>
      <c r="K849" t="s">
        <v>27</v>
      </c>
      <c r="L849" t="s">
        <v>1478</v>
      </c>
      <c r="M849" t="s">
        <v>29</v>
      </c>
      <c r="N849">
        <v>40214</v>
      </c>
      <c r="O849" t="s">
        <v>30</v>
      </c>
      <c r="P849" t="s">
        <v>1087</v>
      </c>
      <c r="Q849" t="s">
        <v>32</v>
      </c>
      <c r="R849" t="s">
        <v>36</v>
      </c>
      <c r="S849" t="s">
        <v>1088</v>
      </c>
      <c r="T849" s="4">
        <v>287.94</v>
      </c>
      <c r="U849">
        <v>3</v>
      </c>
      <c r="V849">
        <v>0</v>
      </c>
      <c r="W849" s="4">
        <v>77.743799999999993</v>
      </c>
    </row>
    <row r="850" spans="1:23" x14ac:dyDescent="0.3">
      <c r="A850">
        <v>849</v>
      </c>
      <c r="B850" t="s">
        <v>2631</v>
      </c>
      <c r="C850" s="3">
        <v>42736</v>
      </c>
      <c r="D850" s="7" t="str">
        <f t="shared" si="26"/>
        <v>January</v>
      </c>
      <c r="E850" s="3">
        <f t="shared" si="27"/>
        <v>42766</v>
      </c>
      <c r="F850" s="3">
        <v>42887</v>
      </c>
      <c r="G850" t="s">
        <v>50</v>
      </c>
      <c r="H850" t="s">
        <v>2632</v>
      </c>
      <c r="I850" t="s">
        <v>2633</v>
      </c>
      <c r="J850" t="s">
        <v>26</v>
      </c>
      <c r="K850" t="s">
        <v>27</v>
      </c>
      <c r="L850" t="s">
        <v>2634</v>
      </c>
      <c r="M850" t="s">
        <v>498</v>
      </c>
      <c r="N850">
        <v>44052</v>
      </c>
      <c r="O850" t="s">
        <v>148</v>
      </c>
      <c r="P850" t="s">
        <v>2635</v>
      </c>
      <c r="Q850" t="s">
        <v>32</v>
      </c>
      <c r="R850" t="s">
        <v>65</v>
      </c>
      <c r="S850" t="s">
        <v>2636</v>
      </c>
      <c r="T850" s="4">
        <v>48.896000000000001</v>
      </c>
      <c r="U850">
        <v>4</v>
      </c>
      <c r="V850">
        <v>0.2</v>
      </c>
      <c r="W850" s="4">
        <v>8.5568000000000008</v>
      </c>
    </row>
    <row r="851" spans="1:23" x14ac:dyDescent="0.3">
      <c r="A851">
        <v>850</v>
      </c>
      <c r="B851" t="s">
        <v>2637</v>
      </c>
      <c r="C851" s="3">
        <v>41822</v>
      </c>
      <c r="D851" s="7" t="str">
        <f t="shared" si="26"/>
        <v>July</v>
      </c>
      <c r="E851" s="3">
        <f t="shared" si="27"/>
        <v>41851</v>
      </c>
      <c r="F851" s="3">
        <v>41975</v>
      </c>
      <c r="G851" t="s">
        <v>50</v>
      </c>
      <c r="H851" t="s">
        <v>2638</v>
      </c>
      <c r="I851" t="s">
        <v>2639</v>
      </c>
      <c r="J851" t="s">
        <v>41</v>
      </c>
      <c r="K851" t="s">
        <v>27</v>
      </c>
      <c r="L851" t="s">
        <v>2640</v>
      </c>
      <c r="M851" t="s">
        <v>790</v>
      </c>
      <c r="N851">
        <v>7036</v>
      </c>
      <c r="O851" t="s">
        <v>148</v>
      </c>
      <c r="P851" t="s">
        <v>2641</v>
      </c>
      <c r="Q851" t="s">
        <v>71</v>
      </c>
      <c r="R851" t="s">
        <v>161</v>
      </c>
      <c r="S851" t="s">
        <v>2642</v>
      </c>
      <c r="T851" s="4">
        <v>115.36</v>
      </c>
      <c r="U851">
        <v>7</v>
      </c>
      <c r="V851">
        <v>0</v>
      </c>
      <c r="W851" s="4">
        <v>49.604799999999997</v>
      </c>
    </row>
    <row r="852" spans="1:23" x14ac:dyDescent="0.3">
      <c r="A852">
        <v>851</v>
      </c>
      <c r="B852" t="s">
        <v>2643</v>
      </c>
      <c r="C852" s="3">
        <v>42953</v>
      </c>
      <c r="D852" s="7" t="str">
        <f t="shared" si="26"/>
        <v>August</v>
      </c>
      <c r="E852" s="3">
        <f t="shared" si="27"/>
        <v>42978</v>
      </c>
      <c r="F852" s="3">
        <v>43106</v>
      </c>
      <c r="G852" t="s">
        <v>23</v>
      </c>
      <c r="H852" t="s">
        <v>2644</v>
      </c>
      <c r="I852" t="s">
        <v>2645</v>
      </c>
      <c r="J852" t="s">
        <v>41</v>
      </c>
      <c r="K852" t="s">
        <v>27</v>
      </c>
      <c r="L852" t="s">
        <v>2646</v>
      </c>
      <c r="M852" t="s">
        <v>43</v>
      </c>
      <c r="N852">
        <v>93905</v>
      </c>
      <c r="O852" t="s">
        <v>44</v>
      </c>
      <c r="P852" t="s">
        <v>2647</v>
      </c>
      <c r="Q852" t="s">
        <v>46</v>
      </c>
      <c r="R852" t="s">
        <v>68</v>
      </c>
      <c r="S852" t="s">
        <v>2648</v>
      </c>
      <c r="T852" s="4">
        <v>5.16</v>
      </c>
      <c r="U852">
        <v>2</v>
      </c>
      <c r="V852">
        <v>0</v>
      </c>
      <c r="W852" s="4">
        <v>1.3415999999999999</v>
      </c>
    </row>
    <row r="853" spans="1:23" x14ac:dyDescent="0.3">
      <c r="A853">
        <v>852</v>
      </c>
      <c r="B853" t="s">
        <v>2643</v>
      </c>
      <c r="C853" s="3">
        <v>42953</v>
      </c>
      <c r="D853" s="7" t="str">
        <f t="shared" si="26"/>
        <v>August</v>
      </c>
      <c r="E853" s="3">
        <f t="shared" si="27"/>
        <v>42978</v>
      </c>
      <c r="F853" s="3">
        <v>43106</v>
      </c>
      <c r="G853" t="s">
        <v>23</v>
      </c>
      <c r="H853" t="s">
        <v>2644</v>
      </c>
      <c r="I853" t="s">
        <v>2645</v>
      </c>
      <c r="J853" t="s">
        <v>41</v>
      </c>
      <c r="K853" t="s">
        <v>27</v>
      </c>
      <c r="L853" t="s">
        <v>2646</v>
      </c>
      <c r="M853" t="s">
        <v>43</v>
      </c>
      <c r="N853">
        <v>93905</v>
      </c>
      <c r="O853" t="s">
        <v>44</v>
      </c>
      <c r="P853" t="s">
        <v>2649</v>
      </c>
      <c r="Q853" t="s">
        <v>46</v>
      </c>
      <c r="R853" t="s">
        <v>90</v>
      </c>
      <c r="S853" t="s">
        <v>2650</v>
      </c>
      <c r="T853" s="4">
        <v>38.880000000000003</v>
      </c>
      <c r="U853">
        <v>6</v>
      </c>
      <c r="V853">
        <v>0</v>
      </c>
      <c r="W853" s="4">
        <v>18.662400000000002</v>
      </c>
    </row>
    <row r="854" spans="1:23" x14ac:dyDescent="0.3">
      <c r="A854">
        <v>853</v>
      </c>
      <c r="B854" t="s">
        <v>2651</v>
      </c>
      <c r="C854" s="3">
        <v>43195</v>
      </c>
      <c r="D854" s="7" t="str">
        <f t="shared" si="26"/>
        <v>April</v>
      </c>
      <c r="E854" s="3">
        <f t="shared" si="27"/>
        <v>43220</v>
      </c>
      <c r="F854" s="3">
        <v>42466</v>
      </c>
      <c r="G854" t="s">
        <v>50</v>
      </c>
      <c r="H854" t="s">
        <v>890</v>
      </c>
      <c r="I854" t="s">
        <v>891</v>
      </c>
      <c r="J854" t="s">
        <v>26</v>
      </c>
      <c r="K854" t="s">
        <v>27</v>
      </c>
      <c r="L854" t="s">
        <v>328</v>
      </c>
      <c r="M854" t="s">
        <v>1492</v>
      </c>
      <c r="N854">
        <v>39212</v>
      </c>
      <c r="O854" t="s">
        <v>30</v>
      </c>
      <c r="P854" t="s">
        <v>1162</v>
      </c>
      <c r="Q854" t="s">
        <v>46</v>
      </c>
      <c r="R854" t="s">
        <v>68</v>
      </c>
      <c r="S854" t="s">
        <v>1163</v>
      </c>
      <c r="T854" s="4">
        <v>185.88</v>
      </c>
      <c r="U854">
        <v>6</v>
      </c>
      <c r="V854">
        <v>0</v>
      </c>
      <c r="W854" s="4">
        <v>50.187600000000003</v>
      </c>
    </row>
    <row r="855" spans="1:23" x14ac:dyDescent="0.3">
      <c r="A855">
        <v>854</v>
      </c>
      <c r="B855" t="s">
        <v>2652</v>
      </c>
      <c r="C855" s="3">
        <v>42918</v>
      </c>
      <c r="D855" s="7" t="str">
        <f t="shared" si="26"/>
        <v>July</v>
      </c>
      <c r="E855" s="3">
        <f t="shared" si="27"/>
        <v>42947</v>
      </c>
      <c r="F855" s="3">
        <v>43071</v>
      </c>
      <c r="G855" t="s">
        <v>50</v>
      </c>
      <c r="H855" t="s">
        <v>1883</v>
      </c>
      <c r="I855" t="s">
        <v>1884</v>
      </c>
      <c r="J855" t="s">
        <v>26</v>
      </c>
      <c r="K855" t="s">
        <v>27</v>
      </c>
      <c r="L855" t="s">
        <v>266</v>
      </c>
      <c r="M855" t="s">
        <v>267</v>
      </c>
      <c r="N855">
        <v>10035</v>
      </c>
      <c r="O855" t="s">
        <v>148</v>
      </c>
      <c r="P855" t="s">
        <v>2515</v>
      </c>
      <c r="Q855" t="s">
        <v>32</v>
      </c>
      <c r="R855" t="s">
        <v>65</v>
      </c>
      <c r="S855" t="s">
        <v>2516</v>
      </c>
      <c r="T855" s="4">
        <v>44.46</v>
      </c>
      <c r="U855">
        <v>2</v>
      </c>
      <c r="V855">
        <v>0</v>
      </c>
      <c r="W855" s="4">
        <v>14.671799999999999</v>
      </c>
    </row>
    <row r="856" spans="1:23" x14ac:dyDescent="0.3">
      <c r="A856">
        <v>855</v>
      </c>
      <c r="B856" t="s">
        <v>2652</v>
      </c>
      <c r="C856" s="3">
        <v>42918</v>
      </c>
      <c r="D856" s="7" t="str">
        <f t="shared" si="26"/>
        <v>July</v>
      </c>
      <c r="E856" s="3">
        <f t="shared" si="27"/>
        <v>42947</v>
      </c>
      <c r="F856" s="3">
        <v>43071</v>
      </c>
      <c r="G856" t="s">
        <v>50</v>
      </c>
      <c r="H856" t="s">
        <v>1883</v>
      </c>
      <c r="I856" t="s">
        <v>1884</v>
      </c>
      <c r="J856" t="s">
        <v>26</v>
      </c>
      <c r="K856" t="s">
        <v>27</v>
      </c>
      <c r="L856" t="s">
        <v>266</v>
      </c>
      <c r="M856" t="s">
        <v>267</v>
      </c>
      <c r="N856">
        <v>10035</v>
      </c>
      <c r="O856" t="s">
        <v>148</v>
      </c>
      <c r="P856" t="s">
        <v>1779</v>
      </c>
      <c r="Q856" t="s">
        <v>46</v>
      </c>
      <c r="R856" t="s">
        <v>59</v>
      </c>
      <c r="S856" t="s">
        <v>1780</v>
      </c>
      <c r="T856" s="4">
        <v>242.94</v>
      </c>
      <c r="U856">
        <v>3</v>
      </c>
      <c r="V856">
        <v>0</v>
      </c>
      <c r="W856" s="4">
        <v>9.7175999999999991</v>
      </c>
    </row>
    <row r="857" spans="1:23" x14ac:dyDescent="0.3">
      <c r="A857">
        <v>856</v>
      </c>
      <c r="B857" t="s">
        <v>2653</v>
      </c>
      <c r="C857" s="3">
        <v>41706</v>
      </c>
      <c r="D857" s="7" t="str">
        <f t="shared" si="26"/>
        <v>March</v>
      </c>
      <c r="E857" s="3">
        <f t="shared" si="27"/>
        <v>41729</v>
      </c>
      <c r="F857" s="3">
        <v>41859</v>
      </c>
      <c r="G857" t="s">
        <v>50</v>
      </c>
      <c r="H857" t="s">
        <v>2654</v>
      </c>
      <c r="I857" t="s">
        <v>2655</v>
      </c>
      <c r="J857" t="s">
        <v>26</v>
      </c>
      <c r="K857" t="s">
        <v>27</v>
      </c>
      <c r="L857" t="s">
        <v>266</v>
      </c>
      <c r="M857" t="s">
        <v>267</v>
      </c>
      <c r="N857">
        <v>10035</v>
      </c>
      <c r="O857" t="s">
        <v>148</v>
      </c>
      <c r="P857" t="s">
        <v>2656</v>
      </c>
      <c r="Q857" t="s">
        <v>46</v>
      </c>
      <c r="R857" t="s">
        <v>90</v>
      </c>
      <c r="S857" t="s">
        <v>2657</v>
      </c>
      <c r="T857" s="4">
        <v>39.96</v>
      </c>
      <c r="U857">
        <v>2</v>
      </c>
      <c r="V857">
        <v>0</v>
      </c>
      <c r="W857" s="4">
        <v>18.781199999999998</v>
      </c>
    </row>
    <row r="858" spans="1:23" x14ac:dyDescent="0.3">
      <c r="A858">
        <v>857</v>
      </c>
      <c r="B858" t="s">
        <v>2653</v>
      </c>
      <c r="C858" s="3">
        <v>41706</v>
      </c>
      <c r="D858" s="7" t="str">
        <f t="shared" si="26"/>
        <v>March</v>
      </c>
      <c r="E858" s="3">
        <f t="shared" si="27"/>
        <v>41729</v>
      </c>
      <c r="F858" s="3">
        <v>41859</v>
      </c>
      <c r="G858" t="s">
        <v>50</v>
      </c>
      <c r="H858" t="s">
        <v>2654</v>
      </c>
      <c r="I858" t="s">
        <v>2655</v>
      </c>
      <c r="J858" t="s">
        <v>26</v>
      </c>
      <c r="K858" t="s">
        <v>27</v>
      </c>
      <c r="L858" t="s">
        <v>266</v>
      </c>
      <c r="M858" t="s">
        <v>267</v>
      </c>
      <c r="N858">
        <v>10035</v>
      </c>
      <c r="O858" t="s">
        <v>148</v>
      </c>
      <c r="P858" t="s">
        <v>2658</v>
      </c>
      <c r="Q858" t="s">
        <v>46</v>
      </c>
      <c r="R858" t="s">
        <v>579</v>
      </c>
      <c r="S858" t="s">
        <v>2659</v>
      </c>
      <c r="T858" s="4">
        <v>102.3</v>
      </c>
      <c r="U858">
        <v>10</v>
      </c>
      <c r="V858">
        <v>0</v>
      </c>
      <c r="W858" s="4">
        <v>26.597999999999999</v>
      </c>
    </row>
    <row r="859" spans="1:23" x14ac:dyDescent="0.3">
      <c r="A859">
        <v>858</v>
      </c>
      <c r="B859" t="s">
        <v>2653</v>
      </c>
      <c r="C859" s="3">
        <v>41706</v>
      </c>
      <c r="D859" s="7" t="str">
        <f t="shared" si="26"/>
        <v>March</v>
      </c>
      <c r="E859" s="3">
        <f t="shared" si="27"/>
        <v>41729</v>
      </c>
      <c r="F859" s="3">
        <v>41859</v>
      </c>
      <c r="G859" t="s">
        <v>50</v>
      </c>
      <c r="H859" t="s">
        <v>2654</v>
      </c>
      <c r="I859" t="s">
        <v>2655</v>
      </c>
      <c r="J859" t="s">
        <v>26</v>
      </c>
      <c r="K859" t="s">
        <v>27</v>
      </c>
      <c r="L859" t="s">
        <v>266</v>
      </c>
      <c r="M859" t="s">
        <v>267</v>
      </c>
      <c r="N859">
        <v>10035</v>
      </c>
      <c r="O859" t="s">
        <v>148</v>
      </c>
      <c r="P859" t="s">
        <v>2660</v>
      </c>
      <c r="Q859" t="s">
        <v>46</v>
      </c>
      <c r="R859" t="s">
        <v>59</v>
      </c>
      <c r="S859" t="s">
        <v>2661</v>
      </c>
      <c r="T859" s="4">
        <v>21.36</v>
      </c>
      <c r="U859">
        <v>2</v>
      </c>
      <c r="V859">
        <v>0</v>
      </c>
      <c r="W859" s="4">
        <v>5.7671999999999999</v>
      </c>
    </row>
    <row r="860" spans="1:23" x14ac:dyDescent="0.3">
      <c r="A860">
        <v>859</v>
      </c>
      <c r="B860" t="s">
        <v>2662</v>
      </c>
      <c r="C860" s="3">
        <v>43012</v>
      </c>
      <c r="D860" s="7" t="str">
        <f t="shared" si="26"/>
        <v>October</v>
      </c>
      <c r="E860" s="3">
        <f t="shared" si="27"/>
        <v>43039</v>
      </c>
      <c r="F860" s="3">
        <v>43163</v>
      </c>
      <c r="G860" t="s">
        <v>50</v>
      </c>
      <c r="H860" t="s">
        <v>2663</v>
      </c>
      <c r="I860" t="s">
        <v>2664</v>
      </c>
      <c r="J860" t="s">
        <v>102</v>
      </c>
      <c r="K860" t="s">
        <v>27</v>
      </c>
      <c r="L860" t="s">
        <v>2665</v>
      </c>
      <c r="M860" t="s">
        <v>790</v>
      </c>
      <c r="N860">
        <v>8901</v>
      </c>
      <c r="O860" t="s">
        <v>148</v>
      </c>
      <c r="P860" t="s">
        <v>951</v>
      </c>
      <c r="Q860" t="s">
        <v>46</v>
      </c>
      <c r="R860" t="s">
        <v>90</v>
      </c>
      <c r="S860" t="s">
        <v>952</v>
      </c>
      <c r="T860" s="4">
        <v>7.61</v>
      </c>
      <c r="U860">
        <v>1</v>
      </c>
      <c r="V860">
        <v>0</v>
      </c>
      <c r="W860" s="4">
        <v>3.5767000000000002</v>
      </c>
    </row>
    <row r="861" spans="1:23" x14ac:dyDescent="0.3">
      <c r="A861">
        <v>860</v>
      </c>
      <c r="B861" t="s">
        <v>2662</v>
      </c>
      <c r="C861" s="3">
        <v>43012</v>
      </c>
      <c r="D861" s="7" t="str">
        <f t="shared" si="26"/>
        <v>October</v>
      </c>
      <c r="E861" s="3">
        <f t="shared" si="27"/>
        <v>43039</v>
      </c>
      <c r="F861" s="3">
        <v>43163</v>
      </c>
      <c r="G861" t="s">
        <v>50</v>
      </c>
      <c r="H861" t="s">
        <v>2663</v>
      </c>
      <c r="I861" t="s">
        <v>2664</v>
      </c>
      <c r="J861" t="s">
        <v>102</v>
      </c>
      <c r="K861" t="s">
        <v>27</v>
      </c>
      <c r="L861" t="s">
        <v>2665</v>
      </c>
      <c r="M861" t="s">
        <v>790</v>
      </c>
      <c r="N861">
        <v>8901</v>
      </c>
      <c r="O861" t="s">
        <v>148</v>
      </c>
      <c r="P861" t="s">
        <v>1177</v>
      </c>
      <c r="Q861" t="s">
        <v>46</v>
      </c>
      <c r="R861" t="s">
        <v>269</v>
      </c>
      <c r="S861" t="s">
        <v>1178</v>
      </c>
      <c r="T861" s="4">
        <v>7.16</v>
      </c>
      <c r="U861">
        <v>2</v>
      </c>
      <c r="V861">
        <v>0</v>
      </c>
      <c r="W861" s="4">
        <v>3.58</v>
      </c>
    </row>
    <row r="862" spans="1:23" x14ac:dyDescent="0.3">
      <c r="A862">
        <v>861</v>
      </c>
      <c r="B862" t="s">
        <v>2666</v>
      </c>
      <c r="C862" s="3">
        <v>41888</v>
      </c>
      <c r="D862" s="7" t="str">
        <f t="shared" si="26"/>
        <v>September</v>
      </c>
      <c r="E862" s="3">
        <f t="shared" si="27"/>
        <v>41912</v>
      </c>
      <c r="F862" s="3">
        <v>42100</v>
      </c>
      <c r="G862" t="s">
        <v>50</v>
      </c>
      <c r="H862" t="s">
        <v>2667</v>
      </c>
      <c r="I862" t="s">
        <v>2668</v>
      </c>
      <c r="J862" t="s">
        <v>26</v>
      </c>
      <c r="K862" t="s">
        <v>27</v>
      </c>
      <c r="L862" t="s">
        <v>127</v>
      </c>
      <c r="M862" t="s">
        <v>43</v>
      </c>
      <c r="N862">
        <v>94122</v>
      </c>
      <c r="O862" t="s">
        <v>44</v>
      </c>
      <c r="P862" t="s">
        <v>1299</v>
      </c>
      <c r="Q862" t="s">
        <v>46</v>
      </c>
      <c r="R862" t="s">
        <v>579</v>
      </c>
      <c r="S862" t="s">
        <v>1300</v>
      </c>
      <c r="T862" s="4">
        <v>7.36</v>
      </c>
      <c r="U862">
        <v>2</v>
      </c>
      <c r="V862">
        <v>0</v>
      </c>
      <c r="W862" s="4">
        <v>0.1472</v>
      </c>
    </row>
    <row r="863" spans="1:23" x14ac:dyDescent="0.3">
      <c r="A863">
        <v>862</v>
      </c>
      <c r="B863" t="s">
        <v>2666</v>
      </c>
      <c r="C863" s="3">
        <v>41888</v>
      </c>
      <c r="D863" s="7" t="str">
        <f t="shared" si="26"/>
        <v>September</v>
      </c>
      <c r="E863" s="3">
        <f t="shared" si="27"/>
        <v>41912</v>
      </c>
      <c r="F863" s="3">
        <v>42100</v>
      </c>
      <c r="G863" t="s">
        <v>50</v>
      </c>
      <c r="H863" t="s">
        <v>2667</v>
      </c>
      <c r="I863" t="s">
        <v>2668</v>
      </c>
      <c r="J863" t="s">
        <v>26</v>
      </c>
      <c r="K863" t="s">
        <v>27</v>
      </c>
      <c r="L863" t="s">
        <v>127</v>
      </c>
      <c r="M863" t="s">
        <v>43</v>
      </c>
      <c r="N863">
        <v>94122</v>
      </c>
      <c r="O863" t="s">
        <v>44</v>
      </c>
      <c r="P863" t="s">
        <v>2669</v>
      </c>
      <c r="Q863" t="s">
        <v>46</v>
      </c>
      <c r="R863" t="s">
        <v>68</v>
      </c>
      <c r="S863" t="s">
        <v>2670</v>
      </c>
      <c r="T863" s="4">
        <v>23.1</v>
      </c>
      <c r="U863">
        <v>2</v>
      </c>
      <c r="V863">
        <v>0</v>
      </c>
      <c r="W863" s="4">
        <v>10.625999999999999</v>
      </c>
    </row>
    <row r="864" spans="1:23" x14ac:dyDescent="0.3">
      <c r="A864">
        <v>863</v>
      </c>
      <c r="B864" t="s">
        <v>2671</v>
      </c>
      <c r="C864" s="3">
        <v>42491</v>
      </c>
      <c r="D864" s="7" t="str">
        <f t="shared" si="26"/>
        <v>May</v>
      </c>
      <c r="E864" s="3">
        <f t="shared" si="27"/>
        <v>42521</v>
      </c>
      <c r="F864" s="3">
        <v>42552</v>
      </c>
      <c r="G864" t="s">
        <v>23</v>
      </c>
      <c r="H864" t="s">
        <v>2437</v>
      </c>
      <c r="I864" t="s">
        <v>2438</v>
      </c>
      <c r="J864" t="s">
        <v>41</v>
      </c>
      <c r="K864" t="s">
        <v>27</v>
      </c>
      <c r="L864" t="s">
        <v>1526</v>
      </c>
      <c r="M864" t="s">
        <v>54</v>
      </c>
      <c r="N864">
        <v>32216</v>
      </c>
      <c r="O864" t="s">
        <v>30</v>
      </c>
      <c r="P864" t="s">
        <v>2672</v>
      </c>
      <c r="Q864" t="s">
        <v>71</v>
      </c>
      <c r="R864" t="s">
        <v>161</v>
      </c>
      <c r="S864" t="s">
        <v>2673</v>
      </c>
      <c r="T864" s="4">
        <v>191.47200000000001</v>
      </c>
      <c r="U864">
        <v>6</v>
      </c>
      <c r="V864">
        <v>0.2</v>
      </c>
      <c r="W864" s="4">
        <v>40.687800000000003</v>
      </c>
    </row>
    <row r="865" spans="1:23" x14ac:dyDescent="0.3">
      <c r="A865">
        <v>864</v>
      </c>
      <c r="B865" t="s">
        <v>2671</v>
      </c>
      <c r="C865" s="3">
        <v>42491</v>
      </c>
      <c r="D865" s="7" t="str">
        <f t="shared" si="26"/>
        <v>May</v>
      </c>
      <c r="E865" s="3">
        <f t="shared" si="27"/>
        <v>42521</v>
      </c>
      <c r="F865" s="3">
        <v>42552</v>
      </c>
      <c r="G865" t="s">
        <v>23</v>
      </c>
      <c r="H865" t="s">
        <v>2437</v>
      </c>
      <c r="I865" t="s">
        <v>2438</v>
      </c>
      <c r="J865" t="s">
        <v>41</v>
      </c>
      <c r="K865" t="s">
        <v>27</v>
      </c>
      <c r="L865" t="s">
        <v>1526</v>
      </c>
      <c r="M865" t="s">
        <v>54</v>
      </c>
      <c r="N865">
        <v>32216</v>
      </c>
      <c r="O865" t="s">
        <v>30</v>
      </c>
      <c r="P865" t="s">
        <v>2674</v>
      </c>
      <c r="Q865" t="s">
        <v>46</v>
      </c>
      <c r="R865" t="s">
        <v>68</v>
      </c>
      <c r="S865" t="s">
        <v>2675</v>
      </c>
      <c r="T865" s="4">
        <v>5.2480000000000002</v>
      </c>
      <c r="U865">
        <v>2</v>
      </c>
      <c r="V865">
        <v>0.2</v>
      </c>
      <c r="W865" s="4">
        <v>0.59040000000000004</v>
      </c>
    </row>
    <row r="866" spans="1:23" x14ac:dyDescent="0.3">
      <c r="A866">
        <v>865</v>
      </c>
      <c r="B866" t="s">
        <v>2671</v>
      </c>
      <c r="C866" s="3">
        <v>42491</v>
      </c>
      <c r="D866" s="7" t="str">
        <f t="shared" si="26"/>
        <v>May</v>
      </c>
      <c r="E866" s="3">
        <f t="shared" si="27"/>
        <v>42521</v>
      </c>
      <c r="F866" s="3">
        <v>42552</v>
      </c>
      <c r="G866" t="s">
        <v>23</v>
      </c>
      <c r="H866" t="s">
        <v>2437</v>
      </c>
      <c r="I866" t="s">
        <v>2438</v>
      </c>
      <c r="J866" t="s">
        <v>41</v>
      </c>
      <c r="K866" t="s">
        <v>27</v>
      </c>
      <c r="L866" t="s">
        <v>1526</v>
      </c>
      <c r="M866" t="s">
        <v>54</v>
      </c>
      <c r="N866">
        <v>32216</v>
      </c>
      <c r="O866" t="s">
        <v>30</v>
      </c>
      <c r="P866" t="s">
        <v>2676</v>
      </c>
      <c r="Q866" t="s">
        <v>71</v>
      </c>
      <c r="R866" t="s">
        <v>72</v>
      </c>
      <c r="S866" t="s">
        <v>2677</v>
      </c>
      <c r="T866" s="4">
        <v>59.183999999999997</v>
      </c>
      <c r="U866">
        <v>2</v>
      </c>
      <c r="V866">
        <v>0.2</v>
      </c>
      <c r="W866" s="4">
        <v>5.1786000000000003</v>
      </c>
    </row>
    <row r="867" spans="1:23" x14ac:dyDescent="0.3">
      <c r="A867">
        <v>866</v>
      </c>
      <c r="B867" t="s">
        <v>2678</v>
      </c>
      <c r="C867" s="3">
        <v>41913</v>
      </c>
      <c r="D867" s="7" t="str">
        <f t="shared" si="26"/>
        <v>October</v>
      </c>
      <c r="E867" s="3">
        <f t="shared" si="27"/>
        <v>41943</v>
      </c>
      <c r="F867" s="3">
        <v>42064</v>
      </c>
      <c r="G867" t="s">
        <v>50</v>
      </c>
      <c r="H867" t="s">
        <v>2679</v>
      </c>
      <c r="I867" t="s">
        <v>2680</v>
      </c>
      <c r="J867" t="s">
        <v>41</v>
      </c>
      <c r="K867" t="s">
        <v>27</v>
      </c>
      <c r="L867" t="s">
        <v>318</v>
      </c>
      <c r="M867" t="s">
        <v>319</v>
      </c>
      <c r="N867">
        <v>22153</v>
      </c>
      <c r="O867" t="s">
        <v>30</v>
      </c>
      <c r="P867" t="s">
        <v>2681</v>
      </c>
      <c r="Q867" t="s">
        <v>46</v>
      </c>
      <c r="R867" t="s">
        <v>47</v>
      </c>
      <c r="S867" t="s">
        <v>2682</v>
      </c>
      <c r="T867" s="4">
        <v>2.89</v>
      </c>
      <c r="U867">
        <v>1</v>
      </c>
      <c r="V867">
        <v>0</v>
      </c>
      <c r="W867" s="4">
        <v>1.3583000000000001</v>
      </c>
    </row>
    <row r="868" spans="1:23" x14ac:dyDescent="0.3">
      <c r="A868">
        <v>867</v>
      </c>
      <c r="B868" t="s">
        <v>2678</v>
      </c>
      <c r="C868" s="3">
        <v>41913</v>
      </c>
      <c r="D868" s="7" t="str">
        <f t="shared" si="26"/>
        <v>October</v>
      </c>
      <c r="E868" s="3">
        <f t="shared" si="27"/>
        <v>41943</v>
      </c>
      <c r="F868" s="3">
        <v>42064</v>
      </c>
      <c r="G868" t="s">
        <v>50</v>
      </c>
      <c r="H868" t="s">
        <v>2679</v>
      </c>
      <c r="I868" t="s">
        <v>2680</v>
      </c>
      <c r="J868" t="s">
        <v>41</v>
      </c>
      <c r="K868" t="s">
        <v>27</v>
      </c>
      <c r="L868" t="s">
        <v>318</v>
      </c>
      <c r="M868" t="s">
        <v>319</v>
      </c>
      <c r="N868">
        <v>22153</v>
      </c>
      <c r="O868" t="s">
        <v>30</v>
      </c>
      <c r="P868" t="s">
        <v>2683</v>
      </c>
      <c r="Q868" t="s">
        <v>32</v>
      </c>
      <c r="R868" t="s">
        <v>65</v>
      </c>
      <c r="S868" t="s">
        <v>2684</v>
      </c>
      <c r="T868" s="4">
        <v>51.94</v>
      </c>
      <c r="U868">
        <v>1</v>
      </c>
      <c r="V868">
        <v>0</v>
      </c>
      <c r="W868" s="4">
        <v>21.295400000000001</v>
      </c>
    </row>
    <row r="869" spans="1:23" x14ac:dyDescent="0.3">
      <c r="A869">
        <v>868</v>
      </c>
      <c r="B869" t="s">
        <v>2685</v>
      </c>
      <c r="C869" s="3">
        <v>43229</v>
      </c>
      <c r="D869" s="7" t="str">
        <f t="shared" si="26"/>
        <v>May</v>
      </c>
      <c r="E869" s="3">
        <f t="shared" si="27"/>
        <v>43251</v>
      </c>
      <c r="F869" s="3">
        <v>42410</v>
      </c>
      <c r="G869" t="s">
        <v>188</v>
      </c>
      <c r="H869" t="s">
        <v>2686</v>
      </c>
      <c r="I869" t="s">
        <v>2687</v>
      </c>
      <c r="J869" t="s">
        <v>41</v>
      </c>
      <c r="K869" t="s">
        <v>27</v>
      </c>
      <c r="L869" t="s">
        <v>146</v>
      </c>
      <c r="M869" t="s">
        <v>147</v>
      </c>
      <c r="N869">
        <v>19140</v>
      </c>
      <c r="O869" t="s">
        <v>148</v>
      </c>
      <c r="P869" t="s">
        <v>2688</v>
      </c>
      <c r="Q869" t="s">
        <v>46</v>
      </c>
      <c r="R869" t="s">
        <v>47</v>
      </c>
      <c r="S869" t="s">
        <v>2689</v>
      </c>
      <c r="T869" s="4">
        <v>15.936</v>
      </c>
      <c r="U869">
        <v>4</v>
      </c>
      <c r="V869">
        <v>0.2</v>
      </c>
      <c r="W869" s="4">
        <v>5.1791999999999998</v>
      </c>
    </row>
    <row r="870" spans="1:23" x14ac:dyDescent="0.3">
      <c r="A870">
        <v>869</v>
      </c>
      <c r="B870" t="s">
        <v>2690</v>
      </c>
      <c r="C870" s="3">
        <v>41794</v>
      </c>
      <c r="D870" s="7" t="str">
        <f t="shared" si="26"/>
        <v>June</v>
      </c>
      <c r="E870" s="3">
        <f t="shared" si="27"/>
        <v>41820</v>
      </c>
      <c r="F870" s="3">
        <v>41916</v>
      </c>
      <c r="G870" t="s">
        <v>50</v>
      </c>
      <c r="H870" t="s">
        <v>2691</v>
      </c>
      <c r="I870" t="s">
        <v>2692</v>
      </c>
      <c r="J870" t="s">
        <v>41</v>
      </c>
      <c r="K870" t="s">
        <v>27</v>
      </c>
      <c r="L870" t="s">
        <v>2476</v>
      </c>
      <c r="M870" t="s">
        <v>147</v>
      </c>
      <c r="N870">
        <v>17602</v>
      </c>
      <c r="O870" t="s">
        <v>148</v>
      </c>
      <c r="P870" t="s">
        <v>2693</v>
      </c>
      <c r="Q870" t="s">
        <v>46</v>
      </c>
      <c r="R870" t="s">
        <v>75</v>
      </c>
      <c r="S870" t="s">
        <v>2694</v>
      </c>
      <c r="T870" s="4">
        <v>44.91</v>
      </c>
      <c r="U870">
        <v>6</v>
      </c>
      <c r="V870">
        <v>0.7</v>
      </c>
      <c r="W870" s="4">
        <v>-35.927999999999997</v>
      </c>
    </row>
    <row r="871" spans="1:23" x14ac:dyDescent="0.3">
      <c r="A871">
        <v>870</v>
      </c>
      <c r="B871" t="s">
        <v>2695</v>
      </c>
      <c r="C871" s="3">
        <v>42438</v>
      </c>
      <c r="D871" s="7" t="str">
        <f t="shared" si="26"/>
        <v>March</v>
      </c>
      <c r="E871" s="3">
        <f t="shared" si="27"/>
        <v>42460</v>
      </c>
      <c r="F871" s="3">
        <v>42499</v>
      </c>
      <c r="G871" t="s">
        <v>188</v>
      </c>
      <c r="H871" t="s">
        <v>2696</v>
      </c>
      <c r="I871" t="s">
        <v>2697</v>
      </c>
      <c r="J871" t="s">
        <v>102</v>
      </c>
      <c r="K871" t="s">
        <v>27</v>
      </c>
      <c r="L871" t="s">
        <v>146</v>
      </c>
      <c r="M871" t="s">
        <v>147</v>
      </c>
      <c r="N871">
        <v>19143</v>
      </c>
      <c r="O871" t="s">
        <v>148</v>
      </c>
      <c r="P871" t="s">
        <v>2698</v>
      </c>
      <c r="Q871" t="s">
        <v>46</v>
      </c>
      <c r="R871" t="s">
        <v>75</v>
      </c>
      <c r="S871" t="s">
        <v>2699</v>
      </c>
      <c r="T871" s="4">
        <v>1141.47</v>
      </c>
      <c r="U871">
        <v>5</v>
      </c>
      <c r="V871">
        <v>0.7</v>
      </c>
      <c r="W871" s="4">
        <v>-760.98</v>
      </c>
    </row>
    <row r="872" spans="1:23" x14ac:dyDescent="0.3">
      <c r="A872">
        <v>871</v>
      </c>
      <c r="B872" t="s">
        <v>2695</v>
      </c>
      <c r="C872" s="3">
        <v>42438</v>
      </c>
      <c r="D872" s="7" t="str">
        <f t="shared" si="26"/>
        <v>March</v>
      </c>
      <c r="E872" s="3">
        <f t="shared" si="27"/>
        <v>42460</v>
      </c>
      <c r="F872" s="3">
        <v>42499</v>
      </c>
      <c r="G872" t="s">
        <v>188</v>
      </c>
      <c r="H872" t="s">
        <v>2696</v>
      </c>
      <c r="I872" t="s">
        <v>2697</v>
      </c>
      <c r="J872" t="s">
        <v>102</v>
      </c>
      <c r="K872" t="s">
        <v>27</v>
      </c>
      <c r="L872" t="s">
        <v>146</v>
      </c>
      <c r="M872" t="s">
        <v>147</v>
      </c>
      <c r="N872">
        <v>19143</v>
      </c>
      <c r="O872" t="s">
        <v>148</v>
      </c>
      <c r="P872" t="s">
        <v>1925</v>
      </c>
      <c r="Q872" t="s">
        <v>71</v>
      </c>
      <c r="R872" t="s">
        <v>72</v>
      </c>
      <c r="S872" t="s">
        <v>1926</v>
      </c>
      <c r="T872" s="4">
        <v>280.78199999999998</v>
      </c>
      <c r="U872">
        <v>3</v>
      </c>
      <c r="V872">
        <v>0.4</v>
      </c>
      <c r="W872" s="4">
        <v>-46.796999999999997</v>
      </c>
    </row>
    <row r="873" spans="1:23" x14ac:dyDescent="0.3">
      <c r="A873">
        <v>872</v>
      </c>
      <c r="B873" t="s">
        <v>2700</v>
      </c>
      <c r="C873" s="3">
        <v>42561</v>
      </c>
      <c r="D873" s="7" t="str">
        <f t="shared" si="26"/>
        <v>July</v>
      </c>
      <c r="E873" s="3">
        <f t="shared" si="27"/>
        <v>42582</v>
      </c>
      <c r="F873" s="3">
        <v>42592</v>
      </c>
      <c r="G873" t="s">
        <v>188</v>
      </c>
      <c r="H873" t="s">
        <v>164</v>
      </c>
      <c r="I873" t="s">
        <v>165</v>
      </c>
      <c r="J873" t="s">
        <v>26</v>
      </c>
      <c r="K873" t="s">
        <v>27</v>
      </c>
      <c r="L873" t="s">
        <v>87</v>
      </c>
      <c r="M873" t="s">
        <v>2701</v>
      </c>
      <c r="N873">
        <v>3301</v>
      </c>
      <c r="O873" t="s">
        <v>148</v>
      </c>
      <c r="P873" t="s">
        <v>2702</v>
      </c>
      <c r="Q873" t="s">
        <v>46</v>
      </c>
      <c r="R873" t="s">
        <v>90</v>
      </c>
      <c r="S873" t="s">
        <v>2703</v>
      </c>
      <c r="T873" s="4">
        <v>34.44</v>
      </c>
      <c r="U873">
        <v>3</v>
      </c>
      <c r="V873">
        <v>0</v>
      </c>
      <c r="W873" s="4">
        <v>17.22</v>
      </c>
    </row>
    <row r="874" spans="1:23" x14ac:dyDescent="0.3">
      <c r="A874">
        <v>873</v>
      </c>
      <c r="B874" t="s">
        <v>2704</v>
      </c>
      <c r="C874" s="3">
        <v>41924</v>
      </c>
      <c r="D874" s="7" t="str">
        <f t="shared" si="26"/>
        <v>October</v>
      </c>
      <c r="E874" s="3">
        <f t="shared" si="27"/>
        <v>41943</v>
      </c>
      <c r="F874" s="3">
        <v>42075</v>
      </c>
      <c r="G874" t="s">
        <v>50</v>
      </c>
      <c r="H874" t="s">
        <v>2705</v>
      </c>
      <c r="I874" t="s">
        <v>2706</v>
      </c>
      <c r="J874" t="s">
        <v>26</v>
      </c>
      <c r="K874" t="s">
        <v>27</v>
      </c>
      <c r="L874" t="s">
        <v>266</v>
      </c>
      <c r="M874" t="s">
        <v>267</v>
      </c>
      <c r="N874">
        <v>10009</v>
      </c>
      <c r="O874" t="s">
        <v>148</v>
      </c>
      <c r="P874" t="s">
        <v>1040</v>
      </c>
      <c r="Q874" t="s">
        <v>46</v>
      </c>
      <c r="R874" t="s">
        <v>90</v>
      </c>
      <c r="S874" t="s">
        <v>1041</v>
      </c>
      <c r="T874" s="4">
        <v>11.36</v>
      </c>
      <c r="U874">
        <v>2</v>
      </c>
      <c r="V874">
        <v>0</v>
      </c>
      <c r="W874" s="4">
        <v>5.2256</v>
      </c>
    </row>
    <row r="875" spans="1:23" x14ac:dyDescent="0.3">
      <c r="A875">
        <v>874</v>
      </c>
      <c r="B875" t="s">
        <v>2704</v>
      </c>
      <c r="C875" s="3">
        <v>41924</v>
      </c>
      <c r="D875" s="7" t="str">
        <f t="shared" si="26"/>
        <v>October</v>
      </c>
      <c r="E875" s="3">
        <f t="shared" si="27"/>
        <v>41943</v>
      </c>
      <c r="F875" s="3">
        <v>42075</v>
      </c>
      <c r="G875" t="s">
        <v>50</v>
      </c>
      <c r="H875" t="s">
        <v>2705</v>
      </c>
      <c r="I875" t="s">
        <v>2706</v>
      </c>
      <c r="J875" t="s">
        <v>26</v>
      </c>
      <c r="K875" t="s">
        <v>27</v>
      </c>
      <c r="L875" t="s">
        <v>266</v>
      </c>
      <c r="M875" t="s">
        <v>267</v>
      </c>
      <c r="N875">
        <v>10009</v>
      </c>
      <c r="O875" t="s">
        <v>148</v>
      </c>
      <c r="P875" t="s">
        <v>1608</v>
      </c>
      <c r="Q875" t="s">
        <v>46</v>
      </c>
      <c r="R875" t="s">
        <v>75</v>
      </c>
      <c r="S875" t="s">
        <v>1609</v>
      </c>
      <c r="T875" s="4">
        <v>106.34399999999999</v>
      </c>
      <c r="U875">
        <v>7</v>
      </c>
      <c r="V875">
        <v>0.2</v>
      </c>
      <c r="W875" s="4">
        <v>37.220399999999998</v>
      </c>
    </row>
    <row r="876" spans="1:23" x14ac:dyDescent="0.3">
      <c r="A876">
        <v>875</v>
      </c>
      <c r="B876" t="s">
        <v>2707</v>
      </c>
      <c r="C876" s="3">
        <v>43473</v>
      </c>
      <c r="D876" s="7" t="str">
        <f t="shared" si="26"/>
        <v>January</v>
      </c>
      <c r="E876" s="3">
        <f t="shared" si="27"/>
        <v>43496</v>
      </c>
      <c r="F876" s="3">
        <v>43593</v>
      </c>
      <c r="G876" t="s">
        <v>50</v>
      </c>
      <c r="H876" t="s">
        <v>2632</v>
      </c>
      <c r="I876" t="s">
        <v>2633</v>
      </c>
      <c r="J876" t="s">
        <v>26</v>
      </c>
      <c r="K876" t="s">
        <v>27</v>
      </c>
      <c r="L876" t="s">
        <v>467</v>
      </c>
      <c r="M876" t="s">
        <v>88</v>
      </c>
      <c r="N876">
        <v>28205</v>
      </c>
      <c r="O876" t="s">
        <v>30</v>
      </c>
      <c r="P876" t="s">
        <v>2708</v>
      </c>
      <c r="Q876" t="s">
        <v>46</v>
      </c>
      <c r="R876" t="s">
        <v>90</v>
      </c>
      <c r="S876" t="s">
        <v>2709</v>
      </c>
      <c r="T876" s="4">
        <v>192.16</v>
      </c>
      <c r="U876">
        <v>5</v>
      </c>
      <c r="V876">
        <v>0.2</v>
      </c>
      <c r="W876" s="4">
        <v>67.256</v>
      </c>
    </row>
    <row r="877" spans="1:23" x14ac:dyDescent="0.3">
      <c r="A877">
        <v>876</v>
      </c>
      <c r="B877" t="s">
        <v>2710</v>
      </c>
      <c r="C877" s="3">
        <v>42856</v>
      </c>
      <c r="D877" s="7" t="str">
        <f t="shared" si="26"/>
        <v>May</v>
      </c>
      <c r="E877" s="3">
        <f t="shared" si="27"/>
        <v>42886</v>
      </c>
      <c r="F877" s="3">
        <v>42979</v>
      </c>
      <c r="G877" t="s">
        <v>50</v>
      </c>
      <c r="H877" t="s">
        <v>2135</v>
      </c>
      <c r="I877" t="s">
        <v>2136</v>
      </c>
      <c r="J877" t="s">
        <v>102</v>
      </c>
      <c r="K877" t="s">
        <v>27</v>
      </c>
      <c r="L877" t="s">
        <v>87</v>
      </c>
      <c r="M877" t="s">
        <v>2701</v>
      </c>
      <c r="N877">
        <v>3301</v>
      </c>
      <c r="O877" t="s">
        <v>148</v>
      </c>
      <c r="P877" t="s">
        <v>907</v>
      </c>
      <c r="Q877" t="s">
        <v>32</v>
      </c>
      <c r="R877" t="s">
        <v>65</v>
      </c>
      <c r="S877" t="s">
        <v>908</v>
      </c>
      <c r="T877" s="4">
        <v>322.58999999999997</v>
      </c>
      <c r="U877">
        <v>3</v>
      </c>
      <c r="V877">
        <v>0</v>
      </c>
      <c r="W877" s="4">
        <v>64.518000000000001</v>
      </c>
    </row>
    <row r="878" spans="1:23" x14ac:dyDescent="0.3">
      <c r="A878">
        <v>877</v>
      </c>
      <c r="B878" t="s">
        <v>2710</v>
      </c>
      <c r="C878" s="3">
        <v>42856</v>
      </c>
      <c r="D878" s="7" t="str">
        <f t="shared" si="26"/>
        <v>May</v>
      </c>
      <c r="E878" s="3">
        <f t="shared" si="27"/>
        <v>42886</v>
      </c>
      <c r="F878" s="3">
        <v>42979</v>
      </c>
      <c r="G878" t="s">
        <v>50</v>
      </c>
      <c r="H878" t="s">
        <v>2135</v>
      </c>
      <c r="I878" t="s">
        <v>2136</v>
      </c>
      <c r="J878" t="s">
        <v>102</v>
      </c>
      <c r="K878" t="s">
        <v>27</v>
      </c>
      <c r="L878" t="s">
        <v>87</v>
      </c>
      <c r="M878" t="s">
        <v>2701</v>
      </c>
      <c r="N878">
        <v>3301</v>
      </c>
      <c r="O878" t="s">
        <v>148</v>
      </c>
      <c r="P878" t="s">
        <v>1021</v>
      </c>
      <c r="Q878" t="s">
        <v>71</v>
      </c>
      <c r="R878" t="s">
        <v>161</v>
      </c>
      <c r="S878" t="s">
        <v>1022</v>
      </c>
      <c r="T878" s="4">
        <v>29.99</v>
      </c>
      <c r="U878">
        <v>1</v>
      </c>
      <c r="V878">
        <v>0</v>
      </c>
      <c r="W878" s="4">
        <v>13.195600000000001</v>
      </c>
    </row>
    <row r="879" spans="1:23" x14ac:dyDescent="0.3">
      <c r="A879">
        <v>878</v>
      </c>
      <c r="B879" t="s">
        <v>2710</v>
      </c>
      <c r="C879" s="3">
        <v>42856</v>
      </c>
      <c r="D879" s="7" t="str">
        <f t="shared" si="26"/>
        <v>May</v>
      </c>
      <c r="E879" s="3">
        <f t="shared" si="27"/>
        <v>42886</v>
      </c>
      <c r="F879" s="3">
        <v>42979</v>
      </c>
      <c r="G879" t="s">
        <v>50</v>
      </c>
      <c r="H879" t="s">
        <v>2135</v>
      </c>
      <c r="I879" t="s">
        <v>2136</v>
      </c>
      <c r="J879" t="s">
        <v>102</v>
      </c>
      <c r="K879" t="s">
        <v>27</v>
      </c>
      <c r="L879" t="s">
        <v>87</v>
      </c>
      <c r="M879" t="s">
        <v>2701</v>
      </c>
      <c r="N879">
        <v>3301</v>
      </c>
      <c r="O879" t="s">
        <v>148</v>
      </c>
      <c r="P879" t="s">
        <v>2711</v>
      </c>
      <c r="Q879" t="s">
        <v>71</v>
      </c>
      <c r="R879" t="s">
        <v>161</v>
      </c>
      <c r="S879" t="s">
        <v>2712</v>
      </c>
      <c r="T879" s="4">
        <v>371.97</v>
      </c>
      <c r="U879">
        <v>3</v>
      </c>
      <c r="V879">
        <v>0</v>
      </c>
      <c r="W879" s="4">
        <v>66.954599999999999</v>
      </c>
    </row>
    <row r="880" spans="1:23" x14ac:dyDescent="0.3">
      <c r="A880">
        <v>879</v>
      </c>
      <c r="B880" t="s">
        <v>2713</v>
      </c>
      <c r="C880" s="3">
        <v>42133</v>
      </c>
      <c r="D880" s="7" t="str">
        <f t="shared" si="26"/>
        <v>May</v>
      </c>
      <c r="E880" s="3">
        <f t="shared" si="27"/>
        <v>42155</v>
      </c>
      <c r="F880" s="3">
        <v>42256</v>
      </c>
      <c r="G880" t="s">
        <v>50</v>
      </c>
      <c r="H880" t="s">
        <v>2714</v>
      </c>
      <c r="I880" t="s">
        <v>2715</v>
      </c>
      <c r="J880" t="s">
        <v>102</v>
      </c>
      <c r="K880" t="s">
        <v>27</v>
      </c>
      <c r="L880" t="s">
        <v>146</v>
      </c>
      <c r="M880" t="s">
        <v>147</v>
      </c>
      <c r="N880">
        <v>19120</v>
      </c>
      <c r="O880" t="s">
        <v>148</v>
      </c>
      <c r="P880" t="s">
        <v>2716</v>
      </c>
      <c r="Q880" t="s">
        <v>46</v>
      </c>
      <c r="R880" t="s">
        <v>75</v>
      </c>
      <c r="S880" t="s">
        <v>2717</v>
      </c>
      <c r="T880" s="4">
        <v>5.8920000000000003</v>
      </c>
      <c r="U880">
        <v>4</v>
      </c>
      <c r="V880">
        <v>0.7</v>
      </c>
      <c r="W880" s="4">
        <v>-4.1243999999999996</v>
      </c>
    </row>
    <row r="881" spans="1:23" x14ac:dyDescent="0.3">
      <c r="A881">
        <v>880</v>
      </c>
      <c r="B881" t="s">
        <v>2718</v>
      </c>
      <c r="C881" s="3">
        <v>43627</v>
      </c>
      <c r="D881" s="7" t="str">
        <f t="shared" si="26"/>
        <v>June</v>
      </c>
      <c r="E881" s="3">
        <f t="shared" si="27"/>
        <v>43646</v>
      </c>
      <c r="F881" s="3">
        <v>42778</v>
      </c>
      <c r="G881" t="s">
        <v>23</v>
      </c>
      <c r="H881" t="s">
        <v>100</v>
      </c>
      <c r="I881" t="s">
        <v>101</v>
      </c>
      <c r="J881" t="s">
        <v>102</v>
      </c>
      <c r="K881" t="s">
        <v>27</v>
      </c>
      <c r="L881" t="s">
        <v>266</v>
      </c>
      <c r="M881" t="s">
        <v>267</v>
      </c>
      <c r="N881">
        <v>10024</v>
      </c>
      <c r="O881" t="s">
        <v>148</v>
      </c>
      <c r="P881" t="s">
        <v>2719</v>
      </c>
      <c r="Q881" t="s">
        <v>46</v>
      </c>
      <c r="R881" t="s">
        <v>75</v>
      </c>
      <c r="S881" t="s">
        <v>2720</v>
      </c>
      <c r="T881" s="4">
        <v>68.471999999999994</v>
      </c>
      <c r="U881">
        <v>3</v>
      </c>
      <c r="V881">
        <v>0.2</v>
      </c>
      <c r="W881" s="4">
        <v>23.109300000000001</v>
      </c>
    </row>
    <row r="882" spans="1:23" x14ac:dyDescent="0.3">
      <c r="A882">
        <v>881</v>
      </c>
      <c r="B882" t="s">
        <v>2718</v>
      </c>
      <c r="C882" s="3">
        <v>43627</v>
      </c>
      <c r="D882" s="7" t="str">
        <f t="shared" si="26"/>
        <v>June</v>
      </c>
      <c r="E882" s="3">
        <f t="shared" si="27"/>
        <v>43646</v>
      </c>
      <c r="F882" s="3">
        <v>42778</v>
      </c>
      <c r="G882" t="s">
        <v>23</v>
      </c>
      <c r="H882" t="s">
        <v>100</v>
      </c>
      <c r="I882" t="s">
        <v>101</v>
      </c>
      <c r="J882" t="s">
        <v>102</v>
      </c>
      <c r="K882" t="s">
        <v>27</v>
      </c>
      <c r="L882" t="s">
        <v>266</v>
      </c>
      <c r="M882" t="s">
        <v>267</v>
      </c>
      <c r="N882">
        <v>10024</v>
      </c>
      <c r="O882" t="s">
        <v>148</v>
      </c>
      <c r="P882" t="s">
        <v>688</v>
      </c>
      <c r="Q882" t="s">
        <v>32</v>
      </c>
      <c r="R882" t="s">
        <v>36</v>
      </c>
      <c r="S882" t="s">
        <v>689</v>
      </c>
      <c r="T882" s="4">
        <v>1242.9000000000001</v>
      </c>
      <c r="U882">
        <v>5</v>
      </c>
      <c r="V882">
        <v>0.1</v>
      </c>
      <c r="W882" s="4">
        <v>262.39</v>
      </c>
    </row>
    <row r="883" spans="1:23" x14ac:dyDescent="0.3">
      <c r="A883">
        <v>882</v>
      </c>
      <c r="B883" t="s">
        <v>2721</v>
      </c>
      <c r="C883" s="3">
        <v>42257</v>
      </c>
      <c r="D883" s="7" t="str">
        <f t="shared" si="26"/>
        <v>September</v>
      </c>
      <c r="E883" s="3">
        <f t="shared" si="27"/>
        <v>42277</v>
      </c>
      <c r="F883" s="3">
        <v>42379</v>
      </c>
      <c r="G883" t="s">
        <v>50</v>
      </c>
      <c r="H883" t="s">
        <v>508</v>
      </c>
      <c r="I883" t="s">
        <v>509</v>
      </c>
      <c r="J883" t="s">
        <v>26</v>
      </c>
      <c r="K883" t="s">
        <v>27</v>
      </c>
      <c r="L883" t="s">
        <v>318</v>
      </c>
      <c r="M883" t="s">
        <v>319</v>
      </c>
      <c r="N883">
        <v>22153</v>
      </c>
      <c r="O883" t="s">
        <v>30</v>
      </c>
      <c r="P883" t="s">
        <v>1640</v>
      </c>
      <c r="Q883" t="s">
        <v>46</v>
      </c>
      <c r="R883" t="s">
        <v>59</v>
      </c>
      <c r="S883" t="s">
        <v>1641</v>
      </c>
      <c r="T883" s="4">
        <v>30.84</v>
      </c>
      <c r="U883">
        <v>2</v>
      </c>
      <c r="V883">
        <v>0</v>
      </c>
      <c r="W883" s="4">
        <v>8.3268000000000004</v>
      </c>
    </row>
    <row r="884" spans="1:23" x14ac:dyDescent="0.3">
      <c r="A884">
        <v>883</v>
      </c>
      <c r="B884" t="s">
        <v>2722</v>
      </c>
      <c r="C884" s="3">
        <v>43416</v>
      </c>
      <c r="D884" s="7" t="str">
        <f t="shared" si="26"/>
        <v>November</v>
      </c>
      <c r="E884" s="3">
        <f t="shared" si="27"/>
        <v>43434</v>
      </c>
      <c r="F884" s="3">
        <v>43416</v>
      </c>
      <c r="G884" t="s">
        <v>1293</v>
      </c>
      <c r="H884" t="s">
        <v>449</v>
      </c>
      <c r="I884" t="s">
        <v>450</v>
      </c>
      <c r="J884" t="s">
        <v>26</v>
      </c>
      <c r="K884" t="s">
        <v>27</v>
      </c>
      <c r="L884" t="s">
        <v>127</v>
      </c>
      <c r="M884" t="s">
        <v>43</v>
      </c>
      <c r="N884">
        <v>94109</v>
      </c>
      <c r="O884" t="s">
        <v>44</v>
      </c>
      <c r="P884" t="s">
        <v>2262</v>
      </c>
      <c r="Q884" t="s">
        <v>46</v>
      </c>
      <c r="R884" t="s">
        <v>68</v>
      </c>
      <c r="S884" t="s">
        <v>2263</v>
      </c>
      <c r="T884" s="4">
        <v>13.48</v>
      </c>
      <c r="U884">
        <v>4</v>
      </c>
      <c r="V884">
        <v>0</v>
      </c>
      <c r="W884" s="4">
        <v>5.9311999999999996</v>
      </c>
    </row>
    <row r="885" spans="1:23" x14ac:dyDescent="0.3">
      <c r="A885">
        <v>884</v>
      </c>
      <c r="B885" t="s">
        <v>2723</v>
      </c>
      <c r="C885" s="3">
        <v>43018</v>
      </c>
      <c r="D885" s="7" t="str">
        <f t="shared" si="26"/>
        <v>October</v>
      </c>
      <c r="E885" s="3">
        <f t="shared" si="27"/>
        <v>43039</v>
      </c>
      <c r="F885" s="3">
        <v>43079</v>
      </c>
      <c r="G885" t="s">
        <v>188</v>
      </c>
      <c r="H885" t="s">
        <v>2724</v>
      </c>
      <c r="I885" t="s">
        <v>2725</v>
      </c>
      <c r="J885" t="s">
        <v>102</v>
      </c>
      <c r="K885" t="s">
        <v>27</v>
      </c>
      <c r="L885" t="s">
        <v>882</v>
      </c>
      <c r="M885" t="s">
        <v>238</v>
      </c>
      <c r="N885">
        <v>48227</v>
      </c>
      <c r="O885" t="s">
        <v>105</v>
      </c>
      <c r="P885" t="s">
        <v>2116</v>
      </c>
      <c r="Q885" t="s">
        <v>32</v>
      </c>
      <c r="R885" t="s">
        <v>65</v>
      </c>
      <c r="S885" t="s">
        <v>2117</v>
      </c>
      <c r="T885" s="4">
        <v>31.4</v>
      </c>
      <c r="U885">
        <v>5</v>
      </c>
      <c r="V885">
        <v>0</v>
      </c>
      <c r="W885" s="4">
        <v>10.048</v>
      </c>
    </row>
    <row r="886" spans="1:23" x14ac:dyDescent="0.3">
      <c r="A886">
        <v>885</v>
      </c>
      <c r="B886" t="s">
        <v>2726</v>
      </c>
      <c r="C886" s="3">
        <v>42494</v>
      </c>
      <c r="D886" s="7" t="str">
        <f t="shared" si="26"/>
        <v>May</v>
      </c>
      <c r="E886" s="3">
        <f t="shared" si="27"/>
        <v>42521</v>
      </c>
      <c r="F886" s="3">
        <v>41734</v>
      </c>
      <c r="G886" t="s">
        <v>50</v>
      </c>
      <c r="H886" t="s">
        <v>2727</v>
      </c>
      <c r="I886" t="s">
        <v>2728</v>
      </c>
      <c r="J886" t="s">
        <v>26</v>
      </c>
      <c r="K886" t="s">
        <v>27</v>
      </c>
      <c r="L886" t="s">
        <v>389</v>
      </c>
      <c r="M886" t="s">
        <v>267</v>
      </c>
      <c r="N886">
        <v>14609</v>
      </c>
      <c r="O886" t="s">
        <v>148</v>
      </c>
      <c r="P886" t="s">
        <v>2729</v>
      </c>
      <c r="Q886" t="s">
        <v>32</v>
      </c>
      <c r="R886" t="s">
        <v>65</v>
      </c>
      <c r="S886" t="s">
        <v>2730</v>
      </c>
      <c r="T886" s="4">
        <v>17.46</v>
      </c>
      <c r="U886">
        <v>2</v>
      </c>
      <c r="V886">
        <v>0</v>
      </c>
      <c r="W886" s="4">
        <v>5.9363999999999999</v>
      </c>
    </row>
    <row r="887" spans="1:23" x14ac:dyDescent="0.3">
      <c r="A887">
        <v>886</v>
      </c>
      <c r="B887" t="s">
        <v>2731</v>
      </c>
      <c r="C887" s="3">
        <v>42739</v>
      </c>
      <c r="D887" s="7" t="str">
        <f t="shared" si="26"/>
        <v>January</v>
      </c>
      <c r="E887" s="3">
        <f t="shared" si="27"/>
        <v>42766</v>
      </c>
      <c r="F887" s="3">
        <v>42829</v>
      </c>
      <c r="G887" t="s">
        <v>23</v>
      </c>
      <c r="H887" t="s">
        <v>2732</v>
      </c>
      <c r="I887" t="s">
        <v>2733</v>
      </c>
      <c r="J887" t="s">
        <v>41</v>
      </c>
      <c r="K887" t="s">
        <v>27</v>
      </c>
      <c r="L887" t="s">
        <v>42</v>
      </c>
      <c r="M887" t="s">
        <v>43</v>
      </c>
      <c r="N887">
        <v>90045</v>
      </c>
      <c r="O887" t="s">
        <v>44</v>
      </c>
      <c r="P887" t="s">
        <v>2734</v>
      </c>
      <c r="Q887" t="s">
        <v>46</v>
      </c>
      <c r="R887" t="s">
        <v>75</v>
      </c>
      <c r="S887" t="s">
        <v>2735</v>
      </c>
      <c r="T887" s="4">
        <v>13.944000000000001</v>
      </c>
      <c r="U887">
        <v>3</v>
      </c>
      <c r="V887">
        <v>0.2</v>
      </c>
      <c r="W887" s="4">
        <v>4.5317999999999996</v>
      </c>
    </row>
    <row r="888" spans="1:23" x14ac:dyDescent="0.3">
      <c r="A888">
        <v>887</v>
      </c>
      <c r="B888" t="s">
        <v>2736</v>
      </c>
      <c r="C888" s="3">
        <v>43502</v>
      </c>
      <c r="D888" s="7" t="str">
        <f t="shared" si="26"/>
        <v>February</v>
      </c>
      <c r="E888" s="3">
        <f t="shared" si="27"/>
        <v>43524</v>
      </c>
      <c r="F888" s="3">
        <v>42773</v>
      </c>
      <c r="G888" t="s">
        <v>50</v>
      </c>
      <c r="H888" t="s">
        <v>1897</v>
      </c>
      <c r="I888" t="s">
        <v>1898</v>
      </c>
      <c r="J888" t="s">
        <v>26</v>
      </c>
      <c r="K888" t="s">
        <v>27</v>
      </c>
      <c r="L888" t="s">
        <v>950</v>
      </c>
      <c r="M888" t="s">
        <v>43</v>
      </c>
      <c r="N888">
        <v>92105</v>
      </c>
      <c r="O888" t="s">
        <v>44</v>
      </c>
      <c r="P888" t="s">
        <v>2737</v>
      </c>
      <c r="Q888" t="s">
        <v>46</v>
      </c>
      <c r="R888" t="s">
        <v>59</v>
      </c>
      <c r="S888" t="s">
        <v>2738</v>
      </c>
      <c r="T888" s="4">
        <v>83.76</v>
      </c>
      <c r="U888">
        <v>12</v>
      </c>
      <c r="V888">
        <v>0</v>
      </c>
      <c r="W888" s="4">
        <v>1.6752</v>
      </c>
    </row>
    <row r="889" spans="1:23" x14ac:dyDescent="0.3">
      <c r="A889">
        <v>888</v>
      </c>
      <c r="B889" t="s">
        <v>2739</v>
      </c>
      <c r="C889" s="3">
        <v>43141</v>
      </c>
      <c r="D889" s="7" t="str">
        <f t="shared" si="26"/>
        <v>February</v>
      </c>
      <c r="E889" s="3">
        <f t="shared" si="27"/>
        <v>43159</v>
      </c>
      <c r="F889" s="3">
        <v>43291</v>
      </c>
      <c r="G889" t="s">
        <v>50</v>
      </c>
      <c r="H889" t="s">
        <v>2740</v>
      </c>
      <c r="I889" t="s">
        <v>2741</v>
      </c>
      <c r="J889" t="s">
        <v>102</v>
      </c>
      <c r="K889" t="s">
        <v>27</v>
      </c>
      <c r="L889" t="s">
        <v>382</v>
      </c>
      <c r="M889" t="s">
        <v>2742</v>
      </c>
      <c r="N889">
        <v>21044</v>
      </c>
      <c r="O889" t="s">
        <v>148</v>
      </c>
      <c r="P889" t="s">
        <v>294</v>
      </c>
      <c r="Q889" t="s">
        <v>46</v>
      </c>
      <c r="R889" t="s">
        <v>75</v>
      </c>
      <c r="S889" t="s">
        <v>295</v>
      </c>
      <c r="T889" s="4">
        <v>37.659999999999997</v>
      </c>
      <c r="U889">
        <v>7</v>
      </c>
      <c r="V889">
        <v>0</v>
      </c>
      <c r="W889" s="4">
        <v>18.453399999999998</v>
      </c>
    </row>
    <row r="890" spans="1:23" x14ac:dyDescent="0.3">
      <c r="A890">
        <v>889</v>
      </c>
      <c r="B890" t="s">
        <v>2743</v>
      </c>
      <c r="C890" s="3">
        <v>41894</v>
      </c>
      <c r="D890" s="7" t="str">
        <f t="shared" si="26"/>
        <v>September</v>
      </c>
      <c r="E890" s="3">
        <f t="shared" si="27"/>
        <v>41912</v>
      </c>
      <c r="F890" s="3">
        <v>42106</v>
      </c>
      <c r="G890" t="s">
        <v>50</v>
      </c>
      <c r="H890" t="s">
        <v>2638</v>
      </c>
      <c r="I890" t="s">
        <v>2639</v>
      </c>
      <c r="J890" t="s">
        <v>41</v>
      </c>
      <c r="K890" t="s">
        <v>27</v>
      </c>
      <c r="L890" t="s">
        <v>127</v>
      </c>
      <c r="M890" t="s">
        <v>43</v>
      </c>
      <c r="N890">
        <v>94122</v>
      </c>
      <c r="O890" t="s">
        <v>44</v>
      </c>
      <c r="P890" t="s">
        <v>1470</v>
      </c>
      <c r="Q890" t="s">
        <v>46</v>
      </c>
      <c r="R890" t="s">
        <v>90</v>
      </c>
      <c r="S890" t="s">
        <v>1471</v>
      </c>
      <c r="T890" s="4">
        <v>34.68</v>
      </c>
      <c r="U890">
        <v>6</v>
      </c>
      <c r="V890">
        <v>0</v>
      </c>
      <c r="W890" s="4">
        <v>16.993200000000002</v>
      </c>
    </row>
    <row r="891" spans="1:23" x14ac:dyDescent="0.3">
      <c r="A891">
        <v>890</v>
      </c>
      <c r="B891" t="s">
        <v>2744</v>
      </c>
      <c r="C891" s="3">
        <v>43318</v>
      </c>
      <c r="D891" s="7" t="str">
        <f t="shared" si="26"/>
        <v>August</v>
      </c>
      <c r="E891" s="3">
        <f t="shared" si="27"/>
        <v>43343</v>
      </c>
      <c r="F891" s="3">
        <v>43502</v>
      </c>
      <c r="G891" t="s">
        <v>50</v>
      </c>
      <c r="H891" t="s">
        <v>1650</v>
      </c>
      <c r="I891" t="s">
        <v>1651</v>
      </c>
      <c r="J891" t="s">
        <v>26</v>
      </c>
      <c r="K891" t="s">
        <v>27</v>
      </c>
      <c r="L891" t="s">
        <v>1504</v>
      </c>
      <c r="M891" t="s">
        <v>267</v>
      </c>
      <c r="N891">
        <v>10801</v>
      </c>
      <c r="O891" t="s">
        <v>148</v>
      </c>
      <c r="P891" t="s">
        <v>2745</v>
      </c>
      <c r="Q891" t="s">
        <v>71</v>
      </c>
      <c r="R891" t="s">
        <v>161</v>
      </c>
      <c r="S891" t="s">
        <v>2746</v>
      </c>
      <c r="T891" s="4">
        <v>149.94999999999999</v>
      </c>
      <c r="U891">
        <v>5</v>
      </c>
      <c r="V891">
        <v>0</v>
      </c>
      <c r="W891" s="4">
        <v>14.994999999999999</v>
      </c>
    </row>
    <row r="892" spans="1:23" x14ac:dyDescent="0.3">
      <c r="A892">
        <v>891</v>
      </c>
      <c r="B892" t="s">
        <v>2744</v>
      </c>
      <c r="C892" s="3">
        <v>43318</v>
      </c>
      <c r="D892" s="7" t="str">
        <f t="shared" si="26"/>
        <v>August</v>
      </c>
      <c r="E892" s="3">
        <f t="shared" si="27"/>
        <v>43343</v>
      </c>
      <c r="F892" s="3">
        <v>43502</v>
      </c>
      <c r="G892" t="s">
        <v>50</v>
      </c>
      <c r="H892" t="s">
        <v>1650</v>
      </c>
      <c r="I892" t="s">
        <v>1651</v>
      </c>
      <c r="J892" t="s">
        <v>26</v>
      </c>
      <c r="K892" t="s">
        <v>27</v>
      </c>
      <c r="L892" t="s">
        <v>1504</v>
      </c>
      <c r="M892" t="s">
        <v>267</v>
      </c>
      <c r="N892">
        <v>10801</v>
      </c>
      <c r="O892" t="s">
        <v>148</v>
      </c>
      <c r="P892" t="s">
        <v>1601</v>
      </c>
      <c r="Q892" t="s">
        <v>46</v>
      </c>
      <c r="R892" t="s">
        <v>75</v>
      </c>
      <c r="S892" t="s">
        <v>1602</v>
      </c>
      <c r="T892" s="4">
        <v>51.311999999999998</v>
      </c>
      <c r="U892">
        <v>3</v>
      </c>
      <c r="V892">
        <v>0.2</v>
      </c>
      <c r="W892" s="4">
        <v>18.6006</v>
      </c>
    </row>
    <row r="893" spans="1:23" x14ac:dyDescent="0.3">
      <c r="A893">
        <v>892</v>
      </c>
      <c r="B893" t="s">
        <v>2747</v>
      </c>
      <c r="C893" s="3">
        <v>43502</v>
      </c>
      <c r="D893" s="7" t="str">
        <f t="shared" si="26"/>
        <v>February</v>
      </c>
      <c r="E893" s="3">
        <f t="shared" si="27"/>
        <v>43524</v>
      </c>
      <c r="F893" s="3">
        <v>43530</v>
      </c>
      <c r="G893" t="s">
        <v>188</v>
      </c>
      <c r="H893" t="s">
        <v>2289</v>
      </c>
      <c r="I893" t="s">
        <v>2290</v>
      </c>
      <c r="J893" t="s">
        <v>102</v>
      </c>
      <c r="K893" t="s">
        <v>27</v>
      </c>
      <c r="L893" t="s">
        <v>882</v>
      </c>
      <c r="M893" t="s">
        <v>238</v>
      </c>
      <c r="N893">
        <v>48227</v>
      </c>
      <c r="O893" t="s">
        <v>105</v>
      </c>
      <c r="P893" t="s">
        <v>2748</v>
      </c>
      <c r="Q893" t="s">
        <v>46</v>
      </c>
      <c r="R893" t="s">
        <v>90</v>
      </c>
      <c r="S893" t="s">
        <v>2749</v>
      </c>
      <c r="T893" s="4">
        <v>4.54</v>
      </c>
      <c r="U893">
        <v>1</v>
      </c>
      <c r="V893">
        <v>0</v>
      </c>
      <c r="W893" s="4">
        <v>2.0430000000000001</v>
      </c>
    </row>
    <row r="894" spans="1:23" x14ac:dyDescent="0.3">
      <c r="A894">
        <v>893</v>
      </c>
      <c r="B894" t="s">
        <v>2747</v>
      </c>
      <c r="C894" s="3">
        <v>43502</v>
      </c>
      <c r="D894" s="7" t="str">
        <f t="shared" si="26"/>
        <v>February</v>
      </c>
      <c r="E894" s="3">
        <f t="shared" si="27"/>
        <v>43524</v>
      </c>
      <c r="F894" s="3">
        <v>43530</v>
      </c>
      <c r="G894" t="s">
        <v>188</v>
      </c>
      <c r="H894" t="s">
        <v>2289</v>
      </c>
      <c r="I894" t="s">
        <v>2290</v>
      </c>
      <c r="J894" t="s">
        <v>102</v>
      </c>
      <c r="K894" t="s">
        <v>27</v>
      </c>
      <c r="L894" t="s">
        <v>882</v>
      </c>
      <c r="M894" t="s">
        <v>238</v>
      </c>
      <c r="N894">
        <v>48227</v>
      </c>
      <c r="O894" t="s">
        <v>105</v>
      </c>
      <c r="P894" t="s">
        <v>2750</v>
      </c>
      <c r="Q894" t="s">
        <v>46</v>
      </c>
      <c r="R894" t="s">
        <v>68</v>
      </c>
      <c r="S894" t="s">
        <v>2751</v>
      </c>
      <c r="T894" s="4">
        <v>15.92</v>
      </c>
      <c r="U894">
        <v>4</v>
      </c>
      <c r="V894">
        <v>0</v>
      </c>
      <c r="W894" s="4">
        <v>5.4127999999999998</v>
      </c>
    </row>
    <row r="895" spans="1:23" x14ac:dyDescent="0.3">
      <c r="A895">
        <v>894</v>
      </c>
      <c r="B895" t="s">
        <v>2747</v>
      </c>
      <c r="C895" s="3">
        <v>43502</v>
      </c>
      <c r="D895" s="7" t="str">
        <f t="shared" si="26"/>
        <v>February</v>
      </c>
      <c r="E895" s="3">
        <f t="shared" si="27"/>
        <v>43524</v>
      </c>
      <c r="F895" s="3">
        <v>43530</v>
      </c>
      <c r="G895" t="s">
        <v>188</v>
      </c>
      <c r="H895" t="s">
        <v>2289</v>
      </c>
      <c r="I895" t="s">
        <v>2290</v>
      </c>
      <c r="J895" t="s">
        <v>102</v>
      </c>
      <c r="K895" t="s">
        <v>27</v>
      </c>
      <c r="L895" t="s">
        <v>882</v>
      </c>
      <c r="M895" t="s">
        <v>238</v>
      </c>
      <c r="N895">
        <v>48227</v>
      </c>
      <c r="O895" t="s">
        <v>105</v>
      </c>
      <c r="P895" t="s">
        <v>2752</v>
      </c>
      <c r="Q895" t="s">
        <v>71</v>
      </c>
      <c r="R895" t="s">
        <v>72</v>
      </c>
      <c r="S895" t="s">
        <v>2753</v>
      </c>
      <c r="T895" s="4">
        <v>543.91999999999996</v>
      </c>
      <c r="U895">
        <v>8</v>
      </c>
      <c r="V895">
        <v>0</v>
      </c>
      <c r="W895" s="4">
        <v>135.97999999999999</v>
      </c>
    </row>
    <row r="896" spans="1:23" x14ac:dyDescent="0.3">
      <c r="A896">
        <v>895</v>
      </c>
      <c r="B896" t="s">
        <v>2754</v>
      </c>
      <c r="C896" s="3">
        <v>42654</v>
      </c>
      <c r="D896" s="7" t="str">
        <f t="shared" si="26"/>
        <v>October</v>
      </c>
      <c r="E896" s="3">
        <f t="shared" si="27"/>
        <v>42674</v>
      </c>
      <c r="F896" s="3">
        <v>42715</v>
      </c>
      <c r="G896" t="s">
        <v>188</v>
      </c>
      <c r="H896" t="s">
        <v>2755</v>
      </c>
      <c r="I896" t="s">
        <v>2756</v>
      </c>
      <c r="J896" t="s">
        <v>41</v>
      </c>
      <c r="K896" t="s">
        <v>27</v>
      </c>
      <c r="L896" t="s">
        <v>127</v>
      </c>
      <c r="M896" t="s">
        <v>43</v>
      </c>
      <c r="N896">
        <v>94122</v>
      </c>
      <c r="O896" t="s">
        <v>44</v>
      </c>
      <c r="P896" t="s">
        <v>1309</v>
      </c>
      <c r="Q896" t="s">
        <v>46</v>
      </c>
      <c r="R896" t="s">
        <v>59</v>
      </c>
      <c r="S896" t="s">
        <v>1310</v>
      </c>
      <c r="T896" s="4">
        <v>155.82</v>
      </c>
      <c r="U896">
        <v>7</v>
      </c>
      <c r="V896">
        <v>0</v>
      </c>
      <c r="W896" s="4">
        <v>42.071399999999997</v>
      </c>
    </row>
    <row r="897" spans="1:23" x14ac:dyDescent="0.3">
      <c r="A897">
        <v>896</v>
      </c>
      <c r="B897" t="s">
        <v>2754</v>
      </c>
      <c r="C897" s="3">
        <v>42654</v>
      </c>
      <c r="D897" s="7" t="str">
        <f t="shared" si="26"/>
        <v>October</v>
      </c>
      <c r="E897" s="3">
        <f t="shared" si="27"/>
        <v>42674</v>
      </c>
      <c r="F897" s="3">
        <v>42715</v>
      </c>
      <c r="G897" t="s">
        <v>188</v>
      </c>
      <c r="H897" t="s">
        <v>2755</v>
      </c>
      <c r="I897" t="s">
        <v>2756</v>
      </c>
      <c r="J897" t="s">
        <v>41</v>
      </c>
      <c r="K897" t="s">
        <v>27</v>
      </c>
      <c r="L897" t="s">
        <v>127</v>
      </c>
      <c r="M897" t="s">
        <v>43</v>
      </c>
      <c r="N897">
        <v>94122</v>
      </c>
      <c r="O897" t="s">
        <v>44</v>
      </c>
      <c r="P897" t="s">
        <v>2757</v>
      </c>
      <c r="Q897" t="s">
        <v>46</v>
      </c>
      <c r="R897" t="s">
        <v>75</v>
      </c>
      <c r="S897" t="s">
        <v>2758</v>
      </c>
      <c r="T897" s="4">
        <v>70.007999999999996</v>
      </c>
      <c r="U897">
        <v>3</v>
      </c>
      <c r="V897">
        <v>0.2</v>
      </c>
      <c r="W897" s="4">
        <v>24.502800000000001</v>
      </c>
    </row>
    <row r="898" spans="1:23" x14ac:dyDescent="0.3">
      <c r="A898">
        <v>897</v>
      </c>
      <c r="B898" t="s">
        <v>2759</v>
      </c>
      <c r="C898" s="3">
        <v>42439</v>
      </c>
      <c r="D898" s="7" t="str">
        <f t="shared" si="26"/>
        <v>March</v>
      </c>
      <c r="E898" s="3">
        <f t="shared" si="27"/>
        <v>42460</v>
      </c>
      <c r="F898" s="3">
        <v>42531</v>
      </c>
      <c r="G898" t="s">
        <v>23</v>
      </c>
      <c r="H898" t="s">
        <v>2760</v>
      </c>
      <c r="I898" t="s">
        <v>2761</v>
      </c>
      <c r="J898" t="s">
        <v>26</v>
      </c>
      <c r="K898" t="s">
        <v>27</v>
      </c>
      <c r="L898" t="s">
        <v>184</v>
      </c>
      <c r="M898" t="s">
        <v>104</v>
      </c>
      <c r="N898">
        <v>77095</v>
      </c>
      <c r="O898" t="s">
        <v>105</v>
      </c>
      <c r="P898" t="s">
        <v>2762</v>
      </c>
      <c r="Q898" t="s">
        <v>46</v>
      </c>
      <c r="R898" t="s">
        <v>173</v>
      </c>
      <c r="S898" t="s">
        <v>671</v>
      </c>
      <c r="T898" s="4">
        <v>15.648</v>
      </c>
      <c r="U898">
        <v>2</v>
      </c>
      <c r="V898">
        <v>0.2</v>
      </c>
      <c r="W898" s="4">
        <v>5.0856000000000003</v>
      </c>
    </row>
    <row r="899" spans="1:23" x14ac:dyDescent="0.3">
      <c r="A899">
        <v>898</v>
      </c>
      <c r="B899" t="s">
        <v>2763</v>
      </c>
      <c r="C899" s="3">
        <v>41891</v>
      </c>
      <c r="D899" s="7" t="str">
        <f t="shared" ref="D899:D962" si="28">TEXT(C899,"mmmm")</f>
        <v>September</v>
      </c>
      <c r="E899" s="3">
        <f t="shared" ref="E899:E962" si="29">EOMONTH(C899,0)</f>
        <v>41912</v>
      </c>
      <c r="F899" s="3">
        <v>42072</v>
      </c>
      <c r="G899" t="s">
        <v>50</v>
      </c>
      <c r="H899" t="s">
        <v>2764</v>
      </c>
      <c r="I899" t="s">
        <v>2765</v>
      </c>
      <c r="J899" t="s">
        <v>26</v>
      </c>
      <c r="K899" t="s">
        <v>27</v>
      </c>
      <c r="L899" t="s">
        <v>882</v>
      </c>
      <c r="M899" t="s">
        <v>238</v>
      </c>
      <c r="N899">
        <v>48227</v>
      </c>
      <c r="O899" t="s">
        <v>105</v>
      </c>
      <c r="P899" t="s">
        <v>1672</v>
      </c>
      <c r="Q899" t="s">
        <v>46</v>
      </c>
      <c r="R899" t="s">
        <v>47</v>
      </c>
      <c r="S899" t="s">
        <v>1673</v>
      </c>
      <c r="T899" s="4">
        <v>103.6</v>
      </c>
      <c r="U899">
        <v>7</v>
      </c>
      <c r="V899">
        <v>0</v>
      </c>
      <c r="W899" s="4">
        <v>51.8</v>
      </c>
    </row>
    <row r="900" spans="1:23" x14ac:dyDescent="0.3">
      <c r="A900">
        <v>899</v>
      </c>
      <c r="B900" t="s">
        <v>2766</v>
      </c>
      <c r="C900" s="3">
        <v>43595</v>
      </c>
      <c r="D900" s="7" t="str">
        <f t="shared" si="28"/>
        <v>May</v>
      </c>
      <c r="E900" s="3">
        <f t="shared" si="29"/>
        <v>43616</v>
      </c>
      <c r="F900" s="3">
        <v>43656</v>
      </c>
      <c r="G900" t="s">
        <v>23</v>
      </c>
      <c r="H900" t="s">
        <v>2767</v>
      </c>
      <c r="I900" t="s">
        <v>2768</v>
      </c>
      <c r="J900" t="s">
        <v>41</v>
      </c>
      <c r="K900" t="s">
        <v>27</v>
      </c>
      <c r="L900" t="s">
        <v>1565</v>
      </c>
      <c r="M900" t="s">
        <v>267</v>
      </c>
      <c r="N900">
        <v>13021</v>
      </c>
      <c r="O900" t="s">
        <v>148</v>
      </c>
      <c r="P900" t="s">
        <v>2769</v>
      </c>
      <c r="Q900" t="s">
        <v>46</v>
      </c>
      <c r="R900" t="s">
        <v>90</v>
      </c>
      <c r="S900" t="s">
        <v>2770</v>
      </c>
      <c r="T900" s="4">
        <v>46.96</v>
      </c>
      <c r="U900">
        <v>8</v>
      </c>
      <c r="V900">
        <v>0</v>
      </c>
      <c r="W900" s="4">
        <v>22.540800000000001</v>
      </c>
    </row>
    <row r="901" spans="1:23" x14ac:dyDescent="0.3">
      <c r="A901">
        <v>900</v>
      </c>
      <c r="B901" t="s">
        <v>2771</v>
      </c>
      <c r="C901" s="3">
        <v>42647</v>
      </c>
      <c r="D901" s="7" t="str">
        <f t="shared" si="28"/>
        <v>October</v>
      </c>
      <c r="E901" s="3">
        <f t="shared" si="29"/>
        <v>42674</v>
      </c>
      <c r="F901" s="3">
        <v>42708</v>
      </c>
      <c r="G901" t="s">
        <v>188</v>
      </c>
      <c r="H901" t="s">
        <v>2772</v>
      </c>
      <c r="I901" t="s">
        <v>2773</v>
      </c>
      <c r="J901" t="s">
        <v>41</v>
      </c>
      <c r="K901" t="s">
        <v>27</v>
      </c>
      <c r="L901" t="s">
        <v>318</v>
      </c>
      <c r="M901" t="s">
        <v>498</v>
      </c>
      <c r="N901">
        <v>45503</v>
      </c>
      <c r="O901" t="s">
        <v>148</v>
      </c>
      <c r="P901" t="s">
        <v>2774</v>
      </c>
      <c r="Q901" t="s">
        <v>46</v>
      </c>
      <c r="R901" t="s">
        <v>75</v>
      </c>
      <c r="S901" t="s">
        <v>2775</v>
      </c>
      <c r="T901" s="4">
        <v>8.9039999999999999</v>
      </c>
      <c r="U901">
        <v>2</v>
      </c>
      <c r="V901">
        <v>0.7</v>
      </c>
      <c r="W901" s="4">
        <v>-6.5296000000000003</v>
      </c>
    </row>
    <row r="902" spans="1:23" x14ac:dyDescent="0.3">
      <c r="A902">
        <v>901</v>
      </c>
      <c r="B902" t="s">
        <v>2776</v>
      </c>
      <c r="C902" s="3">
        <v>43050</v>
      </c>
      <c r="D902" s="7" t="str">
        <f t="shared" si="28"/>
        <v>November</v>
      </c>
      <c r="E902" s="3">
        <f t="shared" si="29"/>
        <v>43069</v>
      </c>
      <c r="F902" s="3">
        <v>43111</v>
      </c>
      <c r="G902" t="s">
        <v>188</v>
      </c>
      <c r="H902" t="s">
        <v>1245</v>
      </c>
      <c r="I902" t="s">
        <v>1246</v>
      </c>
      <c r="J902" t="s">
        <v>26</v>
      </c>
      <c r="K902" t="s">
        <v>27</v>
      </c>
      <c r="L902" t="s">
        <v>2777</v>
      </c>
      <c r="M902" t="s">
        <v>104</v>
      </c>
      <c r="N902">
        <v>75043</v>
      </c>
      <c r="O902" t="s">
        <v>105</v>
      </c>
      <c r="P902" t="s">
        <v>2778</v>
      </c>
      <c r="Q902" t="s">
        <v>46</v>
      </c>
      <c r="R902" t="s">
        <v>47</v>
      </c>
      <c r="S902" t="s">
        <v>2779</v>
      </c>
      <c r="T902" s="4">
        <v>10.44</v>
      </c>
      <c r="U902">
        <v>5</v>
      </c>
      <c r="V902">
        <v>0.2</v>
      </c>
      <c r="W902" s="4">
        <v>3.3929999999999998</v>
      </c>
    </row>
    <row r="903" spans="1:23" x14ac:dyDescent="0.3">
      <c r="A903">
        <v>902</v>
      </c>
      <c r="B903" t="s">
        <v>2776</v>
      </c>
      <c r="C903" s="3">
        <v>43050</v>
      </c>
      <c r="D903" s="7" t="str">
        <f t="shared" si="28"/>
        <v>November</v>
      </c>
      <c r="E903" s="3">
        <f t="shared" si="29"/>
        <v>43069</v>
      </c>
      <c r="F903" s="3">
        <v>43111</v>
      </c>
      <c r="G903" t="s">
        <v>188</v>
      </c>
      <c r="H903" t="s">
        <v>1245</v>
      </c>
      <c r="I903" t="s">
        <v>1246</v>
      </c>
      <c r="J903" t="s">
        <v>26</v>
      </c>
      <c r="K903" t="s">
        <v>27</v>
      </c>
      <c r="L903" t="s">
        <v>2777</v>
      </c>
      <c r="M903" t="s">
        <v>104</v>
      </c>
      <c r="N903">
        <v>75043</v>
      </c>
      <c r="O903" t="s">
        <v>105</v>
      </c>
      <c r="P903" t="s">
        <v>2780</v>
      </c>
      <c r="Q903" t="s">
        <v>46</v>
      </c>
      <c r="R903" t="s">
        <v>75</v>
      </c>
      <c r="S903" t="s">
        <v>2781</v>
      </c>
      <c r="T903" s="4">
        <v>18.335999999999999</v>
      </c>
      <c r="U903">
        <v>4</v>
      </c>
      <c r="V903">
        <v>0.8</v>
      </c>
      <c r="W903" s="4">
        <v>-32.088000000000001</v>
      </c>
    </row>
    <row r="904" spans="1:23" x14ac:dyDescent="0.3">
      <c r="A904">
        <v>903</v>
      </c>
      <c r="B904" t="s">
        <v>2782</v>
      </c>
      <c r="C904" s="3">
        <v>43168</v>
      </c>
      <c r="D904" s="7" t="str">
        <f t="shared" si="28"/>
        <v>March</v>
      </c>
      <c r="E904" s="3">
        <f t="shared" si="29"/>
        <v>43190</v>
      </c>
      <c r="F904" s="3">
        <v>43229</v>
      </c>
      <c r="G904" t="s">
        <v>188</v>
      </c>
      <c r="H904" t="s">
        <v>644</v>
      </c>
      <c r="I904" t="s">
        <v>645</v>
      </c>
      <c r="J904" t="s">
        <v>26</v>
      </c>
      <c r="K904" t="s">
        <v>27</v>
      </c>
      <c r="L904" t="s">
        <v>303</v>
      </c>
      <c r="M904" t="s">
        <v>211</v>
      </c>
      <c r="N904">
        <v>60653</v>
      </c>
      <c r="O904" t="s">
        <v>105</v>
      </c>
      <c r="P904" t="s">
        <v>653</v>
      </c>
      <c r="Q904" t="s">
        <v>71</v>
      </c>
      <c r="R904" t="s">
        <v>72</v>
      </c>
      <c r="S904" t="s">
        <v>654</v>
      </c>
      <c r="T904" s="4">
        <v>323.976</v>
      </c>
      <c r="U904">
        <v>3</v>
      </c>
      <c r="V904">
        <v>0.2</v>
      </c>
      <c r="W904" s="4">
        <v>20.2485</v>
      </c>
    </row>
    <row r="905" spans="1:23" x14ac:dyDescent="0.3">
      <c r="A905">
        <v>904</v>
      </c>
      <c r="B905" t="s">
        <v>2783</v>
      </c>
      <c r="C905" s="3">
        <v>42586</v>
      </c>
      <c r="D905" s="7" t="str">
        <f t="shared" si="28"/>
        <v>August</v>
      </c>
      <c r="E905" s="3">
        <f t="shared" si="29"/>
        <v>42613</v>
      </c>
      <c r="F905" s="3">
        <v>42708</v>
      </c>
      <c r="G905" t="s">
        <v>50</v>
      </c>
      <c r="H905" t="s">
        <v>815</v>
      </c>
      <c r="I905" t="s">
        <v>816</v>
      </c>
      <c r="J905" t="s">
        <v>26</v>
      </c>
      <c r="K905" t="s">
        <v>27</v>
      </c>
      <c r="L905" t="s">
        <v>42</v>
      </c>
      <c r="M905" t="s">
        <v>43</v>
      </c>
      <c r="N905">
        <v>90032</v>
      </c>
      <c r="O905" t="s">
        <v>44</v>
      </c>
      <c r="P905" t="s">
        <v>2784</v>
      </c>
      <c r="Q905" t="s">
        <v>46</v>
      </c>
      <c r="R905" t="s">
        <v>90</v>
      </c>
      <c r="S905" t="s">
        <v>2785</v>
      </c>
      <c r="T905" s="4">
        <v>20.04</v>
      </c>
      <c r="U905">
        <v>3</v>
      </c>
      <c r="V905">
        <v>0</v>
      </c>
      <c r="W905" s="4">
        <v>9.6191999999999993</v>
      </c>
    </row>
    <row r="906" spans="1:23" x14ac:dyDescent="0.3">
      <c r="A906">
        <v>905</v>
      </c>
      <c r="B906" t="s">
        <v>2783</v>
      </c>
      <c r="C906" s="3">
        <v>42586</v>
      </c>
      <c r="D906" s="7" t="str">
        <f t="shared" si="28"/>
        <v>August</v>
      </c>
      <c r="E906" s="3">
        <f t="shared" si="29"/>
        <v>42613</v>
      </c>
      <c r="F906" s="3">
        <v>42708</v>
      </c>
      <c r="G906" t="s">
        <v>50</v>
      </c>
      <c r="H906" t="s">
        <v>815</v>
      </c>
      <c r="I906" t="s">
        <v>816</v>
      </c>
      <c r="J906" t="s">
        <v>26</v>
      </c>
      <c r="K906" t="s">
        <v>27</v>
      </c>
      <c r="L906" t="s">
        <v>42</v>
      </c>
      <c r="M906" t="s">
        <v>43</v>
      </c>
      <c r="N906">
        <v>90032</v>
      </c>
      <c r="O906" t="s">
        <v>44</v>
      </c>
      <c r="P906" t="s">
        <v>2221</v>
      </c>
      <c r="Q906" t="s">
        <v>46</v>
      </c>
      <c r="R906" t="s">
        <v>59</v>
      </c>
      <c r="S906" t="s">
        <v>2222</v>
      </c>
      <c r="T906" s="4">
        <v>64.959999999999994</v>
      </c>
      <c r="U906">
        <v>2</v>
      </c>
      <c r="V906">
        <v>0</v>
      </c>
      <c r="W906" s="4">
        <v>2.5983999999999998</v>
      </c>
    </row>
    <row r="907" spans="1:23" x14ac:dyDescent="0.3">
      <c r="A907">
        <v>906</v>
      </c>
      <c r="B907" t="s">
        <v>2783</v>
      </c>
      <c r="C907" s="3">
        <v>42586</v>
      </c>
      <c r="D907" s="7" t="str">
        <f t="shared" si="28"/>
        <v>August</v>
      </c>
      <c r="E907" s="3">
        <f t="shared" si="29"/>
        <v>42613</v>
      </c>
      <c r="F907" s="3">
        <v>42708</v>
      </c>
      <c r="G907" t="s">
        <v>50</v>
      </c>
      <c r="H907" t="s">
        <v>815</v>
      </c>
      <c r="I907" t="s">
        <v>816</v>
      </c>
      <c r="J907" t="s">
        <v>26</v>
      </c>
      <c r="K907" t="s">
        <v>27</v>
      </c>
      <c r="L907" t="s">
        <v>42</v>
      </c>
      <c r="M907" t="s">
        <v>43</v>
      </c>
      <c r="N907">
        <v>90032</v>
      </c>
      <c r="O907" t="s">
        <v>44</v>
      </c>
      <c r="P907" t="s">
        <v>2786</v>
      </c>
      <c r="Q907" t="s">
        <v>46</v>
      </c>
      <c r="R907" t="s">
        <v>90</v>
      </c>
      <c r="S907" t="s">
        <v>2787</v>
      </c>
      <c r="T907" s="4">
        <v>12.96</v>
      </c>
      <c r="U907">
        <v>2</v>
      </c>
      <c r="V907">
        <v>0</v>
      </c>
      <c r="W907" s="4">
        <v>6.2207999999999997</v>
      </c>
    </row>
    <row r="908" spans="1:23" x14ac:dyDescent="0.3">
      <c r="A908">
        <v>907</v>
      </c>
      <c r="B908" t="s">
        <v>2788</v>
      </c>
      <c r="C908" s="3">
        <v>43628</v>
      </c>
      <c r="D908" s="7" t="str">
        <f t="shared" si="28"/>
        <v>June</v>
      </c>
      <c r="E908" s="3">
        <f t="shared" si="29"/>
        <v>43646</v>
      </c>
      <c r="F908" s="3">
        <v>43160</v>
      </c>
      <c r="G908" t="s">
        <v>50</v>
      </c>
      <c r="H908" t="s">
        <v>235</v>
      </c>
      <c r="I908" t="s">
        <v>236</v>
      </c>
      <c r="J908" t="s">
        <v>26</v>
      </c>
      <c r="K908" t="s">
        <v>27</v>
      </c>
      <c r="L908" t="s">
        <v>266</v>
      </c>
      <c r="M908" t="s">
        <v>267</v>
      </c>
      <c r="N908">
        <v>10009</v>
      </c>
      <c r="O908" t="s">
        <v>148</v>
      </c>
      <c r="P908" t="s">
        <v>2789</v>
      </c>
      <c r="Q908" t="s">
        <v>32</v>
      </c>
      <c r="R908" t="s">
        <v>33</v>
      </c>
      <c r="S908" t="s">
        <v>2790</v>
      </c>
      <c r="T908" s="4">
        <v>323.13600000000002</v>
      </c>
      <c r="U908">
        <v>4</v>
      </c>
      <c r="V908">
        <v>0.2</v>
      </c>
      <c r="W908" s="4">
        <v>12.117599999999999</v>
      </c>
    </row>
    <row r="909" spans="1:23" x14ac:dyDescent="0.3">
      <c r="A909">
        <v>908</v>
      </c>
      <c r="B909" t="s">
        <v>2788</v>
      </c>
      <c r="C909" s="3">
        <v>43628</v>
      </c>
      <c r="D909" s="7" t="str">
        <f t="shared" si="28"/>
        <v>June</v>
      </c>
      <c r="E909" s="3">
        <f t="shared" si="29"/>
        <v>43646</v>
      </c>
      <c r="F909" s="3">
        <v>43160</v>
      </c>
      <c r="G909" t="s">
        <v>50</v>
      </c>
      <c r="H909" t="s">
        <v>235</v>
      </c>
      <c r="I909" t="s">
        <v>236</v>
      </c>
      <c r="J909" t="s">
        <v>26</v>
      </c>
      <c r="K909" t="s">
        <v>27</v>
      </c>
      <c r="L909" t="s">
        <v>266</v>
      </c>
      <c r="M909" t="s">
        <v>267</v>
      </c>
      <c r="N909">
        <v>10009</v>
      </c>
      <c r="O909" t="s">
        <v>148</v>
      </c>
      <c r="P909" t="s">
        <v>2791</v>
      </c>
      <c r="Q909" t="s">
        <v>71</v>
      </c>
      <c r="R909" t="s">
        <v>72</v>
      </c>
      <c r="S909" t="s">
        <v>2792</v>
      </c>
      <c r="T909" s="4">
        <v>90.93</v>
      </c>
      <c r="U909">
        <v>7</v>
      </c>
      <c r="V909">
        <v>0</v>
      </c>
      <c r="W909" s="4">
        <v>2.7279</v>
      </c>
    </row>
    <row r="910" spans="1:23" x14ac:dyDescent="0.3">
      <c r="A910">
        <v>909</v>
      </c>
      <c r="B910" t="s">
        <v>2788</v>
      </c>
      <c r="C910" s="3">
        <v>43628</v>
      </c>
      <c r="D910" s="7" t="str">
        <f t="shared" si="28"/>
        <v>June</v>
      </c>
      <c r="E910" s="3">
        <f t="shared" si="29"/>
        <v>43646</v>
      </c>
      <c r="F910" s="3">
        <v>43160</v>
      </c>
      <c r="G910" t="s">
        <v>50</v>
      </c>
      <c r="H910" t="s">
        <v>235</v>
      </c>
      <c r="I910" t="s">
        <v>236</v>
      </c>
      <c r="J910" t="s">
        <v>26</v>
      </c>
      <c r="K910" t="s">
        <v>27</v>
      </c>
      <c r="L910" t="s">
        <v>266</v>
      </c>
      <c r="M910" t="s">
        <v>267</v>
      </c>
      <c r="N910">
        <v>10009</v>
      </c>
      <c r="O910" t="s">
        <v>148</v>
      </c>
      <c r="P910" t="s">
        <v>2793</v>
      </c>
      <c r="Q910" t="s">
        <v>46</v>
      </c>
      <c r="R910" t="s">
        <v>75</v>
      </c>
      <c r="S910" t="s">
        <v>2794</v>
      </c>
      <c r="T910" s="4">
        <v>52.776000000000003</v>
      </c>
      <c r="U910">
        <v>3</v>
      </c>
      <c r="V910">
        <v>0.2</v>
      </c>
      <c r="W910" s="4">
        <v>19.791</v>
      </c>
    </row>
    <row r="911" spans="1:23" x14ac:dyDescent="0.3">
      <c r="A911">
        <v>910</v>
      </c>
      <c r="B911" t="s">
        <v>2795</v>
      </c>
      <c r="C911" s="3">
        <v>42775</v>
      </c>
      <c r="D911" s="7" t="str">
        <f t="shared" si="28"/>
        <v>February</v>
      </c>
      <c r="E911" s="3">
        <f t="shared" si="29"/>
        <v>42794</v>
      </c>
      <c r="F911" s="3">
        <v>42925</v>
      </c>
      <c r="G911" t="s">
        <v>50</v>
      </c>
      <c r="H911" t="s">
        <v>2796</v>
      </c>
      <c r="I911" t="s">
        <v>2797</v>
      </c>
      <c r="J911" t="s">
        <v>102</v>
      </c>
      <c r="K911" t="s">
        <v>27</v>
      </c>
      <c r="L911" t="s">
        <v>328</v>
      </c>
      <c r="M911" t="s">
        <v>238</v>
      </c>
      <c r="N911">
        <v>49201</v>
      </c>
      <c r="O911" t="s">
        <v>105</v>
      </c>
      <c r="P911" t="s">
        <v>2798</v>
      </c>
      <c r="Q911" t="s">
        <v>71</v>
      </c>
      <c r="R911" t="s">
        <v>72</v>
      </c>
      <c r="S911" t="s">
        <v>2799</v>
      </c>
      <c r="T911" s="4">
        <v>1199.8</v>
      </c>
      <c r="U911">
        <v>4</v>
      </c>
      <c r="V911">
        <v>0</v>
      </c>
      <c r="W911" s="4">
        <v>323.94600000000003</v>
      </c>
    </row>
    <row r="912" spans="1:23" x14ac:dyDescent="0.3">
      <c r="A912">
        <v>911</v>
      </c>
      <c r="B912" t="s">
        <v>2795</v>
      </c>
      <c r="C912" s="3">
        <v>42775</v>
      </c>
      <c r="D912" s="7" t="str">
        <f t="shared" si="28"/>
        <v>February</v>
      </c>
      <c r="E912" s="3">
        <f t="shared" si="29"/>
        <v>42794</v>
      </c>
      <c r="F912" s="3">
        <v>42925</v>
      </c>
      <c r="G912" t="s">
        <v>50</v>
      </c>
      <c r="H912" t="s">
        <v>2796</v>
      </c>
      <c r="I912" t="s">
        <v>2797</v>
      </c>
      <c r="J912" t="s">
        <v>102</v>
      </c>
      <c r="K912" t="s">
        <v>27</v>
      </c>
      <c r="L912" t="s">
        <v>328</v>
      </c>
      <c r="M912" t="s">
        <v>238</v>
      </c>
      <c r="N912">
        <v>49201</v>
      </c>
      <c r="O912" t="s">
        <v>105</v>
      </c>
      <c r="P912" t="s">
        <v>2800</v>
      </c>
      <c r="Q912" t="s">
        <v>71</v>
      </c>
      <c r="R912" t="s">
        <v>161</v>
      </c>
      <c r="S912" t="s">
        <v>2801</v>
      </c>
      <c r="T912" s="4">
        <v>1928.78</v>
      </c>
      <c r="U912">
        <v>7</v>
      </c>
      <c r="V912">
        <v>0</v>
      </c>
      <c r="W912" s="4">
        <v>829.37540000000001</v>
      </c>
    </row>
    <row r="913" spans="1:23" x14ac:dyDescent="0.3">
      <c r="A913">
        <v>912</v>
      </c>
      <c r="B913" t="s">
        <v>2795</v>
      </c>
      <c r="C913" s="3">
        <v>42775</v>
      </c>
      <c r="D913" s="7" t="str">
        <f t="shared" si="28"/>
        <v>February</v>
      </c>
      <c r="E913" s="3">
        <f t="shared" si="29"/>
        <v>42794</v>
      </c>
      <c r="F913" s="3">
        <v>42925</v>
      </c>
      <c r="G913" t="s">
        <v>50</v>
      </c>
      <c r="H913" t="s">
        <v>2796</v>
      </c>
      <c r="I913" t="s">
        <v>2797</v>
      </c>
      <c r="J913" t="s">
        <v>102</v>
      </c>
      <c r="K913" t="s">
        <v>27</v>
      </c>
      <c r="L913" t="s">
        <v>328</v>
      </c>
      <c r="M913" t="s">
        <v>238</v>
      </c>
      <c r="N913">
        <v>49201</v>
      </c>
      <c r="O913" t="s">
        <v>105</v>
      </c>
      <c r="P913" t="s">
        <v>2802</v>
      </c>
      <c r="Q913" t="s">
        <v>46</v>
      </c>
      <c r="R913" t="s">
        <v>59</v>
      </c>
      <c r="S913" t="s">
        <v>2803</v>
      </c>
      <c r="T913" s="4">
        <v>352.38</v>
      </c>
      <c r="U913">
        <v>2</v>
      </c>
      <c r="V913">
        <v>0</v>
      </c>
      <c r="W913" s="4">
        <v>81.047399999999996</v>
      </c>
    </row>
    <row r="914" spans="1:23" x14ac:dyDescent="0.3">
      <c r="A914">
        <v>913</v>
      </c>
      <c r="B914" t="s">
        <v>2804</v>
      </c>
      <c r="C914" s="3">
        <v>42921</v>
      </c>
      <c r="D914" s="7" t="str">
        <f t="shared" si="28"/>
        <v>July</v>
      </c>
      <c r="E914" s="3">
        <f t="shared" si="29"/>
        <v>42947</v>
      </c>
      <c r="F914" s="3">
        <v>42191</v>
      </c>
      <c r="G914" t="s">
        <v>50</v>
      </c>
      <c r="H914" t="s">
        <v>2805</v>
      </c>
      <c r="I914" t="s">
        <v>2806</v>
      </c>
      <c r="J914" t="s">
        <v>102</v>
      </c>
      <c r="K914" t="s">
        <v>27</v>
      </c>
      <c r="L914" t="s">
        <v>2807</v>
      </c>
      <c r="M914" t="s">
        <v>749</v>
      </c>
      <c r="N914">
        <v>6360</v>
      </c>
      <c r="O914" t="s">
        <v>148</v>
      </c>
      <c r="P914" t="s">
        <v>1366</v>
      </c>
      <c r="Q914" t="s">
        <v>32</v>
      </c>
      <c r="R914" t="s">
        <v>65</v>
      </c>
      <c r="S914" t="s">
        <v>1367</v>
      </c>
      <c r="T914" s="4">
        <v>22.2</v>
      </c>
      <c r="U914">
        <v>6</v>
      </c>
      <c r="V914">
        <v>0</v>
      </c>
      <c r="W914" s="4">
        <v>9.1020000000000003</v>
      </c>
    </row>
    <row r="915" spans="1:23" x14ac:dyDescent="0.3">
      <c r="A915">
        <v>914</v>
      </c>
      <c r="B915" t="s">
        <v>2808</v>
      </c>
      <c r="C915" s="3">
        <v>43535</v>
      </c>
      <c r="D915" s="7" t="str">
        <f t="shared" si="28"/>
        <v>March</v>
      </c>
      <c r="E915" s="3">
        <f t="shared" si="29"/>
        <v>43555</v>
      </c>
      <c r="F915" s="3">
        <v>43596</v>
      </c>
      <c r="G915" t="s">
        <v>188</v>
      </c>
      <c r="H915" t="s">
        <v>2611</v>
      </c>
      <c r="I915" t="s">
        <v>2612</v>
      </c>
      <c r="J915" t="s">
        <v>41</v>
      </c>
      <c r="K915" t="s">
        <v>27</v>
      </c>
      <c r="L915" t="s">
        <v>2554</v>
      </c>
      <c r="M915" t="s">
        <v>114</v>
      </c>
      <c r="N915">
        <v>53209</v>
      </c>
      <c r="O915" t="s">
        <v>105</v>
      </c>
      <c r="P915" t="s">
        <v>1085</v>
      </c>
      <c r="Q915" t="s">
        <v>32</v>
      </c>
      <c r="R915" t="s">
        <v>65</v>
      </c>
      <c r="S915" t="s">
        <v>1086</v>
      </c>
      <c r="T915" s="4">
        <v>46.94</v>
      </c>
      <c r="U915">
        <v>1</v>
      </c>
      <c r="V915">
        <v>0</v>
      </c>
      <c r="W915" s="4">
        <v>19.2454</v>
      </c>
    </row>
    <row r="916" spans="1:23" x14ac:dyDescent="0.3">
      <c r="A916">
        <v>915</v>
      </c>
      <c r="B916" t="s">
        <v>2808</v>
      </c>
      <c r="C916" s="3">
        <v>43535</v>
      </c>
      <c r="D916" s="7" t="str">
        <f t="shared" si="28"/>
        <v>March</v>
      </c>
      <c r="E916" s="3">
        <f t="shared" si="29"/>
        <v>43555</v>
      </c>
      <c r="F916" s="3">
        <v>43596</v>
      </c>
      <c r="G916" t="s">
        <v>188</v>
      </c>
      <c r="H916" t="s">
        <v>2611</v>
      </c>
      <c r="I916" t="s">
        <v>2612</v>
      </c>
      <c r="J916" t="s">
        <v>41</v>
      </c>
      <c r="K916" t="s">
        <v>27</v>
      </c>
      <c r="L916" t="s">
        <v>2554</v>
      </c>
      <c r="M916" t="s">
        <v>114</v>
      </c>
      <c r="N916">
        <v>53209</v>
      </c>
      <c r="O916" t="s">
        <v>105</v>
      </c>
      <c r="P916" t="s">
        <v>1585</v>
      </c>
      <c r="Q916" t="s">
        <v>71</v>
      </c>
      <c r="R916" t="s">
        <v>161</v>
      </c>
      <c r="S916" t="s">
        <v>1586</v>
      </c>
      <c r="T916" s="4">
        <v>143.72999999999999</v>
      </c>
      <c r="U916">
        <v>9</v>
      </c>
      <c r="V916">
        <v>0</v>
      </c>
      <c r="W916" s="4">
        <v>56.054699999999997</v>
      </c>
    </row>
    <row r="917" spans="1:23" x14ac:dyDescent="0.3">
      <c r="A917">
        <v>916</v>
      </c>
      <c r="B917" t="s">
        <v>2809</v>
      </c>
      <c r="C917" s="3">
        <v>42069</v>
      </c>
      <c r="D917" s="7" t="str">
        <f t="shared" si="28"/>
        <v>March</v>
      </c>
      <c r="E917" s="3">
        <f t="shared" si="29"/>
        <v>42094</v>
      </c>
      <c r="F917" s="3">
        <v>42253</v>
      </c>
      <c r="G917" t="s">
        <v>50</v>
      </c>
      <c r="H917" t="s">
        <v>1082</v>
      </c>
      <c r="I917" t="s">
        <v>1083</v>
      </c>
      <c r="J917" t="s">
        <v>41</v>
      </c>
      <c r="K917" t="s">
        <v>27</v>
      </c>
      <c r="L917" t="s">
        <v>680</v>
      </c>
      <c r="M917" t="s">
        <v>104</v>
      </c>
      <c r="N917">
        <v>78207</v>
      </c>
      <c r="O917" t="s">
        <v>105</v>
      </c>
      <c r="P917" t="s">
        <v>2810</v>
      </c>
      <c r="Q917" t="s">
        <v>32</v>
      </c>
      <c r="R917" t="s">
        <v>56</v>
      </c>
      <c r="S917" t="s">
        <v>2811</v>
      </c>
      <c r="T917" s="4">
        <v>99.918000000000006</v>
      </c>
      <c r="U917">
        <v>2</v>
      </c>
      <c r="V917">
        <v>0.3</v>
      </c>
      <c r="W917" s="4">
        <v>-18.5562</v>
      </c>
    </row>
    <row r="918" spans="1:23" x14ac:dyDescent="0.3">
      <c r="A918">
        <v>917</v>
      </c>
      <c r="B918" t="s">
        <v>2809</v>
      </c>
      <c r="C918" s="3">
        <v>42069</v>
      </c>
      <c r="D918" s="7" t="str">
        <f t="shared" si="28"/>
        <v>March</v>
      </c>
      <c r="E918" s="3">
        <f t="shared" si="29"/>
        <v>42094</v>
      </c>
      <c r="F918" s="3">
        <v>42253</v>
      </c>
      <c r="G918" t="s">
        <v>50</v>
      </c>
      <c r="H918" t="s">
        <v>1082</v>
      </c>
      <c r="I918" t="s">
        <v>1083</v>
      </c>
      <c r="J918" t="s">
        <v>41</v>
      </c>
      <c r="K918" t="s">
        <v>27</v>
      </c>
      <c r="L918" t="s">
        <v>680</v>
      </c>
      <c r="M918" t="s">
        <v>104</v>
      </c>
      <c r="N918">
        <v>78207</v>
      </c>
      <c r="O918" t="s">
        <v>105</v>
      </c>
      <c r="P918" t="s">
        <v>1798</v>
      </c>
      <c r="Q918" t="s">
        <v>32</v>
      </c>
      <c r="R918" t="s">
        <v>36</v>
      </c>
      <c r="S918" t="s">
        <v>1799</v>
      </c>
      <c r="T918" s="4">
        <v>797.94399999999996</v>
      </c>
      <c r="U918">
        <v>4</v>
      </c>
      <c r="V918">
        <v>0.3</v>
      </c>
      <c r="W918" s="4">
        <v>-56.996000000000002</v>
      </c>
    </row>
    <row r="919" spans="1:23" x14ac:dyDescent="0.3">
      <c r="A919">
        <v>918</v>
      </c>
      <c r="B919" t="s">
        <v>2809</v>
      </c>
      <c r="C919" s="3">
        <v>42069</v>
      </c>
      <c r="D919" s="7" t="str">
        <f t="shared" si="28"/>
        <v>March</v>
      </c>
      <c r="E919" s="3">
        <f t="shared" si="29"/>
        <v>42094</v>
      </c>
      <c r="F919" s="3">
        <v>42253</v>
      </c>
      <c r="G919" t="s">
        <v>50</v>
      </c>
      <c r="H919" t="s">
        <v>1082</v>
      </c>
      <c r="I919" t="s">
        <v>1083</v>
      </c>
      <c r="J919" t="s">
        <v>41</v>
      </c>
      <c r="K919" t="s">
        <v>27</v>
      </c>
      <c r="L919" t="s">
        <v>680</v>
      </c>
      <c r="M919" t="s">
        <v>104</v>
      </c>
      <c r="N919">
        <v>78207</v>
      </c>
      <c r="O919" t="s">
        <v>105</v>
      </c>
      <c r="P919" t="s">
        <v>1105</v>
      </c>
      <c r="Q919" t="s">
        <v>46</v>
      </c>
      <c r="R919" t="s">
        <v>75</v>
      </c>
      <c r="S919" t="s">
        <v>1106</v>
      </c>
      <c r="T919" s="4">
        <v>8.5679999999999996</v>
      </c>
      <c r="U919">
        <v>3</v>
      </c>
      <c r="V919">
        <v>0.8</v>
      </c>
      <c r="W919" s="4">
        <v>-14.5656</v>
      </c>
    </row>
    <row r="920" spans="1:23" x14ac:dyDescent="0.3">
      <c r="A920">
        <v>919</v>
      </c>
      <c r="B920" t="s">
        <v>2812</v>
      </c>
      <c r="C920" s="3">
        <v>42493</v>
      </c>
      <c r="D920" s="7" t="str">
        <f t="shared" si="28"/>
        <v>May</v>
      </c>
      <c r="E920" s="3">
        <f t="shared" si="29"/>
        <v>42521</v>
      </c>
      <c r="F920" s="3">
        <v>42677</v>
      </c>
      <c r="G920" t="s">
        <v>50</v>
      </c>
      <c r="H920" t="s">
        <v>2813</v>
      </c>
      <c r="I920" t="s">
        <v>2814</v>
      </c>
      <c r="J920" t="s">
        <v>41</v>
      </c>
      <c r="K920" t="s">
        <v>27</v>
      </c>
      <c r="L920" t="s">
        <v>817</v>
      </c>
      <c r="M920" t="s">
        <v>104</v>
      </c>
      <c r="N920">
        <v>75220</v>
      </c>
      <c r="O920" t="s">
        <v>105</v>
      </c>
      <c r="P920" t="s">
        <v>2473</v>
      </c>
      <c r="Q920" t="s">
        <v>46</v>
      </c>
      <c r="R920" t="s">
        <v>173</v>
      </c>
      <c r="S920" t="s">
        <v>2474</v>
      </c>
      <c r="T920" s="4">
        <v>149.352</v>
      </c>
      <c r="U920">
        <v>3</v>
      </c>
      <c r="V920">
        <v>0.2</v>
      </c>
      <c r="W920" s="4">
        <v>50.406300000000002</v>
      </c>
    </row>
    <row r="921" spans="1:23" x14ac:dyDescent="0.3">
      <c r="A921">
        <v>920</v>
      </c>
      <c r="B921" t="s">
        <v>2812</v>
      </c>
      <c r="C921" s="3">
        <v>42493</v>
      </c>
      <c r="D921" s="7" t="str">
        <f t="shared" si="28"/>
        <v>May</v>
      </c>
      <c r="E921" s="3">
        <f t="shared" si="29"/>
        <v>42521</v>
      </c>
      <c r="F921" s="3">
        <v>42677</v>
      </c>
      <c r="G921" t="s">
        <v>50</v>
      </c>
      <c r="H921" t="s">
        <v>2813</v>
      </c>
      <c r="I921" t="s">
        <v>2814</v>
      </c>
      <c r="J921" t="s">
        <v>41</v>
      </c>
      <c r="K921" t="s">
        <v>27</v>
      </c>
      <c r="L921" t="s">
        <v>817</v>
      </c>
      <c r="M921" t="s">
        <v>104</v>
      </c>
      <c r="N921">
        <v>75220</v>
      </c>
      <c r="O921" t="s">
        <v>105</v>
      </c>
      <c r="P921" t="s">
        <v>2815</v>
      </c>
      <c r="Q921" t="s">
        <v>46</v>
      </c>
      <c r="R921" t="s">
        <v>59</v>
      </c>
      <c r="S921" t="s">
        <v>2816</v>
      </c>
      <c r="T921" s="4">
        <v>12.992000000000001</v>
      </c>
      <c r="U921">
        <v>1</v>
      </c>
      <c r="V921">
        <v>0.2</v>
      </c>
      <c r="W921" s="4">
        <v>-0.81200000000000006</v>
      </c>
    </row>
    <row r="922" spans="1:23" x14ac:dyDescent="0.3">
      <c r="A922">
        <v>921</v>
      </c>
      <c r="B922" t="s">
        <v>2817</v>
      </c>
      <c r="C922" s="3">
        <v>41771</v>
      </c>
      <c r="D922" s="7" t="str">
        <f t="shared" si="28"/>
        <v>May</v>
      </c>
      <c r="E922" s="3">
        <f t="shared" si="29"/>
        <v>41790</v>
      </c>
      <c r="F922" s="3">
        <v>41985</v>
      </c>
      <c r="G922" t="s">
        <v>50</v>
      </c>
      <c r="H922" t="s">
        <v>987</v>
      </c>
      <c r="I922" t="s">
        <v>988</v>
      </c>
      <c r="J922" t="s">
        <v>26</v>
      </c>
      <c r="K922" t="s">
        <v>27</v>
      </c>
      <c r="L922" t="s">
        <v>2818</v>
      </c>
      <c r="M922" t="s">
        <v>319</v>
      </c>
      <c r="N922">
        <v>22304</v>
      </c>
      <c r="O922" t="s">
        <v>30</v>
      </c>
      <c r="P922" t="s">
        <v>2245</v>
      </c>
      <c r="Q922" t="s">
        <v>46</v>
      </c>
      <c r="R922" t="s">
        <v>59</v>
      </c>
      <c r="S922" t="s">
        <v>2246</v>
      </c>
      <c r="T922" s="4">
        <v>24.56</v>
      </c>
      <c r="U922">
        <v>2</v>
      </c>
      <c r="V922">
        <v>0</v>
      </c>
      <c r="W922" s="4">
        <v>6.8768000000000002</v>
      </c>
    </row>
    <row r="923" spans="1:23" x14ac:dyDescent="0.3">
      <c r="A923">
        <v>922</v>
      </c>
      <c r="B923" t="s">
        <v>2819</v>
      </c>
      <c r="C923" s="3">
        <v>42312</v>
      </c>
      <c r="D923" s="7" t="str">
        <f t="shared" si="28"/>
        <v>November</v>
      </c>
      <c r="E923" s="3">
        <f t="shared" si="29"/>
        <v>42338</v>
      </c>
      <c r="F923" s="3">
        <v>42433</v>
      </c>
      <c r="G923" t="s">
        <v>50</v>
      </c>
      <c r="H923" t="s">
        <v>2820</v>
      </c>
      <c r="I923" t="s">
        <v>2821</v>
      </c>
      <c r="J923" t="s">
        <v>26</v>
      </c>
      <c r="K923" t="s">
        <v>27</v>
      </c>
      <c r="L923" t="s">
        <v>266</v>
      </c>
      <c r="M923" t="s">
        <v>267</v>
      </c>
      <c r="N923">
        <v>10009</v>
      </c>
      <c r="O923" t="s">
        <v>148</v>
      </c>
      <c r="P923" t="s">
        <v>2822</v>
      </c>
      <c r="Q923" t="s">
        <v>71</v>
      </c>
      <c r="R923" t="s">
        <v>161</v>
      </c>
      <c r="S923" t="s">
        <v>2823</v>
      </c>
      <c r="T923" s="4">
        <v>85.14</v>
      </c>
      <c r="U923">
        <v>3</v>
      </c>
      <c r="V923">
        <v>0</v>
      </c>
      <c r="W923" s="4">
        <v>34.907400000000003</v>
      </c>
    </row>
    <row r="924" spans="1:23" x14ac:dyDescent="0.3">
      <c r="A924">
        <v>923</v>
      </c>
      <c r="B924" t="s">
        <v>2819</v>
      </c>
      <c r="C924" s="3">
        <v>42312</v>
      </c>
      <c r="D924" s="7" t="str">
        <f t="shared" si="28"/>
        <v>November</v>
      </c>
      <c r="E924" s="3">
        <f t="shared" si="29"/>
        <v>42338</v>
      </c>
      <c r="F924" s="3">
        <v>42433</v>
      </c>
      <c r="G924" t="s">
        <v>50</v>
      </c>
      <c r="H924" t="s">
        <v>2820</v>
      </c>
      <c r="I924" t="s">
        <v>2821</v>
      </c>
      <c r="J924" t="s">
        <v>26</v>
      </c>
      <c r="K924" t="s">
        <v>27</v>
      </c>
      <c r="L924" t="s">
        <v>266</v>
      </c>
      <c r="M924" t="s">
        <v>267</v>
      </c>
      <c r="N924">
        <v>10009</v>
      </c>
      <c r="O924" t="s">
        <v>148</v>
      </c>
      <c r="P924" t="s">
        <v>2824</v>
      </c>
      <c r="Q924" t="s">
        <v>71</v>
      </c>
      <c r="R924" t="s">
        <v>72</v>
      </c>
      <c r="S924" t="s">
        <v>2825</v>
      </c>
      <c r="T924" s="4">
        <v>21.99</v>
      </c>
      <c r="U924">
        <v>1</v>
      </c>
      <c r="V924">
        <v>0</v>
      </c>
      <c r="W924" s="4">
        <v>10.555199999999999</v>
      </c>
    </row>
    <row r="925" spans="1:23" x14ac:dyDescent="0.3">
      <c r="A925">
        <v>924</v>
      </c>
      <c r="B925" t="s">
        <v>2819</v>
      </c>
      <c r="C925" s="3">
        <v>42312</v>
      </c>
      <c r="D925" s="7" t="str">
        <f t="shared" si="28"/>
        <v>November</v>
      </c>
      <c r="E925" s="3">
        <f t="shared" si="29"/>
        <v>42338</v>
      </c>
      <c r="F925" s="3">
        <v>42433</v>
      </c>
      <c r="G925" t="s">
        <v>50</v>
      </c>
      <c r="H925" t="s">
        <v>2820</v>
      </c>
      <c r="I925" t="s">
        <v>2821</v>
      </c>
      <c r="J925" t="s">
        <v>26</v>
      </c>
      <c r="K925" t="s">
        <v>27</v>
      </c>
      <c r="L925" t="s">
        <v>266</v>
      </c>
      <c r="M925" t="s">
        <v>267</v>
      </c>
      <c r="N925">
        <v>10009</v>
      </c>
      <c r="O925" t="s">
        <v>148</v>
      </c>
      <c r="P925" t="s">
        <v>2826</v>
      </c>
      <c r="Q925" t="s">
        <v>46</v>
      </c>
      <c r="R925" t="s">
        <v>78</v>
      </c>
      <c r="S925" t="s">
        <v>2827</v>
      </c>
      <c r="T925" s="4">
        <v>406.6</v>
      </c>
      <c r="U925">
        <v>5</v>
      </c>
      <c r="V925">
        <v>0</v>
      </c>
      <c r="W925" s="4">
        <v>113.848</v>
      </c>
    </row>
    <row r="926" spans="1:23" x14ac:dyDescent="0.3">
      <c r="A926">
        <v>925</v>
      </c>
      <c r="B926" t="s">
        <v>2828</v>
      </c>
      <c r="C926" s="3">
        <v>42803</v>
      </c>
      <c r="D926" s="7" t="str">
        <f t="shared" si="28"/>
        <v>March</v>
      </c>
      <c r="E926" s="3">
        <f t="shared" si="29"/>
        <v>42825</v>
      </c>
      <c r="F926" s="3">
        <v>42956</v>
      </c>
      <c r="G926" t="s">
        <v>50</v>
      </c>
      <c r="H926" t="s">
        <v>2829</v>
      </c>
      <c r="I926" t="s">
        <v>2830</v>
      </c>
      <c r="J926" t="s">
        <v>41</v>
      </c>
      <c r="K926" t="s">
        <v>27</v>
      </c>
      <c r="L926" t="s">
        <v>266</v>
      </c>
      <c r="M926" t="s">
        <v>267</v>
      </c>
      <c r="N926">
        <v>10011</v>
      </c>
      <c r="O926" t="s">
        <v>148</v>
      </c>
      <c r="P926" t="s">
        <v>516</v>
      </c>
      <c r="Q926" t="s">
        <v>46</v>
      </c>
      <c r="R926" t="s">
        <v>75</v>
      </c>
      <c r="S926" t="s">
        <v>517</v>
      </c>
      <c r="T926" s="4">
        <v>841.56799999999998</v>
      </c>
      <c r="U926">
        <v>2</v>
      </c>
      <c r="V926">
        <v>0.2</v>
      </c>
      <c r="W926" s="4">
        <v>294.54880000000003</v>
      </c>
    </row>
    <row r="927" spans="1:23" x14ac:dyDescent="0.3">
      <c r="A927">
        <v>926</v>
      </c>
      <c r="B927" t="s">
        <v>2831</v>
      </c>
      <c r="C927" s="3">
        <v>42013</v>
      </c>
      <c r="D927" s="7" t="str">
        <f t="shared" si="28"/>
        <v>January</v>
      </c>
      <c r="E927" s="3">
        <f t="shared" si="29"/>
        <v>42035</v>
      </c>
      <c r="F927" s="3">
        <v>42103</v>
      </c>
      <c r="G927" t="s">
        <v>188</v>
      </c>
      <c r="H927" t="s">
        <v>2832</v>
      </c>
      <c r="I927" t="s">
        <v>2833</v>
      </c>
      <c r="J927" t="s">
        <v>26</v>
      </c>
      <c r="K927" t="s">
        <v>27</v>
      </c>
      <c r="L927" t="s">
        <v>146</v>
      </c>
      <c r="M927" t="s">
        <v>147</v>
      </c>
      <c r="N927">
        <v>19143</v>
      </c>
      <c r="O927" t="s">
        <v>148</v>
      </c>
      <c r="P927" t="s">
        <v>2834</v>
      </c>
      <c r="Q927" t="s">
        <v>46</v>
      </c>
      <c r="R927" t="s">
        <v>90</v>
      </c>
      <c r="S927" t="s">
        <v>2835</v>
      </c>
      <c r="T927" s="4">
        <v>15.552</v>
      </c>
      <c r="U927">
        <v>3</v>
      </c>
      <c r="V927">
        <v>0.2</v>
      </c>
      <c r="W927" s="4">
        <v>5.4432</v>
      </c>
    </row>
    <row r="928" spans="1:23" x14ac:dyDescent="0.3">
      <c r="A928">
        <v>927</v>
      </c>
      <c r="B928" t="s">
        <v>2831</v>
      </c>
      <c r="C928" s="3">
        <v>42013</v>
      </c>
      <c r="D928" s="7" t="str">
        <f t="shared" si="28"/>
        <v>January</v>
      </c>
      <c r="E928" s="3">
        <f t="shared" si="29"/>
        <v>42035</v>
      </c>
      <c r="F928" s="3">
        <v>42103</v>
      </c>
      <c r="G928" t="s">
        <v>188</v>
      </c>
      <c r="H928" t="s">
        <v>2832</v>
      </c>
      <c r="I928" t="s">
        <v>2833</v>
      </c>
      <c r="J928" t="s">
        <v>26</v>
      </c>
      <c r="K928" t="s">
        <v>27</v>
      </c>
      <c r="L928" t="s">
        <v>146</v>
      </c>
      <c r="M928" t="s">
        <v>147</v>
      </c>
      <c r="N928">
        <v>19143</v>
      </c>
      <c r="O928" t="s">
        <v>148</v>
      </c>
      <c r="P928" t="s">
        <v>2836</v>
      </c>
      <c r="Q928" t="s">
        <v>71</v>
      </c>
      <c r="R928" t="s">
        <v>161</v>
      </c>
      <c r="S928" t="s">
        <v>2837</v>
      </c>
      <c r="T928" s="4">
        <v>252</v>
      </c>
      <c r="U928">
        <v>5</v>
      </c>
      <c r="V928">
        <v>0.2</v>
      </c>
      <c r="W928" s="4">
        <v>53.55</v>
      </c>
    </row>
    <row r="929" spans="1:23" x14ac:dyDescent="0.3">
      <c r="A929">
        <v>928</v>
      </c>
      <c r="B929" t="s">
        <v>2838</v>
      </c>
      <c r="C929" s="3">
        <v>42134</v>
      </c>
      <c r="D929" s="7" t="str">
        <f t="shared" si="28"/>
        <v>May</v>
      </c>
      <c r="E929" s="3">
        <f t="shared" si="29"/>
        <v>42155</v>
      </c>
      <c r="F929" s="3">
        <v>42257</v>
      </c>
      <c r="G929" t="s">
        <v>50</v>
      </c>
      <c r="H929" t="s">
        <v>2839</v>
      </c>
      <c r="I929" t="s">
        <v>2840</v>
      </c>
      <c r="J929" t="s">
        <v>102</v>
      </c>
      <c r="K929" t="s">
        <v>27</v>
      </c>
      <c r="L929" t="s">
        <v>318</v>
      </c>
      <c r="M929" t="s">
        <v>319</v>
      </c>
      <c r="N929">
        <v>22153</v>
      </c>
      <c r="O929" t="s">
        <v>30</v>
      </c>
      <c r="P929" t="s">
        <v>1317</v>
      </c>
      <c r="Q929" t="s">
        <v>46</v>
      </c>
      <c r="R929" t="s">
        <v>68</v>
      </c>
      <c r="S929" t="s">
        <v>1318</v>
      </c>
      <c r="T929" s="4">
        <v>46.2</v>
      </c>
      <c r="U929">
        <v>4</v>
      </c>
      <c r="V929">
        <v>0</v>
      </c>
      <c r="W929" s="4">
        <v>12.936</v>
      </c>
    </row>
    <row r="930" spans="1:23" x14ac:dyDescent="0.3">
      <c r="A930">
        <v>929</v>
      </c>
      <c r="B930" t="s">
        <v>2838</v>
      </c>
      <c r="C930" s="3">
        <v>42134</v>
      </c>
      <c r="D930" s="7" t="str">
        <f t="shared" si="28"/>
        <v>May</v>
      </c>
      <c r="E930" s="3">
        <f t="shared" si="29"/>
        <v>42155</v>
      </c>
      <c r="F930" s="3">
        <v>42257</v>
      </c>
      <c r="G930" t="s">
        <v>50</v>
      </c>
      <c r="H930" t="s">
        <v>2839</v>
      </c>
      <c r="I930" t="s">
        <v>2840</v>
      </c>
      <c r="J930" t="s">
        <v>102</v>
      </c>
      <c r="K930" t="s">
        <v>27</v>
      </c>
      <c r="L930" t="s">
        <v>318</v>
      </c>
      <c r="M930" t="s">
        <v>319</v>
      </c>
      <c r="N930">
        <v>22153</v>
      </c>
      <c r="O930" t="s">
        <v>30</v>
      </c>
      <c r="P930" t="s">
        <v>1335</v>
      </c>
      <c r="Q930" t="s">
        <v>46</v>
      </c>
      <c r="R930" t="s">
        <v>78</v>
      </c>
      <c r="S930" t="s">
        <v>1336</v>
      </c>
      <c r="T930" s="4">
        <v>28.84</v>
      </c>
      <c r="U930">
        <v>2</v>
      </c>
      <c r="V930">
        <v>0</v>
      </c>
      <c r="W930" s="4">
        <v>9.5172000000000008</v>
      </c>
    </row>
    <row r="931" spans="1:23" x14ac:dyDescent="0.3">
      <c r="A931">
        <v>930</v>
      </c>
      <c r="B931" t="s">
        <v>2841</v>
      </c>
      <c r="C931" s="3">
        <v>43135</v>
      </c>
      <c r="D931" s="7" t="str">
        <f t="shared" si="28"/>
        <v>February</v>
      </c>
      <c r="E931" s="3">
        <f t="shared" si="29"/>
        <v>43159</v>
      </c>
      <c r="F931" s="3">
        <v>43224</v>
      </c>
      <c r="G931" t="s">
        <v>188</v>
      </c>
      <c r="H931" t="s">
        <v>2248</v>
      </c>
      <c r="I931" t="s">
        <v>2249</v>
      </c>
      <c r="J931" t="s">
        <v>26</v>
      </c>
      <c r="K931" t="s">
        <v>27</v>
      </c>
      <c r="L931" t="s">
        <v>2842</v>
      </c>
      <c r="M931" t="s">
        <v>498</v>
      </c>
      <c r="N931">
        <v>43615</v>
      </c>
      <c r="O931" t="s">
        <v>148</v>
      </c>
      <c r="P931" t="s">
        <v>1894</v>
      </c>
      <c r="Q931" t="s">
        <v>46</v>
      </c>
      <c r="R931" t="s">
        <v>68</v>
      </c>
      <c r="S931" t="s">
        <v>1895</v>
      </c>
      <c r="T931" s="4">
        <v>14.592000000000001</v>
      </c>
      <c r="U931">
        <v>3</v>
      </c>
      <c r="V931">
        <v>0.2</v>
      </c>
      <c r="W931" s="4">
        <v>2.5535999999999999</v>
      </c>
    </row>
    <row r="932" spans="1:23" x14ac:dyDescent="0.3">
      <c r="A932">
        <v>931</v>
      </c>
      <c r="B932" t="s">
        <v>2841</v>
      </c>
      <c r="C932" s="3">
        <v>43135</v>
      </c>
      <c r="D932" s="7" t="str">
        <f t="shared" si="28"/>
        <v>February</v>
      </c>
      <c r="E932" s="3">
        <f t="shared" si="29"/>
        <v>43159</v>
      </c>
      <c r="F932" s="3">
        <v>43224</v>
      </c>
      <c r="G932" t="s">
        <v>188</v>
      </c>
      <c r="H932" t="s">
        <v>2248</v>
      </c>
      <c r="I932" t="s">
        <v>2249</v>
      </c>
      <c r="J932" t="s">
        <v>26</v>
      </c>
      <c r="K932" t="s">
        <v>27</v>
      </c>
      <c r="L932" t="s">
        <v>2842</v>
      </c>
      <c r="M932" t="s">
        <v>498</v>
      </c>
      <c r="N932">
        <v>43615</v>
      </c>
      <c r="O932" t="s">
        <v>148</v>
      </c>
      <c r="P932" t="s">
        <v>2843</v>
      </c>
      <c r="Q932" t="s">
        <v>46</v>
      </c>
      <c r="R932" t="s">
        <v>68</v>
      </c>
      <c r="S932" t="s">
        <v>2844</v>
      </c>
      <c r="T932" s="4">
        <v>89.855999999999995</v>
      </c>
      <c r="U932">
        <v>3</v>
      </c>
      <c r="V932">
        <v>0.2</v>
      </c>
      <c r="W932" s="4">
        <v>21.340800000000002</v>
      </c>
    </row>
    <row r="933" spans="1:23" x14ac:dyDescent="0.3">
      <c r="A933">
        <v>932</v>
      </c>
      <c r="B933" t="s">
        <v>2841</v>
      </c>
      <c r="C933" s="3">
        <v>43135</v>
      </c>
      <c r="D933" s="7" t="str">
        <f t="shared" si="28"/>
        <v>February</v>
      </c>
      <c r="E933" s="3">
        <f t="shared" si="29"/>
        <v>43159</v>
      </c>
      <c r="F933" s="3">
        <v>43224</v>
      </c>
      <c r="G933" t="s">
        <v>188</v>
      </c>
      <c r="H933" t="s">
        <v>2248</v>
      </c>
      <c r="I933" t="s">
        <v>2249</v>
      </c>
      <c r="J933" t="s">
        <v>26</v>
      </c>
      <c r="K933" t="s">
        <v>27</v>
      </c>
      <c r="L933" t="s">
        <v>2842</v>
      </c>
      <c r="M933" t="s">
        <v>498</v>
      </c>
      <c r="N933">
        <v>43615</v>
      </c>
      <c r="O933" t="s">
        <v>148</v>
      </c>
      <c r="P933" t="s">
        <v>2377</v>
      </c>
      <c r="Q933" t="s">
        <v>46</v>
      </c>
      <c r="R933" t="s">
        <v>90</v>
      </c>
      <c r="S933" t="s">
        <v>2378</v>
      </c>
      <c r="T933" s="4">
        <v>13.872</v>
      </c>
      <c r="U933">
        <v>3</v>
      </c>
      <c r="V933">
        <v>0.2</v>
      </c>
      <c r="W933" s="4">
        <v>5.0286</v>
      </c>
    </row>
    <row r="934" spans="1:23" x14ac:dyDescent="0.3">
      <c r="A934">
        <v>933</v>
      </c>
      <c r="B934" t="s">
        <v>2845</v>
      </c>
      <c r="C934" s="3">
        <v>42775</v>
      </c>
      <c r="D934" s="7" t="str">
        <f t="shared" si="28"/>
        <v>February</v>
      </c>
      <c r="E934" s="3">
        <f t="shared" si="29"/>
        <v>42794</v>
      </c>
      <c r="F934" s="3">
        <v>42895</v>
      </c>
      <c r="G934" t="s">
        <v>50</v>
      </c>
      <c r="H934" t="s">
        <v>2846</v>
      </c>
      <c r="I934" t="s">
        <v>2847</v>
      </c>
      <c r="J934" t="s">
        <v>26</v>
      </c>
      <c r="K934" t="s">
        <v>27</v>
      </c>
      <c r="L934" t="s">
        <v>146</v>
      </c>
      <c r="M934" t="s">
        <v>147</v>
      </c>
      <c r="N934">
        <v>19140</v>
      </c>
      <c r="O934" t="s">
        <v>148</v>
      </c>
      <c r="P934" t="s">
        <v>2848</v>
      </c>
      <c r="Q934" t="s">
        <v>46</v>
      </c>
      <c r="R934" t="s">
        <v>90</v>
      </c>
      <c r="S934" t="s">
        <v>2849</v>
      </c>
      <c r="T934" s="4">
        <v>12.192</v>
      </c>
      <c r="U934">
        <v>3</v>
      </c>
      <c r="V934">
        <v>0.2</v>
      </c>
      <c r="W934" s="4">
        <v>4.1147999999999998</v>
      </c>
    </row>
    <row r="935" spans="1:23" x14ac:dyDescent="0.3">
      <c r="A935">
        <v>934</v>
      </c>
      <c r="B935" t="s">
        <v>2850</v>
      </c>
      <c r="C935" s="3">
        <v>42953</v>
      </c>
      <c r="D935" s="7" t="str">
        <f t="shared" si="28"/>
        <v>August</v>
      </c>
      <c r="E935" s="3">
        <f t="shared" si="29"/>
        <v>42978</v>
      </c>
      <c r="F935" s="3">
        <v>43075</v>
      </c>
      <c r="G935" t="s">
        <v>50</v>
      </c>
      <c r="H935" t="s">
        <v>2851</v>
      </c>
      <c r="I935" t="s">
        <v>2852</v>
      </c>
      <c r="J935" t="s">
        <v>102</v>
      </c>
      <c r="K935" t="s">
        <v>27</v>
      </c>
      <c r="L935" t="s">
        <v>146</v>
      </c>
      <c r="M935" t="s">
        <v>147</v>
      </c>
      <c r="N935">
        <v>19120</v>
      </c>
      <c r="O935" t="s">
        <v>148</v>
      </c>
      <c r="P935" t="s">
        <v>2853</v>
      </c>
      <c r="Q935" t="s">
        <v>46</v>
      </c>
      <c r="R935" t="s">
        <v>90</v>
      </c>
      <c r="S935" t="s">
        <v>2854</v>
      </c>
      <c r="T935" s="4">
        <v>45.055999999999997</v>
      </c>
      <c r="U935">
        <v>8</v>
      </c>
      <c r="V935">
        <v>0.2</v>
      </c>
      <c r="W935" s="4">
        <v>15.2064</v>
      </c>
    </row>
    <row r="936" spans="1:23" x14ac:dyDescent="0.3">
      <c r="A936">
        <v>935</v>
      </c>
      <c r="B936" t="s">
        <v>2850</v>
      </c>
      <c r="C936" s="3">
        <v>42953</v>
      </c>
      <c r="D936" s="7" t="str">
        <f t="shared" si="28"/>
        <v>August</v>
      </c>
      <c r="E936" s="3">
        <f t="shared" si="29"/>
        <v>42978</v>
      </c>
      <c r="F936" s="3">
        <v>43075</v>
      </c>
      <c r="G936" t="s">
        <v>50</v>
      </c>
      <c r="H936" t="s">
        <v>2851</v>
      </c>
      <c r="I936" t="s">
        <v>2852</v>
      </c>
      <c r="J936" t="s">
        <v>102</v>
      </c>
      <c r="K936" t="s">
        <v>27</v>
      </c>
      <c r="L936" t="s">
        <v>146</v>
      </c>
      <c r="M936" t="s">
        <v>147</v>
      </c>
      <c r="N936">
        <v>19120</v>
      </c>
      <c r="O936" t="s">
        <v>148</v>
      </c>
      <c r="P936" t="s">
        <v>2855</v>
      </c>
      <c r="Q936" t="s">
        <v>46</v>
      </c>
      <c r="R936" t="s">
        <v>75</v>
      </c>
      <c r="S936" t="s">
        <v>2856</v>
      </c>
      <c r="T936" s="4">
        <v>29.718</v>
      </c>
      <c r="U936">
        <v>6</v>
      </c>
      <c r="V936">
        <v>0.7</v>
      </c>
      <c r="W936" s="4">
        <v>-21.793199999999999</v>
      </c>
    </row>
    <row r="937" spans="1:23" x14ac:dyDescent="0.3">
      <c r="A937">
        <v>936</v>
      </c>
      <c r="B937" t="s">
        <v>2850</v>
      </c>
      <c r="C937" s="3">
        <v>42953</v>
      </c>
      <c r="D937" s="7" t="str">
        <f t="shared" si="28"/>
        <v>August</v>
      </c>
      <c r="E937" s="3">
        <f t="shared" si="29"/>
        <v>42978</v>
      </c>
      <c r="F937" s="3">
        <v>43075</v>
      </c>
      <c r="G937" t="s">
        <v>50</v>
      </c>
      <c r="H937" t="s">
        <v>2851</v>
      </c>
      <c r="I937" t="s">
        <v>2852</v>
      </c>
      <c r="J937" t="s">
        <v>102</v>
      </c>
      <c r="K937" t="s">
        <v>27</v>
      </c>
      <c r="L937" t="s">
        <v>146</v>
      </c>
      <c r="M937" t="s">
        <v>147</v>
      </c>
      <c r="N937">
        <v>19120</v>
      </c>
      <c r="O937" t="s">
        <v>148</v>
      </c>
      <c r="P937" t="s">
        <v>2649</v>
      </c>
      <c r="Q937" t="s">
        <v>46</v>
      </c>
      <c r="R937" t="s">
        <v>90</v>
      </c>
      <c r="S937" t="s">
        <v>2650</v>
      </c>
      <c r="T937" s="4">
        <v>15.552</v>
      </c>
      <c r="U937">
        <v>3</v>
      </c>
      <c r="V937">
        <v>0.2</v>
      </c>
      <c r="W937" s="4">
        <v>5.4432</v>
      </c>
    </row>
    <row r="938" spans="1:23" x14ac:dyDescent="0.3">
      <c r="A938">
        <v>937</v>
      </c>
      <c r="B938" t="s">
        <v>2850</v>
      </c>
      <c r="C938" s="3">
        <v>42953</v>
      </c>
      <c r="D938" s="7" t="str">
        <f t="shared" si="28"/>
        <v>August</v>
      </c>
      <c r="E938" s="3">
        <f t="shared" si="29"/>
        <v>42978</v>
      </c>
      <c r="F938" s="3">
        <v>43075</v>
      </c>
      <c r="G938" t="s">
        <v>50</v>
      </c>
      <c r="H938" t="s">
        <v>2851</v>
      </c>
      <c r="I938" t="s">
        <v>2852</v>
      </c>
      <c r="J938" t="s">
        <v>102</v>
      </c>
      <c r="K938" t="s">
        <v>27</v>
      </c>
      <c r="L938" t="s">
        <v>146</v>
      </c>
      <c r="M938" t="s">
        <v>147</v>
      </c>
      <c r="N938">
        <v>19120</v>
      </c>
      <c r="O938" t="s">
        <v>148</v>
      </c>
      <c r="P938" t="s">
        <v>598</v>
      </c>
      <c r="Q938" t="s">
        <v>46</v>
      </c>
      <c r="R938" t="s">
        <v>78</v>
      </c>
      <c r="S938" t="s">
        <v>599</v>
      </c>
      <c r="T938" s="4">
        <v>447.69600000000003</v>
      </c>
      <c r="U938">
        <v>2</v>
      </c>
      <c r="V938">
        <v>0.2</v>
      </c>
      <c r="W938" s="4">
        <v>33.577199999999998</v>
      </c>
    </row>
    <row r="939" spans="1:23" x14ac:dyDescent="0.3">
      <c r="A939">
        <v>938</v>
      </c>
      <c r="B939" t="s">
        <v>2857</v>
      </c>
      <c r="C939" s="3">
        <v>42866</v>
      </c>
      <c r="D939" s="7" t="str">
        <f t="shared" si="28"/>
        <v>May</v>
      </c>
      <c r="E939" s="3">
        <f t="shared" si="29"/>
        <v>42886</v>
      </c>
      <c r="F939" s="3">
        <v>42897</v>
      </c>
      <c r="G939" t="s">
        <v>188</v>
      </c>
      <c r="H939" t="s">
        <v>215</v>
      </c>
      <c r="I939" t="s">
        <v>216</v>
      </c>
      <c r="J939" t="s">
        <v>41</v>
      </c>
      <c r="K939" t="s">
        <v>27</v>
      </c>
      <c r="L939" t="s">
        <v>2858</v>
      </c>
      <c r="M939" t="s">
        <v>669</v>
      </c>
      <c r="N939">
        <v>87401</v>
      </c>
      <c r="O939" t="s">
        <v>44</v>
      </c>
      <c r="P939" t="s">
        <v>1315</v>
      </c>
      <c r="Q939" t="s">
        <v>71</v>
      </c>
      <c r="R939" t="s">
        <v>161</v>
      </c>
      <c r="S939" t="s">
        <v>1316</v>
      </c>
      <c r="T939" s="4">
        <v>159.99</v>
      </c>
      <c r="U939">
        <v>1</v>
      </c>
      <c r="V939">
        <v>0</v>
      </c>
      <c r="W939" s="4">
        <v>54.396599999999999</v>
      </c>
    </row>
    <row r="940" spans="1:23" x14ac:dyDescent="0.3">
      <c r="A940">
        <v>939</v>
      </c>
      <c r="B940" t="s">
        <v>2859</v>
      </c>
      <c r="C940" s="3">
        <v>42381</v>
      </c>
      <c r="D940" s="7" t="str">
        <f t="shared" si="28"/>
        <v>January</v>
      </c>
      <c r="E940" s="3">
        <f t="shared" si="29"/>
        <v>42400</v>
      </c>
      <c r="F940" s="3">
        <v>42502</v>
      </c>
      <c r="G940" t="s">
        <v>50</v>
      </c>
      <c r="H940" t="s">
        <v>2860</v>
      </c>
      <c r="I940" t="s">
        <v>2861</v>
      </c>
      <c r="J940" t="s">
        <v>41</v>
      </c>
      <c r="K940" t="s">
        <v>27</v>
      </c>
      <c r="L940" t="s">
        <v>2862</v>
      </c>
      <c r="M940" t="s">
        <v>43</v>
      </c>
      <c r="N940">
        <v>92503</v>
      </c>
      <c r="O940" t="s">
        <v>44</v>
      </c>
      <c r="P940" t="s">
        <v>2863</v>
      </c>
      <c r="Q940" t="s">
        <v>46</v>
      </c>
      <c r="R940" t="s">
        <v>90</v>
      </c>
      <c r="S940" t="s">
        <v>2864</v>
      </c>
      <c r="T940" s="4">
        <v>12.96</v>
      </c>
      <c r="U940">
        <v>2</v>
      </c>
      <c r="V940">
        <v>0</v>
      </c>
      <c r="W940" s="4">
        <v>6.2207999999999997</v>
      </c>
    </row>
    <row r="941" spans="1:23" x14ac:dyDescent="0.3">
      <c r="A941">
        <v>940</v>
      </c>
      <c r="B941" t="s">
        <v>2859</v>
      </c>
      <c r="C941" s="3">
        <v>42381</v>
      </c>
      <c r="D941" s="7" t="str">
        <f t="shared" si="28"/>
        <v>January</v>
      </c>
      <c r="E941" s="3">
        <f t="shared" si="29"/>
        <v>42400</v>
      </c>
      <c r="F941" s="3">
        <v>42502</v>
      </c>
      <c r="G941" t="s">
        <v>50</v>
      </c>
      <c r="H941" t="s">
        <v>2860</v>
      </c>
      <c r="I941" t="s">
        <v>2861</v>
      </c>
      <c r="J941" t="s">
        <v>41</v>
      </c>
      <c r="K941" t="s">
        <v>27</v>
      </c>
      <c r="L941" t="s">
        <v>2862</v>
      </c>
      <c r="M941" t="s">
        <v>43</v>
      </c>
      <c r="N941">
        <v>92503</v>
      </c>
      <c r="O941" t="s">
        <v>44</v>
      </c>
      <c r="P941" t="s">
        <v>2865</v>
      </c>
      <c r="Q941" t="s">
        <v>46</v>
      </c>
      <c r="R941" t="s">
        <v>78</v>
      </c>
      <c r="S941" t="s">
        <v>2866</v>
      </c>
      <c r="T941" s="4">
        <v>134.47999999999999</v>
      </c>
      <c r="U941">
        <v>4</v>
      </c>
      <c r="V941">
        <v>0</v>
      </c>
      <c r="W941" s="4">
        <v>34.964799999999997</v>
      </c>
    </row>
    <row r="942" spans="1:23" x14ac:dyDescent="0.3">
      <c r="A942">
        <v>941</v>
      </c>
      <c r="B942" t="s">
        <v>2867</v>
      </c>
      <c r="C942" s="3">
        <v>42922</v>
      </c>
      <c r="D942" s="7" t="str">
        <f t="shared" si="28"/>
        <v>July</v>
      </c>
      <c r="E942" s="3">
        <f t="shared" si="29"/>
        <v>42947</v>
      </c>
      <c r="F942" s="3">
        <v>42953</v>
      </c>
      <c r="G942" t="s">
        <v>188</v>
      </c>
      <c r="H942" t="s">
        <v>2868</v>
      </c>
      <c r="I942" t="s">
        <v>2869</v>
      </c>
      <c r="J942" t="s">
        <v>41</v>
      </c>
      <c r="K942" t="s">
        <v>27</v>
      </c>
      <c r="L942" t="s">
        <v>127</v>
      </c>
      <c r="M942" t="s">
        <v>43</v>
      </c>
      <c r="N942">
        <v>94110</v>
      </c>
      <c r="O942" t="s">
        <v>44</v>
      </c>
      <c r="P942" t="s">
        <v>2870</v>
      </c>
      <c r="Q942" t="s">
        <v>46</v>
      </c>
      <c r="R942" t="s">
        <v>90</v>
      </c>
      <c r="S942" t="s">
        <v>2871</v>
      </c>
      <c r="T942" s="4">
        <v>17.12</v>
      </c>
      <c r="U942">
        <v>2</v>
      </c>
      <c r="V942">
        <v>0</v>
      </c>
      <c r="W942" s="4">
        <v>8.0464000000000002</v>
      </c>
    </row>
    <row r="943" spans="1:23" x14ac:dyDescent="0.3">
      <c r="A943">
        <v>942</v>
      </c>
      <c r="B943" t="s">
        <v>2872</v>
      </c>
      <c r="C943" s="3">
        <v>42747</v>
      </c>
      <c r="D943" s="7" t="str">
        <f t="shared" si="28"/>
        <v>January</v>
      </c>
      <c r="E943" s="3">
        <f t="shared" si="29"/>
        <v>42766</v>
      </c>
      <c r="F943" s="3">
        <v>42959</v>
      </c>
      <c r="G943" t="s">
        <v>50</v>
      </c>
      <c r="H943" t="s">
        <v>2813</v>
      </c>
      <c r="I943" t="s">
        <v>2814</v>
      </c>
      <c r="J943" t="s">
        <v>41</v>
      </c>
      <c r="K943" t="s">
        <v>27</v>
      </c>
      <c r="L943" t="s">
        <v>2873</v>
      </c>
      <c r="M943" t="s">
        <v>43</v>
      </c>
      <c r="N943">
        <v>90503</v>
      </c>
      <c r="O943" t="s">
        <v>44</v>
      </c>
      <c r="P943" t="s">
        <v>2874</v>
      </c>
      <c r="Q943" t="s">
        <v>46</v>
      </c>
      <c r="R943" t="s">
        <v>75</v>
      </c>
      <c r="S943" t="s">
        <v>2875</v>
      </c>
      <c r="T943" s="4">
        <v>6.0960000000000001</v>
      </c>
      <c r="U943">
        <v>2</v>
      </c>
      <c r="V943">
        <v>0.2</v>
      </c>
      <c r="W943" s="4">
        <v>2.2098</v>
      </c>
    </row>
    <row r="944" spans="1:23" x14ac:dyDescent="0.3">
      <c r="A944">
        <v>943</v>
      </c>
      <c r="B944" t="s">
        <v>2872</v>
      </c>
      <c r="C944" s="3">
        <v>42747</v>
      </c>
      <c r="D944" s="7" t="str">
        <f t="shared" si="28"/>
        <v>January</v>
      </c>
      <c r="E944" s="3">
        <f t="shared" si="29"/>
        <v>42766</v>
      </c>
      <c r="F944" s="3">
        <v>42959</v>
      </c>
      <c r="G944" t="s">
        <v>50</v>
      </c>
      <c r="H944" t="s">
        <v>2813</v>
      </c>
      <c r="I944" t="s">
        <v>2814</v>
      </c>
      <c r="J944" t="s">
        <v>41</v>
      </c>
      <c r="K944" t="s">
        <v>27</v>
      </c>
      <c r="L944" t="s">
        <v>2873</v>
      </c>
      <c r="M944" t="s">
        <v>43</v>
      </c>
      <c r="N944">
        <v>90503</v>
      </c>
      <c r="O944" t="s">
        <v>44</v>
      </c>
      <c r="P944" t="s">
        <v>55</v>
      </c>
      <c r="Q944" t="s">
        <v>32</v>
      </c>
      <c r="R944" t="s">
        <v>56</v>
      </c>
      <c r="S944" t="s">
        <v>57</v>
      </c>
      <c r="T944" s="4">
        <v>1114.2719999999999</v>
      </c>
      <c r="U944">
        <v>4</v>
      </c>
      <c r="V944">
        <v>0.2</v>
      </c>
      <c r="W944" s="4">
        <v>41.785200000000003</v>
      </c>
    </row>
    <row r="945" spans="1:23" x14ac:dyDescent="0.3">
      <c r="A945">
        <v>944</v>
      </c>
      <c r="B945" t="s">
        <v>2876</v>
      </c>
      <c r="C945" s="3">
        <v>42860</v>
      </c>
      <c r="D945" s="7" t="str">
        <f t="shared" si="28"/>
        <v>May</v>
      </c>
      <c r="E945" s="3">
        <f t="shared" si="29"/>
        <v>42886</v>
      </c>
      <c r="F945" s="3">
        <v>42069</v>
      </c>
      <c r="G945" t="s">
        <v>50</v>
      </c>
      <c r="H945" t="s">
        <v>1205</v>
      </c>
      <c r="I945" t="s">
        <v>1206</v>
      </c>
      <c r="J945" t="s">
        <v>26</v>
      </c>
      <c r="K945" t="s">
        <v>27</v>
      </c>
      <c r="L945" t="s">
        <v>95</v>
      </c>
      <c r="M945" t="s">
        <v>96</v>
      </c>
      <c r="N945">
        <v>98105</v>
      </c>
      <c r="O945" t="s">
        <v>44</v>
      </c>
      <c r="P945" t="s">
        <v>1986</v>
      </c>
      <c r="Q945" t="s">
        <v>46</v>
      </c>
      <c r="R945" t="s">
        <v>90</v>
      </c>
      <c r="S945" t="s">
        <v>1987</v>
      </c>
      <c r="T945" s="4">
        <v>32.4</v>
      </c>
      <c r="U945">
        <v>5</v>
      </c>
      <c r="V945">
        <v>0</v>
      </c>
      <c r="W945" s="4">
        <v>15.552</v>
      </c>
    </row>
    <row r="946" spans="1:23" x14ac:dyDescent="0.3">
      <c r="A946">
        <v>945</v>
      </c>
      <c r="B946" t="s">
        <v>2876</v>
      </c>
      <c r="C946" s="3">
        <v>42860</v>
      </c>
      <c r="D946" s="7" t="str">
        <f t="shared" si="28"/>
        <v>May</v>
      </c>
      <c r="E946" s="3">
        <f t="shared" si="29"/>
        <v>42886</v>
      </c>
      <c r="F946" s="3">
        <v>42069</v>
      </c>
      <c r="G946" t="s">
        <v>50</v>
      </c>
      <c r="H946" t="s">
        <v>1205</v>
      </c>
      <c r="I946" t="s">
        <v>1206</v>
      </c>
      <c r="J946" t="s">
        <v>26</v>
      </c>
      <c r="K946" t="s">
        <v>27</v>
      </c>
      <c r="L946" t="s">
        <v>95</v>
      </c>
      <c r="M946" t="s">
        <v>96</v>
      </c>
      <c r="N946">
        <v>98105</v>
      </c>
      <c r="O946" t="s">
        <v>44</v>
      </c>
      <c r="P946" t="s">
        <v>2877</v>
      </c>
      <c r="Q946" t="s">
        <v>46</v>
      </c>
      <c r="R946" t="s">
        <v>59</v>
      </c>
      <c r="S946" t="s">
        <v>2878</v>
      </c>
      <c r="T946" s="4">
        <v>540.57000000000005</v>
      </c>
      <c r="U946">
        <v>3</v>
      </c>
      <c r="V946">
        <v>0</v>
      </c>
      <c r="W946" s="4">
        <v>140.54820000000001</v>
      </c>
    </row>
    <row r="947" spans="1:23" x14ac:dyDescent="0.3">
      <c r="A947">
        <v>946</v>
      </c>
      <c r="B947" t="s">
        <v>2876</v>
      </c>
      <c r="C947" s="3">
        <v>42860</v>
      </c>
      <c r="D947" s="7" t="str">
        <f t="shared" si="28"/>
        <v>May</v>
      </c>
      <c r="E947" s="3">
        <f t="shared" si="29"/>
        <v>42886</v>
      </c>
      <c r="F947" s="3">
        <v>42069</v>
      </c>
      <c r="G947" t="s">
        <v>50</v>
      </c>
      <c r="H947" t="s">
        <v>1205</v>
      </c>
      <c r="I947" t="s">
        <v>1206</v>
      </c>
      <c r="J947" t="s">
        <v>26</v>
      </c>
      <c r="K947" t="s">
        <v>27</v>
      </c>
      <c r="L947" t="s">
        <v>95</v>
      </c>
      <c r="M947" t="s">
        <v>96</v>
      </c>
      <c r="N947">
        <v>98105</v>
      </c>
      <c r="O947" t="s">
        <v>44</v>
      </c>
      <c r="P947" t="s">
        <v>2879</v>
      </c>
      <c r="Q947" t="s">
        <v>46</v>
      </c>
      <c r="R947" t="s">
        <v>75</v>
      </c>
      <c r="S947" t="s">
        <v>2880</v>
      </c>
      <c r="T947" s="4">
        <v>167.76</v>
      </c>
      <c r="U947">
        <v>5</v>
      </c>
      <c r="V947">
        <v>0.2</v>
      </c>
      <c r="W947" s="4">
        <v>62.91</v>
      </c>
    </row>
    <row r="948" spans="1:23" x14ac:dyDescent="0.3">
      <c r="A948">
        <v>947</v>
      </c>
      <c r="B948" t="s">
        <v>2881</v>
      </c>
      <c r="C948" s="3">
        <v>42773</v>
      </c>
      <c r="D948" s="7" t="str">
        <f t="shared" si="28"/>
        <v>February</v>
      </c>
      <c r="E948" s="3">
        <f t="shared" si="29"/>
        <v>42794</v>
      </c>
      <c r="F948" s="3">
        <v>42832</v>
      </c>
      <c r="G948" t="s">
        <v>188</v>
      </c>
      <c r="H948" t="s">
        <v>1911</v>
      </c>
      <c r="I948" t="s">
        <v>1912</v>
      </c>
      <c r="J948" t="s">
        <v>26</v>
      </c>
      <c r="K948" t="s">
        <v>27</v>
      </c>
      <c r="L948" t="s">
        <v>1828</v>
      </c>
      <c r="M948" t="s">
        <v>310</v>
      </c>
      <c r="N948">
        <v>85204</v>
      </c>
      <c r="O948" t="s">
        <v>44</v>
      </c>
      <c r="P948" t="s">
        <v>2882</v>
      </c>
      <c r="Q948" t="s">
        <v>32</v>
      </c>
      <c r="R948" t="s">
        <v>56</v>
      </c>
      <c r="S948" t="s">
        <v>2883</v>
      </c>
      <c r="T948" s="4">
        <v>393.16500000000002</v>
      </c>
      <c r="U948">
        <v>3</v>
      </c>
      <c r="V948">
        <v>0.5</v>
      </c>
      <c r="W948" s="4">
        <v>-204.44579999999999</v>
      </c>
    </row>
    <row r="949" spans="1:23" x14ac:dyDescent="0.3">
      <c r="A949">
        <v>948</v>
      </c>
      <c r="B949" t="s">
        <v>2884</v>
      </c>
      <c r="C949" s="3">
        <v>43566</v>
      </c>
      <c r="D949" s="7" t="str">
        <f t="shared" si="28"/>
        <v>April</v>
      </c>
      <c r="E949" s="3">
        <f t="shared" si="29"/>
        <v>43585</v>
      </c>
      <c r="F949" s="3">
        <v>42778</v>
      </c>
      <c r="G949" t="s">
        <v>50</v>
      </c>
      <c r="H949" t="s">
        <v>1513</v>
      </c>
      <c r="I949" t="s">
        <v>1514</v>
      </c>
      <c r="J949" t="s">
        <v>102</v>
      </c>
      <c r="K949" t="s">
        <v>27</v>
      </c>
      <c r="L949" t="s">
        <v>146</v>
      </c>
      <c r="M949" t="s">
        <v>147</v>
      </c>
      <c r="N949">
        <v>19120</v>
      </c>
      <c r="O949" t="s">
        <v>148</v>
      </c>
      <c r="P949" t="s">
        <v>2885</v>
      </c>
      <c r="Q949" t="s">
        <v>32</v>
      </c>
      <c r="R949" t="s">
        <v>65</v>
      </c>
      <c r="S949" t="s">
        <v>2886</v>
      </c>
      <c r="T949" s="4">
        <v>516.48800000000006</v>
      </c>
      <c r="U949">
        <v>7</v>
      </c>
      <c r="V949">
        <v>0.2</v>
      </c>
      <c r="W949" s="4">
        <v>-12.9122</v>
      </c>
    </row>
    <row r="950" spans="1:23" x14ac:dyDescent="0.3">
      <c r="A950">
        <v>949</v>
      </c>
      <c r="B950" t="s">
        <v>2884</v>
      </c>
      <c r="C950" s="3">
        <v>43566</v>
      </c>
      <c r="D950" s="7" t="str">
        <f t="shared" si="28"/>
        <v>April</v>
      </c>
      <c r="E950" s="3">
        <f t="shared" si="29"/>
        <v>43585</v>
      </c>
      <c r="F950" s="3">
        <v>42778</v>
      </c>
      <c r="G950" t="s">
        <v>50</v>
      </c>
      <c r="H950" t="s">
        <v>1513</v>
      </c>
      <c r="I950" t="s">
        <v>1514</v>
      </c>
      <c r="J950" t="s">
        <v>102</v>
      </c>
      <c r="K950" t="s">
        <v>27</v>
      </c>
      <c r="L950" t="s">
        <v>146</v>
      </c>
      <c r="M950" t="s">
        <v>147</v>
      </c>
      <c r="N950">
        <v>19120</v>
      </c>
      <c r="O950" t="s">
        <v>148</v>
      </c>
      <c r="P950" t="s">
        <v>922</v>
      </c>
      <c r="Q950" t="s">
        <v>32</v>
      </c>
      <c r="R950" t="s">
        <v>65</v>
      </c>
      <c r="S950" t="s">
        <v>923</v>
      </c>
      <c r="T950" s="4">
        <v>1007.232</v>
      </c>
      <c r="U950">
        <v>6</v>
      </c>
      <c r="V950">
        <v>0.2</v>
      </c>
      <c r="W950" s="4">
        <v>75.542400000000001</v>
      </c>
    </row>
    <row r="951" spans="1:23" x14ac:dyDescent="0.3">
      <c r="A951">
        <v>950</v>
      </c>
      <c r="B951" t="s">
        <v>2884</v>
      </c>
      <c r="C951" s="3">
        <v>43566</v>
      </c>
      <c r="D951" s="7" t="str">
        <f t="shared" si="28"/>
        <v>April</v>
      </c>
      <c r="E951" s="3">
        <f t="shared" si="29"/>
        <v>43585</v>
      </c>
      <c r="F951" s="3">
        <v>42778</v>
      </c>
      <c r="G951" t="s">
        <v>50</v>
      </c>
      <c r="H951" t="s">
        <v>1513</v>
      </c>
      <c r="I951" t="s">
        <v>1514</v>
      </c>
      <c r="J951" t="s">
        <v>102</v>
      </c>
      <c r="K951" t="s">
        <v>27</v>
      </c>
      <c r="L951" t="s">
        <v>146</v>
      </c>
      <c r="M951" t="s">
        <v>147</v>
      </c>
      <c r="N951">
        <v>19120</v>
      </c>
      <c r="O951" t="s">
        <v>148</v>
      </c>
      <c r="P951" t="s">
        <v>2887</v>
      </c>
      <c r="Q951" t="s">
        <v>32</v>
      </c>
      <c r="R951" t="s">
        <v>56</v>
      </c>
      <c r="S951" t="s">
        <v>2888</v>
      </c>
      <c r="T951" s="4">
        <v>2065.3200000000002</v>
      </c>
      <c r="U951">
        <v>12</v>
      </c>
      <c r="V951">
        <v>0.4</v>
      </c>
      <c r="W951" s="4">
        <v>-619.596</v>
      </c>
    </row>
    <row r="952" spans="1:23" x14ac:dyDescent="0.3">
      <c r="A952">
        <v>951</v>
      </c>
      <c r="B952" t="s">
        <v>2884</v>
      </c>
      <c r="C952" s="3">
        <v>43566</v>
      </c>
      <c r="D952" s="7" t="str">
        <f t="shared" si="28"/>
        <v>April</v>
      </c>
      <c r="E952" s="3">
        <f t="shared" si="29"/>
        <v>43585</v>
      </c>
      <c r="F952" s="3">
        <v>42778</v>
      </c>
      <c r="G952" t="s">
        <v>50</v>
      </c>
      <c r="H952" t="s">
        <v>1513</v>
      </c>
      <c r="I952" t="s">
        <v>1514</v>
      </c>
      <c r="J952" t="s">
        <v>102</v>
      </c>
      <c r="K952" t="s">
        <v>27</v>
      </c>
      <c r="L952" t="s">
        <v>146</v>
      </c>
      <c r="M952" t="s">
        <v>147</v>
      </c>
      <c r="N952">
        <v>19120</v>
      </c>
      <c r="O952" t="s">
        <v>148</v>
      </c>
      <c r="P952" t="s">
        <v>2889</v>
      </c>
      <c r="Q952" t="s">
        <v>46</v>
      </c>
      <c r="R952" t="s">
        <v>90</v>
      </c>
      <c r="S952" t="s">
        <v>2890</v>
      </c>
      <c r="T952" s="4">
        <v>15.552</v>
      </c>
      <c r="U952">
        <v>3</v>
      </c>
      <c r="V952">
        <v>0.2</v>
      </c>
      <c r="W952" s="4">
        <v>5.4432</v>
      </c>
    </row>
    <row r="953" spans="1:23" x14ac:dyDescent="0.3">
      <c r="A953">
        <v>952</v>
      </c>
      <c r="B953" t="s">
        <v>2884</v>
      </c>
      <c r="C953" s="3">
        <v>43566</v>
      </c>
      <c r="D953" s="7" t="str">
        <f t="shared" si="28"/>
        <v>April</v>
      </c>
      <c r="E953" s="3">
        <f t="shared" si="29"/>
        <v>43585</v>
      </c>
      <c r="F953" s="3">
        <v>42778</v>
      </c>
      <c r="G953" t="s">
        <v>50</v>
      </c>
      <c r="H953" t="s">
        <v>1513</v>
      </c>
      <c r="I953" t="s">
        <v>1514</v>
      </c>
      <c r="J953" t="s">
        <v>102</v>
      </c>
      <c r="K953" t="s">
        <v>27</v>
      </c>
      <c r="L953" t="s">
        <v>146</v>
      </c>
      <c r="M953" t="s">
        <v>147</v>
      </c>
      <c r="N953">
        <v>19120</v>
      </c>
      <c r="O953" t="s">
        <v>148</v>
      </c>
      <c r="P953" t="s">
        <v>915</v>
      </c>
      <c r="Q953" t="s">
        <v>46</v>
      </c>
      <c r="R953" t="s">
        <v>90</v>
      </c>
      <c r="S953" t="s">
        <v>916</v>
      </c>
      <c r="T953" s="4">
        <v>25.344000000000001</v>
      </c>
      <c r="U953">
        <v>6</v>
      </c>
      <c r="V953">
        <v>0.2</v>
      </c>
      <c r="W953" s="4">
        <v>7.92</v>
      </c>
    </row>
    <row r="954" spans="1:23" x14ac:dyDescent="0.3">
      <c r="A954">
        <v>953</v>
      </c>
      <c r="B954" t="s">
        <v>2891</v>
      </c>
      <c r="C954" s="3">
        <v>42798</v>
      </c>
      <c r="D954" s="7" t="str">
        <f t="shared" si="28"/>
        <v>March</v>
      </c>
      <c r="E954" s="3">
        <f t="shared" si="29"/>
        <v>42825</v>
      </c>
      <c r="F954" s="3">
        <v>42920</v>
      </c>
      <c r="G954" t="s">
        <v>50</v>
      </c>
      <c r="H954" t="s">
        <v>2892</v>
      </c>
      <c r="I954" t="s">
        <v>2893</v>
      </c>
      <c r="J954" t="s">
        <v>26</v>
      </c>
      <c r="K954" t="s">
        <v>27</v>
      </c>
      <c r="L954" t="s">
        <v>146</v>
      </c>
      <c r="M954" t="s">
        <v>147</v>
      </c>
      <c r="N954">
        <v>19143</v>
      </c>
      <c r="O954" t="s">
        <v>148</v>
      </c>
      <c r="P954" t="s">
        <v>2894</v>
      </c>
      <c r="Q954" t="s">
        <v>32</v>
      </c>
      <c r="R954" t="s">
        <v>65</v>
      </c>
      <c r="S954" t="s">
        <v>925</v>
      </c>
      <c r="T954" s="4">
        <v>25.472000000000001</v>
      </c>
      <c r="U954">
        <v>4</v>
      </c>
      <c r="V954">
        <v>0.2</v>
      </c>
      <c r="W954" s="4">
        <v>7.6416000000000004</v>
      </c>
    </row>
    <row r="955" spans="1:23" x14ac:dyDescent="0.3">
      <c r="A955">
        <v>954</v>
      </c>
      <c r="B955" t="s">
        <v>2895</v>
      </c>
      <c r="C955" s="3">
        <v>43567</v>
      </c>
      <c r="D955" s="7" t="str">
        <f t="shared" si="28"/>
        <v>April</v>
      </c>
      <c r="E955" s="3">
        <f t="shared" si="29"/>
        <v>43585</v>
      </c>
      <c r="F955" s="3">
        <v>43101</v>
      </c>
      <c r="G955" t="s">
        <v>50</v>
      </c>
      <c r="H955" t="s">
        <v>2896</v>
      </c>
      <c r="I955" t="s">
        <v>2897</v>
      </c>
      <c r="J955" t="s">
        <v>26</v>
      </c>
      <c r="K955" t="s">
        <v>27</v>
      </c>
      <c r="L955" t="s">
        <v>2898</v>
      </c>
      <c r="M955" t="s">
        <v>104</v>
      </c>
      <c r="N955">
        <v>78664</v>
      </c>
      <c r="O955" t="s">
        <v>105</v>
      </c>
      <c r="P955" t="s">
        <v>877</v>
      </c>
      <c r="Q955" t="s">
        <v>46</v>
      </c>
      <c r="R955" t="s">
        <v>68</v>
      </c>
      <c r="S955" t="s">
        <v>878</v>
      </c>
      <c r="T955" s="4">
        <v>27.167999999999999</v>
      </c>
      <c r="U955">
        <v>2</v>
      </c>
      <c r="V955">
        <v>0.2</v>
      </c>
      <c r="W955" s="4">
        <v>2.7168000000000001</v>
      </c>
    </row>
    <row r="956" spans="1:23" x14ac:dyDescent="0.3">
      <c r="A956">
        <v>955</v>
      </c>
      <c r="B956" t="s">
        <v>2895</v>
      </c>
      <c r="C956" s="3">
        <v>43567</v>
      </c>
      <c r="D956" s="7" t="str">
        <f t="shared" si="28"/>
        <v>April</v>
      </c>
      <c r="E956" s="3">
        <f t="shared" si="29"/>
        <v>43585</v>
      </c>
      <c r="F956" s="3">
        <v>43101</v>
      </c>
      <c r="G956" t="s">
        <v>50</v>
      </c>
      <c r="H956" t="s">
        <v>2896</v>
      </c>
      <c r="I956" t="s">
        <v>2897</v>
      </c>
      <c r="J956" t="s">
        <v>26</v>
      </c>
      <c r="K956" t="s">
        <v>27</v>
      </c>
      <c r="L956" t="s">
        <v>2898</v>
      </c>
      <c r="M956" t="s">
        <v>104</v>
      </c>
      <c r="N956">
        <v>78664</v>
      </c>
      <c r="O956" t="s">
        <v>105</v>
      </c>
      <c r="P956" t="s">
        <v>1079</v>
      </c>
      <c r="Q956" t="s">
        <v>32</v>
      </c>
      <c r="R956" t="s">
        <v>33</v>
      </c>
      <c r="S956" t="s">
        <v>1080</v>
      </c>
      <c r="T956" s="4">
        <v>78.852800000000002</v>
      </c>
      <c r="U956">
        <v>2</v>
      </c>
      <c r="V956">
        <v>0.32</v>
      </c>
      <c r="W956" s="4">
        <v>-11.596</v>
      </c>
    </row>
    <row r="957" spans="1:23" x14ac:dyDescent="0.3">
      <c r="A957">
        <v>956</v>
      </c>
      <c r="B957" t="s">
        <v>2899</v>
      </c>
      <c r="C957" s="3">
        <v>43627</v>
      </c>
      <c r="D957" s="7" t="str">
        <f t="shared" si="28"/>
        <v>June</v>
      </c>
      <c r="E957" s="3">
        <f t="shared" si="29"/>
        <v>43646</v>
      </c>
      <c r="F957" s="3">
        <v>42837</v>
      </c>
      <c r="G957" t="s">
        <v>50</v>
      </c>
      <c r="H957" t="s">
        <v>2900</v>
      </c>
      <c r="I957" t="s">
        <v>2901</v>
      </c>
      <c r="J957" t="s">
        <v>26</v>
      </c>
      <c r="K957" t="s">
        <v>27</v>
      </c>
      <c r="L957" t="s">
        <v>328</v>
      </c>
      <c r="M957" t="s">
        <v>1492</v>
      </c>
      <c r="N957">
        <v>39212</v>
      </c>
      <c r="O957" t="s">
        <v>30</v>
      </c>
      <c r="P957" t="s">
        <v>277</v>
      </c>
      <c r="Q957" t="s">
        <v>46</v>
      </c>
      <c r="R957" t="s">
        <v>59</v>
      </c>
      <c r="S957" t="s">
        <v>278</v>
      </c>
      <c r="T957" s="4">
        <v>173.8</v>
      </c>
      <c r="U957">
        <v>5</v>
      </c>
      <c r="V957">
        <v>0</v>
      </c>
      <c r="W957" s="4">
        <v>43.45</v>
      </c>
    </row>
    <row r="958" spans="1:23" x14ac:dyDescent="0.3">
      <c r="A958">
        <v>957</v>
      </c>
      <c r="B958" t="s">
        <v>2902</v>
      </c>
      <c r="C958" s="3">
        <v>43164</v>
      </c>
      <c r="D958" s="7" t="str">
        <f t="shared" si="28"/>
        <v>March</v>
      </c>
      <c r="E958" s="3">
        <f t="shared" si="29"/>
        <v>43190</v>
      </c>
      <c r="F958" s="3">
        <v>43256</v>
      </c>
      <c r="G958" t="s">
        <v>23</v>
      </c>
      <c r="H958" t="s">
        <v>2903</v>
      </c>
      <c r="I958" t="s">
        <v>2904</v>
      </c>
      <c r="J958" t="s">
        <v>26</v>
      </c>
      <c r="K958" t="s">
        <v>27</v>
      </c>
      <c r="L958" t="s">
        <v>544</v>
      </c>
      <c r="M958" t="s">
        <v>310</v>
      </c>
      <c r="N958">
        <v>85023</v>
      </c>
      <c r="O958" t="s">
        <v>44</v>
      </c>
      <c r="P958" t="s">
        <v>2676</v>
      </c>
      <c r="Q958" t="s">
        <v>71</v>
      </c>
      <c r="R958" t="s">
        <v>72</v>
      </c>
      <c r="S958" t="s">
        <v>2677</v>
      </c>
      <c r="T958" s="4">
        <v>29.591999999999999</v>
      </c>
      <c r="U958">
        <v>1</v>
      </c>
      <c r="V958">
        <v>0.2</v>
      </c>
      <c r="W958" s="4">
        <v>2.5893000000000002</v>
      </c>
    </row>
    <row r="959" spans="1:23" x14ac:dyDescent="0.3">
      <c r="A959">
        <v>958</v>
      </c>
      <c r="B959" t="s">
        <v>2902</v>
      </c>
      <c r="C959" s="3">
        <v>43164</v>
      </c>
      <c r="D959" s="7" t="str">
        <f t="shared" si="28"/>
        <v>March</v>
      </c>
      <c r="E959" s="3">
        <f t="shared" si="29"/>
        <v>43190</v>
      </c>
      <c r="F959" s="3">
        <v>43256</v>
      </c>
      <c r="G959" t="s">
        <v>23</v>
      </c>
      <c r="H959" t="s">
        <v>2903</v>
      </c>
      <c r="I959" t="s">
        <v>2904</v>
      </c>
      <c r="J959" t="s">
        <v>26</v>
      </c>
      <c r="K959" t="s">
        <v>27</v>
      </c>
      <c r="L959" t="s">
        <v>544</v>
      </c>
      <c r="M959" t="s">
        <v>310</v>
      </c>
      <c r="N959">
        <v>85023</v>
      </c>
      <c r="O959" t="s">
        <v>44</v>
      </c>
      <c r="P959" t="s">
        <v>2905</v>
      </c>
      <c r="Q959" t="s">
        <v>46</v>
      </c>
      <c r="R959" t="s">
        <v>75</v>
      </c>
      <c r="S959" t="s">
        <v>2906</v>
      </c>
      <c r="T959" s="4">
        <v>4.7519999999999998</v>
      </c>
      <c r="U959">
        <v>2</v>
      </c>
      <c r="V959">
        <v>0.7</v>
      </c>
      <c r="W959" s="4">
        <v>-3.1680000000000001</v>
      </c>
    </row>
    <row r="960" spans="1:23" x14ac:dyDescent="0.3">
      <c r="A960">
        <v>959</v>
      </c>
      <c r="B960" t="s">
        <v>2902</v>
      </c>
      <c r="C960" s="3">
        <v>43164</v>
      </c>
      <c r="D960" s="7" t="str">
        <f t="shared" si="28"/>
        <v>March</v>
      </c>
      <c r="E960" s="3">
        <f t="shared" si="29"/>
        <v>43190</v>
      </c>
      <c r="F960" s="3">
        <v>43256</v>
      </c>
      <c r="G960" t="s">
        <v>23</v>
      </c>
      <c r="H960" t="s">
        <v>2903</v>
      </c>
      <c r="I960" t="s">
        <v>2904</v>
      </c>
      <c r="J960" t="s">
        <v>26</v>
      </c>
      <c r="K960" t="s">
        <v>27</v>
      </c>
      <c r="L960" t="s">
        <v>544</v>
      </c>
      <c r="M960" t="s">
        <v>310</v>
      </c>
      <c r="N960">
        <v>85023</v>
      </c>
      <c r="O960" t="s">
        <v>44</v>
      </c>
      <c r="P960" t="s">
        <v>2907</v>
      </c>
      <c r="Q960" t="s">
        <v>46</v>
      </c>
      <c r="R960" t="s">
        <v>90</v>
      </c>
      <c r="S960" t="s">
        <v>2908</v>
      </c>
      <c r="T960" s="4">
        <v>15.552</v>
      </c>
      <c r="U960">
        <v>3</v>
      </c>
      <c r="V960">
        <v>0.2</v>
      </c>
      <c r="W960" s="4">
        <v>5.6375999999999999</v>
      </c>
    </row>
    <row r="961" spans="1:23" x14ac:dyDescent="0.3">
      <c r="A961">
        <v>960</v>
      </c>
      <c r="B961" t="s">
        <v>2909</v>
      </c>
      <c r="C961" s="3">
        <v>42652</v>
      </c>
      <c r="D961" s="7" t="str">
        <f t="shared" si="28"/>
        <v>October</v>
      </c>
      <c r="E961" s="3">
        <f t="shared" si="29"/>
        <v>42674</v>
      </c>
      <c r="F961" s="3">
        <v>42652</v>
      </c>
      <c r="G961" t="s">
        <v>1293</v>
      </c>
      <c r="H961" t="s">
        <v>2910</v>
      </c>
      <c r="I961" t="s">
        <v>2911</v>
      </c>
      <c r="J961" t="s">
        <v>26</v>
      </c>
      <c r="K961" t="s">
        <v>27</v>
      </c>
      <c r="L961" t="s">
        <v>2348</v>
      </c>
      <c r="M961" t="s">
        <v>43</v>
      </c>
      <c r="N961">
        <v>92054</v>
      </c>
      <c r="O961" t="s">
        <v>44</v>
      </c>
      <c r="P961" t="s">
        <v>2912</v>
      </c>
      <c r="Q961" t="s">
        <v>32</v>
      </c>
      <c r="R961" t="s">
        <v>65</v>
      </c>
      <c r="S961" t="s">
        <v>2913</v>
      </c>
      <c r="T961" s="4">
        <v>204.6</v>
      </c>
      <c r="U961">
        <v>2</v>
      </c>
      <c r="V961">
        <v>0</v>
      </c>
      <c r="W961" s="4">
        <v>53.195999999999998</v>
      </c>
    </row>
    <row r="962" spans="1:23" x14ac:dyDescent="0.3">
      <c r="A962">
        <v>961</v>
      </c>
      <c r="B962" t="s">
        <v>2914</v>
      </c>
      <c r="C962" s="3">
        <v>43142</v>
      </c>
      <c r="D962" s="7" t="str">
        <f t="shared" si="28"/>
        <v>February</v>
      </c>
      <c r="E962" s="3">
        <f t="shared" si="29"/>
        <v>43159</v>
      </c>
      <c r="F962" s="3">
        <v>43292</v>
      </c>
      <c r="G962" t="s">
        <v>50</v>
      </c>
      <c r="H962" t="s">
        <v>2915</v>
      </c>
      <c r="I962" t="s">
        <v>2916</v>
      </c>
      <c r="J962" t="s">
        <v>41</v>
      </c>
      <c r="K962" t="s">
        <v>27</v>
      </c>
      <c r="L962" t="s">
        <v>127</v>
      </c>
      <c r="M962" t="s">
        <v>43</v>
      </c>
      <c r="N962">
        <v>94110</v>
      </c>
      <c r="O962" t="s">
        <v>44</v>
      </c>
      <c r="P962" t="s">
        <v>945</v>
      </c>
      <c r="Q962" t="s">
        <v>32</v>
      </c>
      <c r="R962" t="s">
        <v>36</v>
      </c>
      <c r="S962" t="s">
        <v>946</v>
      </c>
      <c r="T962" s="4">
        <v>321.56799999999998</v>
      </c>
      <c r="U962">
        <v>2</v>
      </c>
      <c r="V962">
        <v>0.2</v>
      </c>
      <c r="W962" s="4">
        <v>28.1372</v>
      </c>
    </row>
    <row r="963" spans="1:23" x14ac:dyDescent="0.3">
      <c r="A963">
        <v>962</v>
      </c>
      <c r="B963" t="s">
        <v>2917</v>
      </c>
      <c r="C963" s="3">
        <v>42805</v>
      </c>
      <c r="D963" s="7" t="str">
        <f t="shared" ref="D963:D1001" si="30">TEXT(C963,"mmmm")</f>
        <v>March</v>
      </c>
      <c r="E963" s="3">
        <f t="shared" ref="E963:E1001" si="31">EOMONTH(C963,0)</f>
        <v>42825</v>
      </c>
      <c r="F963" s="3">
        <v>42016</v>
      </c>
      <c r="G963" t="s">
        <v>50</v>
      </c>
      <c r="H963" t="s">
        <v>2918</v>
      </c>
      <c r="I963" t="s">
        <v>2919</v>
      </c>
      <c r="J963" t="s">
        <v>102</v>
      </c>
      <c r="K963" t="s">
        <v>27</v>
      </c>
      <c r="L963" t="s">
        <v>1711</v>
      </c>
      <c r="M963" t="s">
        <v>1712</v>
      </c>
      <c r="N963">
        <v>72701</v>
      </c>
      <c r="O963" t="s">
        <v>30</v>
      </c>
      <c r="P963" t="s">
        <v>2920</v>
      </c>
      <c r="Q963" t="s">
        <v>46</v>
      </c>
      <c r="R963" t="s">
        <v>75</v>
      </c>
      <c r="S963" t="s">
        <v>2921</v>
      </c>
      <c r="T963" s="4">
        <v>6.24</v>
      </c>
      <c r="U963">
        <v>2</v>
      </c>
      <c r="V963">
        <v>0</v>
      </c>
      <c r="W963" s="4">
        <v>3.0575999999999999</v>
      </c>
    </row>
    <row r="964" spans="1:23" x14ac:dyDescent="0.3">
      <c r="A964">
        <v>963</v>
      </c>
      <c r="B964" t="s">
        <v>2922</v>
      </c>
      <c r="C964" s="3">
        <v>42378</v>
      </c>
      <c r="D964" s="7" t="str">
        <f t="shared" si="30"/>
        <v>January</v>
      </c>
      <c r="E964" s="3">
        <f t="shared" si="31"/>
        <v>42400</v>
      </c>
      <c r="F964" s="3">
        <v>42469</v>
      </c>
      <c r="G964" t="s">
        <v>188</v>
      </c>
      <c r="H964" t="s">
        <v>481</v>
      </c>
      <c r="I964" t="s">
        <v>482</v>
      </c>
      <c r="J964" t="s">
        <v>41</v>
      </c>
      <c r="K964" t="s">
        <v>27</v>
      </c>
      <c r="L964" t="s">
        <v>127</v>
      </c>
      <c r="M964" t="s">
        <v>43</v>
      </c>
      <c r="N964">
        <v>94110</v>
      </c>
      <c r="O964" t="s">
        <v>44</v>
      </c>
      <c r="P964" t="s">
        <v>1807</v>
      </c>
      <c r="Q964" t="s">
        <v>46</v>
      </c>
      <c r="R964" t="s">
        <v>173</v>
      </c>
      <c r="S964" t="s">
        <v>1808</v>
      </c>
      <c r="T964" s="4">
        <v>21.88</v>
      </c>
      <c r="U964">
        <v>2</v>
      </c>
      <c r="V964">
        <v>0</v>
      </c>
      <c r="W964" s="4">
        <v>10.94</v>
      </c>
    </row>
    <row r="965" spans="1:23" x14ac:dyDescent="0.3">
      <c r="A965">
        <v>964</v>
      </c>
      <c r="B965" t="s">
        <v>2923</v>
      </c>
      <c r="C965" s="3">
        <v>42286</v>
      </c>
      <c r="D965" s="7" t="str">
        <f t="shared" si="30"/>
        <v>October</v>
      </c>
      <c r="E965" s="3">
        <f t="shared" si="31"/>
        <v>42308</v>
      </c>
      <c r="F965" s="3">
        <v>42347</v>
      </c>
      <c r="G965" t="s">
        <v>23</v>
      </c>
      <c r="H965" t="s">
        <v>2764</v>
      </c>
      <c r="I965" t="s">
        <v>2765</v>
      </c>
      <c r="J965" t="s">
        <v>26</v>
      </c>
      <c r="K965" t="s">
        <v>27</v>
      </c>
      <c r="L965" t="s">
        <v>2924</v>
      </c>
      <c r="M965" t="s">
        <v>54</v>
      </c>
      <c r="N965">
        <v>33433</v>
      </c>
      <c r="O965" t="s">
        <v>30</v>
      </c>
      <c r="P965" t="s">
        <v>2925</v>
      </c>
      <c r="Q965" t="s">
        <v>46</v>
      </c>
      <c r="R965" t="s">
        <v>47</v>
      </c>
      <c r="S965" t="s">
        <v>2926</v>
      </c>
      <c r="T965" s="4">
        <v>4.6079999999999997</v>
      </c>
      <c r="U965">
        <v>2</v>
      </c>
      <c r="V965">
        <v>0.2</v>
      </c>
      <c r="W965" s="4">
        <v>1.6704000000000001</v>
      </c>
    </row>
    <row r="966" spans="1:23" x14ac:dyDescent="0.3">
      <c r="A966">
        <v>965</v>
      </c>
      <c r="B966" t="s">
        <v>2927</v>
      </c>
      <c r="C966" s="3">
        <v>42982</v>
      </c>
      <c r="D966" s="7" t="str">
        <f t="shared" si="30"/>
        <v>September</v>
      </c>
      <c r="E966" s="3">
        <f t="shared" si="31"/>
        <v>43008</v>
      </c>
      <c r="F966" s="3">
        <v>43043</v>
      </c>
      <c r="G966" t="s">
        <v>188</v>
      </c>
      <c r="H966" t="s">
        <v>2928</v>
      </c>
      <c r="I966" t="s">
        <v>2929</v>
      </c>
      <c r="J966" t="s">
        <v>102</v>
      </c>
      <c r="K966" t="s">
        <v>27</v>
      </c>
      <c r="L966" t="s">
        <v>266</v>
      </c>
      <c r="M966" t="s">
        <v>267</v>
      </c>
      <c r="N966">
        <v>10011</v>
      </c>
      <c r="O966" t="s">
        <v>148</v>
      </c>
      <c r="P966" t="s">
        <v>2930</v>
      </c>
      <c r="Q966" t="s">
        <v>46</v>
      </c>
      <c r="R966" t="s">
        <v>47</v>
      </c>
      <c r="S966" t="s">
        <v>2931</v>
      </c>
      <c r="T966" s="4">
        <v>9.82</v>
      </c>
      <c r="U966">
        <v>2</v>
      </c>
      <c r="V966">
        <v>0</v>
      </c>
      <c r="W966" s="4">
        <v>4.8117999999999999</v>
      </c>
    </row>
    <row r="967" spans="1:23" x14ac:dyDescent="0.3">
      <c r="A967">
        <v>966</v>
      </c>
      <c r="B967" t="s">
        <v>2927</v>
      </c>
      <c r="C967" s="3">
        <v>42982</v>
      </c>
      <c r="D967" s="7" t="str">
        <f t="shared" si="30"/>
        <v>September</v>
      </c>
      <c r="E967" s="3">
        <f t="shared" si="31"/>
        <v>43008</v>
      </c>
      <c r="F967" s="3">
        <v>43043</v>
      </c>
      <c r="G967" t="s">
        <v>188</v>
      </c>
      <c r="H967" t="s">
        <v>2928</v>
      </c>
      <c r="I967" t="s">
        <v>2929</v>
      </c>
      <c r="J967" t="s">
        <v>102</v>
      </c>
      <c r="K967" t="s">
        <v>27</v>
      </c>
      <c r="L967" t="s">
        <v>266</v>
      </c>
      <c r="M967" t="s">
        <v>267</v>
      </c>
      <c r="N967">
        <v>10011</v>
      </c>
      <c r="O967" t="s">
        <v>148</v>
      </c>
      <c r="P967" t="s">
        <v>1461</v>
      </c>
      <c r="Q967" t="s">
        <v>46</v>
      </c>
      <c r="R967" t="s">
        <v>68</v>
      </c>
      <c r="S967" t="s">
        <v>1462</v>
      </c>
      <c r="T967" s="4">
        <v>35.97</v>
      </c>
      <c r="U967">
        <v>3</v>
      </c>
      <c r="V967">
        <v>0</v>
      </c>
      <c r="W967" s="4">
        <v>9.7119</v>
      </c>
    </row>
    <row r="968" spans="1:23" x14ac:dyDescent="0.3">
      <c r="A968">
        <v>967</v>
      </c>
      <c r="B968" t="s">
        <v>2927</v>
      </c>
      <c r="C968" s="3">
        <v>42982</v>
      </c>
      <c r="D968" s="7" t="str">
        <f t="shared" si="30"/>
        <v>September</v>
      </c>
      <c r="E968" s="3">
        <f t="shared" si="31"/>
        <v>43008</v>
      </c>
      <c r="F968" s="3">
        <v>43043</v>
      </c>
      <c r="G968" t="s">
        <v>188</v>
      </c>
      <c r="H968" t="s">
        <v>2928</v>
      </c>
      <c r="I968" t="s">
        <v>2929</v>
      </c>
      <c r="J968" t="s">
        <v>102</v>
      </c>
      <c r="K968" t="s">
        <v>27</v>
      </c>
      <c r="L968" t="s">
        <v>266</v>
      </c>
      <c r="M968" t="s">
        <v>267</v>
      </c>
      <c r="N968">
        <v>10011</v>
      </c>
      <c r="O968" t="s">
        <v>148</v>
      </c>
      <c r="P968" t="s">
        <v>2932</v>
      </c>
      <c r="Q968" t="s">
        <v>46</v>
      </c>
      <c r="R968" t="s">
        <v>90</v>
      </c>
      <c r="S968" t="s">
        <v>2933</v>
      </c>
      <c r="T968" s="4">
        <v>12.96</v>
      </c>
      <c r="U968">
        <v>2</v>
      </c>
      <c r="V968">
        <v>0</v>
      </c>
      <c r="W968" s="4">
        <v>6.2207999999999997</v>
      </c>
    </row>
    <row r="969" spans="1:23" x14ac:dyDescent="0.3">
      <c r="A969">
        <v>968</v>
      </c>
      <c r="B969" t="s">
        <v>2927</v>
      </c>
      <c r="C969" s="3">
        <v>42982</v>
      </c>
      <c r="D969" s="7" t="str">
        <f t="shared" si="30"/>
        <v>September</v>
      </c>
      <c r="E969" s="3">
        <f t="shared" si="31"/>
        <v>43008</v>
      </c>
      <c r="F969" s="3">
        <v>43043</v>
      </c>
      <c r="G969" t="s">
        <v>188</v>
      </c>
      <c r="H969" t="s">
        <v>2928</v>
      </c>
      <c r="I969" t="s">
        <v>2929</v>
      </c>
      <c r="J969" t="s">
        <v>102</v>
      </c>
      <c r="K969" t="s">
        <v>27</v>
      </c>
      <c r="L969" t="s">
        <v>266</v>
      </c>
      <c r="M969" t="s">
        <v>267</v>
      </c>
      <c r="N969">
        <v>10011</v>
      </c>
      <c r="O969" t="s">
        <v>148</v>
      </c>
      <c r="P969" t="s">
        <v>2934</v>
      </c>
      <c r="Q969" t="s">
        <v>46</v>
      </c>
      <c r="R969" t="s">
        <v>90</v>
      </c>
      <c r="S969" t="s">
        <v>2935</v>
      </c>
      <c r="T969" s="4">
        <v>191.6</v>
      </c>
      <c r="U969">
        <v>4</v>
      </c>
      <c r="V969">
        <v>0</v>
      </c>
      <c r="W969" s="4">
        <v>91.968000000000004</v>
      </c>
    </row>
    <row r="970" spans="1:23" x14ac:dyDescent="0.3">
      <c r="A970">
        <v>969</v>
      </c>
      <c r="B970" t="s">
        <v>2927</v>
      </c>
      <c r="C970" s="3">
        <v>42982</v>
      </c>
      <c r="D970" s="7" t="str">
        <f t="shared" si="30"/>
        <v>September</v>
      </c>
      <c r="E970" s="3">
        <f t="shared" si="31"/>
        <v>43008</v>
      </c>
      <c r="F970" s="3">
        <v>43043</v>
      </c>
      <c r="G970" t="s">
        <v>188</v>
      </c>
      <c r="H970" t="s">
        <v>2928</v>
      </c>
      <c r="I970" t="s">
        <v>2929</v>
      </c>
      <c r="J970" t="s">
        <v>102</v>
      </c>
      <c r="K970" t="s">
        <v>27</v>
      </c>
      <c r="L970" t="s">
        <v>266</v>
      </c>
      <c r="M970" t="s">
        <v>267</v>
      </c>
      <c r="N970">
        <v>10011</v>
      </c>
      <c r="O970" t="s">
        <v>148</v>
      </c>
      <c r="P970" t="s">
        <v>2925</v>
      </c>
      <c r="Q970" t="s">
        <v>46</v>
      </c>
      <c r="R970" t="s">
        <v>47</v>
      </c>
      <c r="S970" t="s">
        <v>2926</v>
      </c>
      <c r="T970" s="4">
        <v>8.64</v>
      </c>
      <c r="U970">
        <v>3</v>
      </c>
      <c r="V970">
        <v>0</v>
      </c>
      <c r="W970" s="4">
        <v>4.2336</v>
      </c>
    </row>
    <row r="971" spans="1:23" x14ac:dyDescent="0.3">
      <c r="A971">
        <v>970</v>
      </c>
      <c r="B971" t="s">
        <v>2927</v>
      </c>
      <c r="C971" s="3">
        <v>42982</v>
      </c>
      <c r="D971" s="7" t="str">
        <f t="shared" si="30"/>
        <v>September</v>
      </c>
      <c r="E971" s="3">
        <f t="shared" si="31"/>
        <v>43008</v>
      </c>
      <c r="F971" s="3">
        <v>43043</v>
      </c>
      <c r="G971" t="s">
        <v>188</v>
      </c>
      <c r="H971" t="s">
        <v>2928</v>
      </c>
      <c r="I971" t="s">
        <v>2929</v>
      </c>
      <c r="J971" t="s">
        <v>102</v>
      </c>
      <c r="K971" t="s">
        <v>27</v>
      </c>
      <c r="L971" t="s">
        <v>266</v>
      </c>
      <c r="M971" t="s">
        <v>267</v>
      </c>
      <c r="N971">
        <v>10011</v>
      </c>
      <c r="O971" t="s">
        <v>148</v>
      </c>
      <c r="P971" t="s">
        <v>2936</v>
      </c>
      <c r="Q971" t="s">
        <v>46</v>
      </c>
      <c r="R971" t="s">
        <v>59</v>
      </c>
      <c r="S971" t="s">
        <v>2937</v>
      </c>
      <c r="T971" s="4">
        <v>501.81</v>
      </c>
      <c r="U971">
        <v>3</v>
      </c>
      <c r="V971">
        <v>0</v>
      </c>
      <c r="W971" s="4">
        <v>0</v>
      </c>
    </row>
    <row r="972" spans="1:23" x14ac:dyDescent="0.3">
      <c r="A972">
        <v>971</v>
      </c>
      <c r="B972" t="s">
        <v>2938</v>
      </c>
      <c r="C972" s="3">
        <v>42095</v>
      </c>
      <c r="D972" s="7" t="str">
        <f t="shared" si="30"/>
        <v>April</v>
      </c>
      <c r="E972" s="3">
        <f t="shared" si="31"/>
        <v>42124</v>
      </c>
      <c r="F972" s="3">
        <v>42156</v>
      </c>
      <c r="G972" t="s">
        <v>23</v>
      </c>
      <c r="H972" t="s">
        <v>954</v>
      </c>
      <c r="I972" t="s">
        <v>955</v>
      </c>
      <c r="J972" t="s">
        <v>26</v>
      </c>
      <c r="K972" t="s">
        <v>27</v>
      </c>
      <c r="L972" t="s">
        <v>146</v>
      </c>
      <c r="M972" t="s">
        <v>147</v>
      </c>
      <c r="N972">
        <v>19134</v>
      </c>
      <c r="O972" t="s">
        <v>148</v>
      </c>
      <c r="P972" t="s">
        <v>2939</v>
      </c>
      <c r="Q972" t="s">
        <v>32</v>
      </c>
      <c r="R972" t="s">
        <v>65</v>
      </c>
      <c r="S972" t="s">
        <v>2940</v>
      </c>
      <c r="T972" s="4">
        <v>127.104</v>
      </c>
      <c r="U972">
        <v>6</v>
      </c>
      <c r="V972">
        <v>0.2</v>
      </c>
      <c r="W972" s="4">
        <v>28.598400000000002</v>
      </c>
    </row>
    <row r="973" spans="1:23" x14ac:dyDescent="0.3">
      <c r="A973">
        <v>972</v>
      </c>
      <c r="B973" t="s">
        <v>2938</v>
      </c>
      <c r="C973" s="3">
        <v>42095</v>
      </c>
      <c r="D973" s="7" t="str">
        <f t="shared" si="30"/>
        <v>April</v>
      </c>
      <c r="E973" s="3">
        <f t="shared" si="31"/>
        <v>42124</v>
      </c>
      <c r="F973" s="3">
        <v>42156</v>
      </c>
      <c r="G973" t="s">
        <v>23</v>
      </c>
      <c r="H973" t="s">
        <v>954</v>
      </c>
      <c r="I973" t="s">
        <v>955</v>
      </c>
      <c r="J973" t="s">
        <v>26</v>
      </c>
      <c r="K973" t="s">
        <v>27</v>
      </c>
      <c r="L973" t="s">
        <v>146</v>
      </c>
      <c r="M973" t="s">
        <v>147</v>
      </c>
      <c r="N973">
        <v>19134</v>
      </c>
      <c r="O973" t="s">
        <v>148</v>
      </c>
      <c r="P973" t="s">
        <v>1207</v>
      </c>
      <c r="Q973" t="s">
        <v>71</v>
      </c>
      <c r="R973" t="s">
        <v>72</v>
      </c>
      <c r="S973" t="s">
        <v>1208</v>
      </c>
      <c r="T973" s="4">
        <v>124.2</v>
      </c>
      <c r="U973">
        <v>3</v>
      </c>
      <c r="V973">
        <v>0.4</v>
      </c>
      <c r="W973" s="4">
        <v>-31.05</v>
      </c>
    </row>
    <row r="974" spans="1:23" x14ac:dyDescent="0.3">
      <c r="A974">
        <v>973</v>
      </c>
      <c r="B974" t="s">
        <v>2938</v>
      </c>
      <c r="C974" s="3">
        <v>42095</v>
      </c>
      <c r="D974" s="7" t="str">
        <f t="shared" si="30"/>
        <v>April</v>
      </c>
      <c r="E974" s="3">
        <f t="shared" si="31"/>
        <v>42124</v>
      </c>
      <c r="F974" s="3">
        <v>42156</v>
      </c>
      <c r="G974" t="s">
        <v>23</v>
      </c>
      <c r="H974" t="s">
        <v>954</v>
      </c>
      <c r="I974" t="s">
        <v>955</v>
      </c>
      <c r="J974" t="s">
        <v>26</v>
      </c>
      <c r="K974" t="s">
        <v>27</v>
      </c>
      <c r="L974" t="s">
        <v>146</v>
      </c>
      <c r="M974" t="s">
        <v>147</v>
      </c>
      <c r="N974">
        <v>19134</v>
      </c>
      <c r="O974" t="s">
        <v>148</v>
      </c>
      <c r="P974" t="s">
        <v>2264</v>
      </c>
      <c r="Q974" t="s">
        <v>46</v>
      </c>
      <c r="R974" t="s">
        <v>75</v>
      </c>
      <c r="S974" t="s">
        <v>2265</v>
      </c>
      <c r="T974" s="4">
        <v>18.588000000000001</v>
      </c>
      <c r="U974">
        <v>2</v>
      </c>
      <c r="V974">
        <v>0.7</v>
      </c>
      <c r="W974" s="4">
        <v>-13.6312</v>
      </c>
    </row>
    <row r="975" spans="1:23" x14ac:dyDescent="0.3">
      <c r="A975">
        <v>974</v>
      </c>
      <c r="B975" t="s">
        <v>2938</v>
      </c>
      <c r="C975" s="3">
        <v>42095</v>
      </c>
      <c r="D975" s="7" t="str">
        <f t="shared" si="30"/>
        <v>April</v>
      </c>
      <c r="E975" s="3">
        <f t="shared" si="31"/>
        <v>42124</v>
      </c>
      <c r="F975" s="3">
        <v>42156</v>
      </c>
      <c r="G975" t="s">
        <v>23</v>
      </c>
      <c r="H975" t="s">
        <v>954</v>
      </c>
      <c r="I975" t="s">
        <v>955</v>
      </c>
      <c r="J975" t="s">
        <v>26</v>
      </c>
      <c r="K975" t="s">
        <v>27</v>
      </c>
      <c r="L975" t="s">
        <v>146</v>
      </c>
      <c r="M975" t="s">
        <v>147</v>
      </c>
      <c r="N975">
        <v>19134</v>
      </c>
      <c r="O975" t="s">
        <v>148</v>
      </c>
      <c r="P975" t="s">
        <v>1200</v>
      </c>
      <c r="Q975" t="s">
        <v>46</v>
      </c>
      <c r="R975" t="s">
        <v>47</v>
      </c>
      <c r="S975" t="s">
        <v>1201</v>
      </c>
      <c r="T975" s="4">
        <v>30.071999999999999</v>
      </c>
      <c r="U975">
        <v>3</v>
      </c>
      <c r="V975">
        <v>0.2</v>
      </c>
      <c r="W975" s="4">
        <v>10.1493</v>
      </c>
    </row>
    <row r="976" spans="1:23" x14ac:dyDescent="0.3">
      <c r="A976">
        <v>975</v>
      </c>
      <c r="B976" t="s">
        <v>2941</v>
      </c>
      <c r="C976" s="3">
        <v>42865</v>
      </c>
      <c r="D976" s="7" t="str">
        <f t="shared" si="30"/>
        <v>May</v>
      </c>
      <c r="E976" s="3">
        <f t="shared" si="31"/>
        <v>42886</v>
      </c>
      <c r="F976" s="3">
        <v>42957</v>
      </c>
      <c r="G976" t="s">
        <v>23</v>
      </c>
      <c r="H976" t="s">
        <v>2368</v>
      </c>
      <c r="I976" t="s">
        <v>2369</v>
      </c>
      <c r="J976" t="s">
        <v>102</v>
      </c>
      <c r="K976" t="s">
        <v>27</v>
      </c>
      <c r="L976" t="s">
        <v>266</v>
      </c>
      <c r="M976" t="s">
        <v>267</v>
      </c>
      <c r="N976">
        <v>10011</v>
      </c>
      <c r="O976" t="s">
        <v>148</v>
      </c>
      <c r="P976" t="s">
        <v>1787</v>
      </c>
      <c r="Q976" t="s">
        <v>71</v>
      </c>
      <c r="R976" t="s">
        <v>72</v>
      </c>
      <c r="S976" t="s">
        <v>1788</v>
      </c>
      <c r="T976" s="4">
        <v>160.93</v>
      </c>
      <c r="U976">
        <v>7</v>
      </c>
      <c r="V976">
        <v>0</v>
      </c>
      <c r="W976" s="4">
        <v>3.2185999999999999</v>
      </c>
    </row>
    <row r="977" spans="1:23" x14ac:dyDescent="0.3">
      <c r="A977">
        <v>976</v>
      </c>
      <c r="B977" t="s">
        <v>2941</v>
      </c>
      <c r="C977" s="3">
        <v>42865</v>
      </c>
      <c r="D977" s="7" t="str">
        <f t="shared" si="30"/>
        <v>May</v>
      </c>
      <c r="E977" s="3">
        <f t="shared" si="31"/>
        <v>42886</v>
      </c>
      <c r="F977" s="3">
        <v>42957</v>
      </c>
      <c r="G977" t="s">
        <v>23</v>
      </c>
      <c r="H977" t="s">
        <v>2368</v>
      </c>
      <c r="I977" t="s">
        <v>2369</v>
      </c>
      <c r="J977" t="s">
        <v>102</v>
      </c>
      <c r="K977" t="s">
        <v>27</v>
      </c>
      <c r="L977" t="s">
        <v>266</v>
      </c>
      <c r="M977" t="s">
        <v>267</v>
      </c>
      <c r="N977">
        <v>10011</v>
      </c>
      <c r="O977" t="s">
        <v>148</v>
      </c>
      <c r="P977" t="s">
        <v>1397</v>
      </c>
      <c r="Q977" t="s">
        <v>46</v>
      </c>
      <c r="R977" t="s">
        <v>75</v>
      </c>
      <c r="S977" t="s">
        <v>1398</v>
      </c>
      <c r="T977" s="4">
        <v>75.792000000000002</v>
      </c>
      <c r="U977">
        <v>3</v>
      </c>
      <c r="V977">
        <v>0.2</v>
      </c>
      <c r="W977" s="4">
        <v>25.579799999999999</v>
      </c>
    </row>
    <row r="978" spans="1:23" x14ac:dyDescent="0.3">
      <c r="A978">
        <v>977</v>
      </c>
      <c r="B978" t="s">
        <v>2942</v>
      </c>
      <c r="C978" s="3">
        <v>42985</v>
      </c>
      <c r="D978" s="7" t="str">
        <f t="shared" si="30"/>
        <v>September</v>
      </c>
      <c r="E978" s="3">
        <f t="shared" si="31"/>
        <v>43008</v>
      </c>
      <c r="F978" s="3">
        <v>43166</v>
      </c>
      <c r="G978" t="s">
        <v>50</v>
      </c>
      <c r="H978" t="s">
        <v>1245</v>
      </c>
      <c r="I978" t="s">
        <v>1246</v>
      </c>
      <c r="J978" t="s">
        <v>26</v>
      </c>
      <c r="K978" t="s">
        <v>27</v>
      </c>
      <c r="L978" t="s">
        <v>419</v>
      </c>
      <c r="M978" t="s">
        <v>420</v>
      </c>
      <c r="N978">
        <v>97206</v>
      </c>
      <c r="O978" t="s">
        <v>44</v>
      </c>
      <c r="P978" t="s">
        <v>2943</v>
      </c>
      <c r="Q978" t="s">
        <v>46</v>
      </c>
      <c r="R978" t="s">
        <v>75</v>
      </c>
      <c r="S978" t="s">
        <v>2944</v>
      </c>
      <c r="T978" s="4">
        <v>1.08</v>
      </c>
      <c r="U978">
        <v>2</v>
      </c>
      <c r="V978">
        <v>0.7</v>
      </c>
      <c r="W978" s="4">
        <v>-0.79200000000000004</v>
      </c>
    </row>
    <row r="979" spans="1:23" x14ac:dyDescent="0.3">
      <c r="A979">
        <v>978</v>
      </c>
      <c r="B979" t="s">
        <v>2945</v>
      </c>
      <c r="C979" s="3">
        <v>42917</v>
      </c>
      <c r="D979" s="7" t="str">
        <f t="shared" si="30"/>
        <v>July</v>
      </c>
      <c r="E979" s="3">
        <f t="shared" si="31"/>
        <v>42947</v>
      </c>
      <c r="F979" s="3">
        <v>43009</v>
      </c>
      <c r="G979" t="s">
        <v>188</v>
      </c>
      <c r="H979" t="s">
        <v>2552</v>
      </c>
      <c r="I979" t="s">
        <v>2553</v>
      </c>
      <c r="J979" t="s">
        <v>41</v>
      </c>
      <c r="K979" t="s">
        <v>27</v>
      </c>
      <c r="L979" t="s">
        <v>882</v>
      </c>
      <c r="M979" t="s">
        <v>238</v>
      </c>
      <c r="N979">
        <v>48205</v>
      </c>
      <c r="O979" t="s">
        <v>105</v>
      </c>
      <c r="P979" t="s">
        <v>683</v>
      </c>
      <c r="Q979" t="s">
        <v>71</v>
      </c>
      <c r="R979" t="s">
        <v>684</v>
      </c>
      <c r="S979" t="s">
        <v>685</v>
      </c>
      <c r="T979" s="4">
        <v>3059.982</v>
      </c>
      <c r="U979">
        <v>2</v>
      </c>
      <c r="V979">
        <v>0.1</v>
      </c>
      <c r="W979" s="4">
        <v>679.99599999999998</v>
      </c>
    </row>
    <row r="980" spans="1:23" x14ac:dyDescent="0.3">
      <c r="A980">
        <v>979</v>
      </c>
      <c r="B980" t="s">
        <v>2946</v>
      </c>
      <c r="C980" s="3">
        <v>43256</v>
      </c>
      <c r="D980" s="7" t="str">
        <f t="shared" si="30"/>
        <v>June</v>
      </c>
      <c r="E980" s="3">
        <f t="shared" si="31"/>
        <v>43281</v>
      </c>
      <c r="F980" s="3">
        <v>43286</v>
      </c>
      <c r="G980" t="s">
        <v>188</v>
      </c>
      <c r="H980" t="s">
        <v>2947</v>
      </c>
      <c r="I980" t="s">
        <v>2948</v>
      </c>
      <c r="J980" t="s">
        <v>26</v>
      </c>
      <c r="K980" t="s">
        <v>27</v>
      </c>
      <c r="L980" t="s">
        <v>521</v>
      </c>
      <c r="M980" t="s">
        <v>88</v>
      </c>
      <c r="N980">
        <v>28403</v>
      </c>
      <c r="O980" t="s">
        <v>30</v>
      </c>
      <c r="P980" t="s">
        <v>2023</v>
      </c>
      <c r="Q980" t="s">
        <v>46</v>
      </c>
      <c r="R980" t="s">
        <v>75</v>
      </c>
      <c r="S980" t="s">
        <v>2024</v>
      </c>
      <c r="T980" s="4">
        <v>3.282</v>
      </c>
      <c r="U980">
        <v>2</v>
      </c>
      <c r="V980">
        <v>0.7</v>
      </c>
      <c r="W980" s="4">
        <v>-2.6255999999999999</v>
      </c>
    </row>
    <row r="981" spans="1:23" x14ac:dyDescent="0.3">
      <c r="A981">
        <v>980</v>
      </c>
      <c r="B981" t="s">
        <v>2949</v>
      </c>
      <c r="C981" s="3">
        <v>42259</v>
      </c>
      <c r="D981" s="7" t="str">
        <f t="shared" si="30"/>
        <v>September</v>
      </c>
      <c r="E981" s="3">
        <f t="shared" si="31"/>
        <v>42277</v>
      </c>
      <c r="F981" s="3">
        <v>42350</v>
      </c>
      <c r="G981" t="s">
        <v>188</v>
      </c>
      <c r="H981" t="s">
        <v>343</v>
      </c>
      <c r="I981" t="s">
        <v>344</v>
      </c>
      <c r="J981" t="s">
        <v>41</v>
      </c>
      <c r="K981" t="s">
        <v>27</v>
      </c>
      <c r="L981" t="s">
        <v>497</v>
      </c>
      <c r="M981" t="s">
        <v>254</v>
      </c>
      <c r="N981">
        <v>47201</v>
      </c>
      <c r="O981" t="s">
        <v>105</v>
      </c>
      <c r="P981" t="s">
        <v>2950</v>
      </c>
      <c r="Q981" t="s">
        <v>46</v>
      </c>
      <c r="R981" t="s">
        <v>90</v>
      </c>
      <c r="S981" t="s">
        <v>2951</v>
      </c>
      <c r="T981" s="4">
        <v>34.020000000000003</v>
      </c>
      <c r="U981">
        <v>3</v>
      </c>
      <c r="V981">
        <v>0</v>
      </c>
      <c r="W981" s="4">
        <v>16.669799999999999</v>
      </c>
    </row>
    <row r="982" spans="1:23" x14ac:dyDescent="0.3">
      <c r="A982">
        <v>981</v>
      </c>
      <c r="B982" t="s">
        <v>2952</v>
      </c>
      <c r="C982" s="3">
        <v>42439</v>
      </c>
      <c r="D982" s="7" t="str">
        <f t="shared" si="30"/>
        <v>March</v>
      </c>
      <c r="E982" s="3">
        <f t="shared" si="31"/>
        <v>42460</v>
      </c>
      <c r="F982" s="3">
        <v>42592</v>
      </c>
      <c r="G982" t="s">
        <v>50</v>
      </c>
      <c r="H982" t="s">
        <v>152</v>
      </c>
      <c r="I982" t="s">
        <v>153</v>
      </c>
      <c r="J982" t="s">
        <v>26</v>
      </c>
      <c r="K982" t="s">
        <v>27</v>
      </c>
      <c r="L982" t="s">
        <v>266</v>
      </c>
      <c r="M982" t="s">
        <v>267</v>
      </c>
      <c r="N982">
        <v>10035</v>
      </c>
      <c r="O982" t="s">
        <v>148</v>
      </c>
      <c r="P982" t="s">
        <v>2487</v>
      </c>
      <c r="Q982" t="s">
        <v>32</v>
      </c>
      <c r="R982" t="s">
        <v>36</v>
      </c>
      <c r="S982" t="s">
        <v>2488</v>
      </c>
      <c r="T982" s="4">
        <v>599.29200000000003</v>
      </c>
      <c r="U982">
        <v>6</v>
      </c>
      <c r="V982">
        <v>0.1</v>
      </c>
      <c r="W982" s="4">
        <v>93.223200000000006</v>
      </c>
    </row>
    <row r="983" spans="1:23" x14ac:dyDescent="0.3">
      <c r="A983">
        <v>982</v>
      </c>
      <c r="B983" t="s">
        <v>2953</v>
      </c>
      <c r="C983" s="3">
        <v>41954</v>
      </c>
      <c r="D983" s="7" t="str">
        <f t="shared" si="30"/>
        <v>November</v>
      </c>
      <c r="E983" s="3">
        <f t="shared" si="31"/>
        <v>41973</v>
      </c>
      <c r="F983" s="3">
        <v>42046</v>
      </c>
      <c r="G983" t="s">
        <v>23</v>
      </c>
      <c r="H983" t="s">
        <v>2954</v>
      </c>
      <c r="I983" t="s">
        <v>2955</v>
      </c>
      <c r="J983" t="s">
        <v>26</v>
      </c>
      <c r="K983" t="s">
        <v>27</v>
      </c>
      <c r="L983" t="s">
        <v>1478</v>
      </c>
      <c r="M983" t="s">
        <v>457</v>
      </c>
      <c r="N983">
        <v>80027</v>
      </c>
      <c r="O983" t="s">
        <v>44</v>
      </c>
      <c r="P983" t="s">
        <v>2956</v>
      </c>
      <c r="Q983" t="s">
        <v>46</v>
      </c>
      <c r="R983" t="s">
        <v>68</v>
      </c>
      <c r="S983" t="s">
        <v>2957</v>
      </c>
      <c r="T983" s="4">
        <v>3.3919999999999999</v>
      </c>
      <c r="U983">
        <v>1</v>
      </c>
      <c r="V983">
        <v>0.2</v>
      </c>
      <c r="W983" s="4">
        <v>0.80559999999999998</v>
      </c>
    </row>
    <row r="984" spans="1:23" x14ac:dyDescent="0.3">
      <c r="A984">
        <v>983</v>
      </c>
      <c r="B984" t="s">
        <v>2953</v>
      </c>
      <c r="C984" s="3">
        <v>41954</v>
      </c>
      <c r="D984" s="7" t="str">
        <f t="shared" si="30"/>
        <v>November</v>
      </c>
      <c r="E984" s="3">
        <f t="shared" si="31"/>
        <v>41973</v>
      </c>
      <c r="F984" s="3">
        <v>42046</v>
      </c>
      <c r="G984" t="s">
        <v>23</v>
      </c>
      <c r="H984" t="s">
        <v>2954</v>
      </c>
      <c r="I984" t="s">
        <v>2955</v>
      </c>
      <c r="J984" t="s">
        <v>26</v>
      </c>
      <c r="K984" t="s">
        <v>27</v>
      </c>
      <c r="L984" t="s">
        <v>1478</v>
      </c>
      <c r="M984" t="s">
        <v>457</v>
      </c>
      <c r="N984">
        <v>80027</v>
      </c>
      <c r="O984" t="s">
        <v>44</v>
      </c>
      <c r="P984" t="s">
        <v>2958</v>
      </c>
      <c r="Q984" t="s">
        <v>71</v>
      </c>
      <c r="R984" t="s">
        <v>72</v>
      </c>
      <c r="S984" t="s">
        <v>2959</v>
      </c>
      <c r="T984" s="4">
        <v>559.98400000000004</v>
      </c>
      <c r="U984">
        <v>2</v>
      </c>
      <c r="V984">
        <v>0.2</v>
      </c>
      <c r="W984" s="4">
        <v>55.998399999999997</v>
      </c>
    </row>
    <row r="985" spans="1:23" x14ac:dyDescent="0.3">
      <c r="A985">
        <v>984</v>
      </c>
      <c r="B985" t="s">
        <v>2953</v>
      </c>
      <c r="C985" s="3">
        <v>41954</v>
      </c>
      <c r="D985" s="7" t="str">
        <f t="shared" si="30"/>
        <v>November</v>
      </c>
      <c r="E985" s="3">
        <f t="shared" si="31"/>
        <v>41973</v>
      </c>
      <c r="F985" s="3">
        <v>42046</v>
      </c>
      <c r="G985" t="s">
        <v>23</v>
      </c>
      <c r="H985" t="s">
        <v>2954</v>
      </c>
      <c r="I985" t="s">
        <v>2955</v>
      </c>
      <c r="J985" t="s">
        <v>26</v>
      </c>
      <c r="K985" t="s">
        <v>27</v>
      </c>
      <c r="L985" t="s">
        <v>1478</v>
      </c>
      <c r="M985" t="s">
        <v>457</v>
      </c>
      <c r="N985">
        <v>80027</v>
      </c>
      <c r="O985" t="s">
        <v>44</v>
      </c>
      <c r="P985" t="s">
        <v>2586</v>
      </c>
      <c r="Q985" t="s">
        <v>32</v>
      </c>
      <c r="R985" t="s">
        <v>36</v>
      </c>
      <c r="S985" t="s">
        <v>2587</v>
      </c>
      <c r="T985" s="4">
        <v>603.91999999999996</v>
      </c>
      <c r="U985">
        <v>5</v>
      </c>
      <c r="V985">
        <v>0.2</v>
      </c>
      <c r="W985" s="4">
        <v>75.489999999999995</v>
      </c>
    </row>
    <row r="986" spans="1:23" x14ac:dyDescent="0.3">
      <c r="A986">
        <v>985</v>
      </c>
      <c r="B986" t="s">
        <v>2960</v>
      </c>
      <c r="C986" s="3">
        <v>43594</v>
      </c>
      <c r="D986" s="7" t="str">
        <f t="shared" si="30"/>
        <v>May</v>
      </c>
      <c r="E986" s="3">
        <f t="shared" si="31"/>
        <v>43616</v>
      </c>
      <c r="F986" s="3">
        <v>42865</v>
      </c>
      <c r="G986" t="s">
        <v>50</v>
      </c>
      <c r="H986" t="s">
        <v>2961</v>
      </c>
      <c r="I986" t="s">
        <v>2962</v>
      </c>
      <c r="J986" t="s">
        <v>102</v>
      </c>
      <c r="K986" t="s">
        <v>27</v>
      </c>
      <c r="L986" t="s">
        <v>603</v>
      </c>
      <c r="M986" t="s">
        <v>104</v>
      </c>
      <c r="N986">
        <v>77506</v>
      </c>
      <c r="O986" t="s">
        <v>105</v>
      </c>
      <c r="P986" t="s">
        <v>2498</v>
      </c>
      <c r="Q986" t="s">
        <v>46</v>
      </c>
      <c r="R986" t="s">
        <v>47</v>
      </c>
      <c r="S986" t="s">
        <v>2499</v>
      </c>
      <c r="T986" s="4">
        <v>7.968</v>
      </c>
      <c r="U986">
        <v>2</v>
      </c>
      <c r="V986">
        <v>0.2</v>
      </c>
      <c r="W986" s="4">
        <v>2.5895999999999999</v>
      </c>
    </row>
    <row r="987" spans="1:23" x14ac:dyDescent="0.3">
      <c r="A987">
        <v>986</v>
      </c>
      <c r="B987" t="s">
        <v>2960</v>
      </c>
      <c r="C987" s="3">
        <v>43594</v>
      </c>
      <c r="D987" s="7" t="str">
        <f t="shared" si="30"/>
        <v>May</v>
      </c>
      <c r="E987" s="3">
        <f t="shared" si="31"/>
        <v>43616</v>
      </c>
      <c r="F987" s="3">
        <v>42865</v>
      </c>
      <c r="G987" t="s">
        <v>50</v>
      </c>
      <c r="H987" t="s">
        <v>2961</v>
      </c>
      <c r="I987" t="s">
        <v>2962</v>
      </c>
      <c r="J987" t="s">
        <v>102</v>
      </c>
      <c r="K987" t="s">
        <v>27</v>
      </c>
      <c r="L987" t="s">
        <v>603</v>
      </c>
      <c r="M987" t="s">
        <v>104</v>
      </c>
      <c r="N987">
        <v>77506</v>
      </c>
      <c r="O987" t="s">
        <v>105</v>
      </c>
      <c r="P987" t="s">
        <v>2963</v>
      </c>
      <c r="Q987" t="s">
        <v>46</v>
      </c>
      <c r="R987" t="s">
        <v>173</v>
      </c>
      <c r="S987" t="s">
        <v>2964</v>
      </c>
      <c r="T987" s="4">
        <v>27.968</v>
      </c>
      <c r="U987">
        <v>4</v>
      </c>
      <c r="V987">
        <v>0.2</v>
      </c>
      <c r="W987" s="4">
        <v>9.4391999999999996</v>
      </c>
    </row>
    <row r="988" spans="1:23" x14ac:dyDescent="0.3">
      <c r="A988">
        <v>987</v>
      </c>
      <c r="B988" t="s">
        <v>2960</v>
      </c>
      <c r="C988" s="3">
        <v>43594</v>
      </c>
      <c r="D988" s="7" t="str">
        <f t="shared" si="30"/>
        <v>May</v>
      </c>
      <c r="E988" s="3">
        <f t="shared" si="31"/>
        <v>43616</v>
      </c>
      <c r="F988" s="3">
        <v>42865</v>
      </c>
      <c r="G988" t="s">
        <v>50</v>
      </c>
      <c r="H988" t="s">
        <v>2961</v>
      </c>
      <c r="I988" t="s">
        <v>2962</v>
      </c>
      <c r="J988" t="s">
        <v>102</v>
      </c>
      <c r="K988" t="s">
        <v>27</v>
      </c>
      <c r="L988" t="s">
        <v>603</v>
      </c>
      <c r="M988" t="s">
        <v>104</v>
      </c>
      <c r="N988">
        <v>77506</v>
      </c>
      <c r="O988" t="s">
        <v>105</v>
      </c>
      <c r="P988" t="s">
        <v>2965</v>
      </c>
      <c r="Q988" t="s">
        <v>71</v>
      </c>
      <c r="R988" t="s">
        <v>684</v>
      </c>
      <c r="S988" t="s">
        <v>2966</v>
      </c>
      <c r="T988" s="4">
        <v>336.51</v>
      </c>
      <c r="U988">
        <v>3</v>
      </c>
      <c r="V988">
        <v>0.4</v>
      </c>
      <c r="W988" s="4">
        <v>44.868000000000002</v>
      </c>
    </row>
    <row r="989" spans="1:23" x14ac:dyDescent="0.3">
      <c r="A989">
        <v>988</v>
      </c>
      <c r="B989" t="s">
        <v>2967</v>
      </c>
      <c r="C989" s="3">
        <v>42280</v>
      </c>
      <c r="D989" s="7" t="str">
        <f t="shared" si="30"/>
        <v>October</v>
      </c>
      <c r="E989" s="3">
        <f t="shared" si="31"/>
        <v>42308</v>
      </c>
      <c r="F989" s="3">
        <v>42280</v>
      </c>
      <c r="G989" t="s">
        <v>1293</v>
      </c>
      <c r="H989" t="s">
        <v>2968</v>
      </c>
      <c r="I989" t="s">
        <v>2969</v>
      </c>
      <c r="J989" t="s">
        <v>26</v>
      </c>
      <c r="K989" t="s">
        <v>27</v>
      </c>
      <c r="L989" t="s">
        <v>184</v>
      </c>
      <c r="M989" t="s">
        <v>104</v>
      </c>
      <c r="N989">
        <v>77041</v>
      </c>
      <c r="O989" t="s">
        <v>105</v>
      </c>
      <c r="P989" t="s">
        <v>2970</v>
      </c>
      <c r="Q989" t="s">
        <v>46</v>
      </c>
      <c r="R989" t="s">
        <v>75</v>
      </c>
      <c r="S989" t="s">
        <v>2971</v>
      </c>
      <c r="T989" s="4">
        <v>1.1120000000000001</v>
      </c>
      <c r="U989">
        <v>2</v>
      </c>
      <c r="V989">
        <v>0.8</v>
      </c>
      <c r="W989" s="4">
        <v>-1.8904000000000001</v>
      </c>
    </row>
    <row r="990" spans="1:23" x14ac:dyDescent="0.3">
      <c r="A990">
        <v>989</v>
      </c>
      <c r="B990" t="s">
        <v>2972</v>
      </c>
      <c r="C990" s="3">
        <v>43348</v>
      </c>
      <c r="D990" s="7" t="str">
        <f t="shared" si="30"/>
        <v>September</v>
      </c>
      <c r="E990" s="3">
        <f t="shared" si="31"/>
        <v>43373</v>
      </c>
      <c r="F990" s="3">
        <v>43501</v>
      </c>
      <c r="G990" t="s">
        <v>50</v>
      </c>
      <c r="H990" t="s">
        <v>1653</v>
      </c>
      <c r="I990" t="s">
        <v>1654</v>
      </c>
      <c r="J990" t="s">
        <v>41</v>
      </c>
      <c r="K990" t="s">
        <v>27</v>
      </c>
      <c r="L990" t="s">
        <v>1565</v>
      </c>
      <c r="M990" t="s">
        <v>267</v>
      </c>
      <c r="N990">
        <v>13021</v>
      </c>
      <c r="O990" t="s">
        <v>148</v>
      </c>
      <c r="P990" t="s">
        <v>2243</v>
      </c>
      <c r="Q990" t="s">
        <v>32</v>
      </c>
      <c r="R990" t="s">
        <v>65</v>
      </c>
      <c r="S990" t="s">
        <v>2244</v>
      </c>
      <c r="T990" s="4">
        <v>520.04999999999995</v>
      </c>
      <c r="U990">
        <v>5</v>
      </c>
      <c r="V990">
        <v>0</v>
      </c>
      <c r="W990" s="4">
        <v>72.807000000000002</v>
      </c>
    </row>
    <row r="991" spans="1:23" x14ac:dyDescent="0.3">
      <c r="A991">
        <v>990</v>
      </c>
      <c r="B991" t="s">
        <v>2972</v>
      </c>
      <c r="C991" s="3">
        <v>43348</v>
      </c>
      <c r="D991" s="7" t="str">
        <f t="shared" si="30"/>
        <v>September</v>
      </c>
      <c r="E991" s="3">
        <f t="shared" si="31"/>
        <v>43373</v>
      </c>
      <c r="F991" s="3">
        <v>43501</v>
      </c>
      <c r="G991" t="s">
        <v>50</v>
      </c>
      <c r="H991" t="s">
        <v>1653</v>
      </c>
      <c r="I991" t="s">
        <v>1654</v>
      </c>
      <c r="J991" t="s">
        <v>41</v>
      </c>
      <c r="K991" t="s">
        <v>27</v>
      </c>
      <c r="L991" t="s">
        <v>1565</v>
      </c>
      <c r="M991" t="s">
        <v>267</v>
      </c>
      <c r="N991">
        <v>13021</v>
      </c>
      <c r="O991" t="s">
        <v>148</v>
      </c>
      <c r="P991" t="s">
        <v>2973</v>
      </c>
      <c r="Q991" t="s">
        <v>46</v>
      </c>
      <c r="R991" t="s">
        <v>68</v>
      </c>
      <c r="S991" t="s">
        <v>2974</v>
      </c>
      <c r="T991" s="4">
        <v>17.97</v>
      </c>
      <c r="U991">
        <v>3</v>
      </c>
      <c r="V991">
        <v>0</v>
      </c>
      <c r="W991" s="4">
        <v>5.2112999999999996</v>
      </c>
    </row>
    <row r="992" spans="1:23" x14ac:dyDescent="0.3">
      <c r="A992">
        <v>991</v>
      </c>
      <c r="B992" t="s">
        <v>2975</v>
      </c>
      <c r="C992" s="3">
        <v>42858</v>
      </c>
      <c r="D992" s="7" t="str">
        <f t="shared" si="30"/>
        <v>May</v>
      </c>
      <c r="E992" s="3">
        <f t="shared" si="31"/>
        <v>42886</v>
      </c>
      <c r="F992" s="3">
        <v>42919</v>
      </c>
      <c r="G992" t="s">
        <v>23</v>
      </c>
      <c r="H992" t="s">
        <v>2976</v>
      </c>
      <c r="I992" t="s">
        <v>2977</v>
      </c>
      <c r="J992" t="s">
        <v>102</v>
      </c>
      <c r="K992" t="s">
        <v>27</v>
      </c>
      <c r="L992" t="s">
        <v>1526</v>
      </c>
      <c r="M992" t="s">
        <v>54</v>
      </c>
      <c r="N992">
        <v>32216</v>
      </c>
      <c r="O992" t="s">
        <v>30</v>
      </c>
      <c r="P992" t="s">
        <v>1139</v>
      </c>
      <c r="Q992" t="s">
        <v>32</v>
      </c>
      <c r="R992" t="s">
        <v>36</v>
      </c>
      <c r="S992" t="s">
        <v>1140</v>
      </c>
      <c r="T992" s="4">
        <v>1166.92</v>
      </c>
      <c r="U992">
        <v>5</v>
      </c>
      <c r="V992">
        <v>0.2</v>
      </c>
      <c r="W992" s="4">
        <v>131.27850000000001</v>
      </c>
    </row>
    <row r="993" spans="1:23" x14ac:dyDescent="0.3">
      <c r="A993">
        <v>992</v>
      </c>
      <c r="B993" t="s">
        <v>2978</v>
      </c>
      <c r="C993" s="3">
        <v>42622</v>
      </c>
      <c r="D993" s="7" t="str">
        <f t="shared" si="30"/>
        <v>September</v>
      </c>
      <c r="E993" s="3">
        <f t="shared" si="31"/>
        <v>42643</v>
      </c>
      <c r="F993" s="3">
        <v>42683</v>
      </c>
      <c r="G993" t="s">
        <v>188</v>
      </c>
      <c r="H993" t="s">
        <v>542</v>
      </c>
      <c r="I993" t="s">
        <v>543</v>
      </c>
      <c r="J993" t="s">
        <v>26</v>
      </c>
      <c r="K993" t="s">
        <v>27</v>
      </c>
      <c r="L993" t="s">
        <v>266</v>
      </c>
      <c r="M993" t="s">
        <v>267</v>
      </c>
      <c r="N993">
        <v>10024</v>
      </c>
      <c r="O993" t="s">
        <v>148</v>
      </c>
      <c r="P993" t="s">
        <v>2447</v>
      </c>
      <c r="Q993" t="s">
        <v>46</v>
      </c>
      <c r="R993" t="s">
        <v>75</v>
      </c>
      <c r="S993" t="s">
        <v>2448</v>
      </c>
      <c r="T993" s="4">
        <v>14.624000000000001</v>
      </c>
      <c r="U993">
        <v>2</v>
      </c>
      <c r="V993">
        <v>0.2</v>
      </c>
      <c r="W993" s="4">
        <v>5.484</v>
      </c>
    </row>
    <row r="994" spans="1:23" x14ac:dyDescent="0.3">
      <c r="A994">
        <v>993</v>
      </c>
      <c r="B994" t="s">
        <v>2979</v>
      </c>
      <c r="C994" s="3">
        <v>43139</v>
      </c>
      <c r="D994" s="7" t="str">
        <f t="shared" si="30"/>
        <v>February</v>
      </c>
      <c r="E994" s="3">
        <f t="shared" si="31"/>
        <v>43159</v>
      </c>
      <c r="F994" s="3">
        <v>43167</v>
      </c>
      <c r="G994" t="s">
        <v>188</v>
      </c>
      <c r="H994" t="s">
        <v>2389</v>
      </c>
      <c r="I994" t="s">
        <v>2390</v>
      </c>
      <c r="J994" t="s">
        <v>26</v>
      </c>
      <c r="K994" t="s">
        <v>27</v>
      </c>
      <c r="L994" t="s">
        <v>631</v>
      </c>
      <c r="M994" t="s">
        <v>43</v>
      </c>
      <c r="N994">
        <v>95123</v>
      </c>
      <c r="O994" t="s">
        <v>44</v>
      </c>
      <c r="P994" t="s">
        <v>1073</v>
      </c>
      <c r="Q994" t="s">
        <v>46</v>
      </c>
      <c r="R994" t="s">
        <v>269</v>
      </c>
      <c r="S994" t="s">
        <v>1074</v>
      </c>
      <c r="T994" s="4">
        <v>10.23</v>
      </c>
      <c r="U994">
        <v>3</v>
      </c>
      <c r="V994">
        <v>0</v>
      </c>
      <c r="W994" s="4">
        <v>4.9104000000000001</v>
      </c>
    </row>
    <row r="995" spans="1:23" x14ac:dyDescent="0.3">
      <c r="A995">
        <v>994</v>
      </c>
      <c r="B995" t="s">
        <v>2979</v>
      </c>
      <c r="C995" s="3">
        <v>43139</v>
      </c>
      <c r="D995" s="7" t="str">
        <f t="shared" si="30"/>
        <v>February</v>
      </c>
      <c r="E995" s="3">
        <f t="shared" si="31"/>
        <v>43159</v>
      </c>
      <c r="F995" s="3">
        <v>43167</v>
      </c>
      <c r="G995" t="s">
        <v>188</v>
      </c>
      <c r="H995" t="s">
        <v>2389</v>
      </c>
      <c r="I995" t="s">
        <v>2390</v>
      </c>
      <c r="J995" t="s">
        <v>26</v>
      </c>
      <c r="K995" t="s">
        <v>27</v>
      </c>
      <c r="L995" t="s">
        <v>631</v>
      </c>
      <c r="M995" t="s">
        <v>43</v>
      </c>
      <c r="N995">
        <v>95123</v>
      </c>
      <c r="O995" t="s">
        <v>44</v>
      </c>
      <c r="P995" t="s">
        <v>2980</v>
      </c>
      <c r="Q995" t="s">
        <v>46</v>
      </c>
      <c r="R995" t="s">
        <v>90</v>
      </c>
      <c r="S995" t="s">
        <v>2981</v>
      </c>
      <c r="T995" s="4">
        <v>154.9</v>
      </c>
      <c r="U995">
        <v>5</v>
      </c>
      <c r="V995">
        <v>0</v>
      </c>
      <c r="W995" s="4">
        <v>69.704999999999998</v>
      </c>
    </row>
    <row r="996" spans="1:23" x14ac:dyDescent="0.3">
      <c r="A996">
        <v>995</v>
      </c>
      <c r="B996" t="s">
        <v>2982</v>
      </c>
      <c r="C996" s="3">
        <v>42252</v>
      </c>
      <c r="D996" s="7" t="str">
        <f t="shared" si="30"/>
        <v>September</v>
      </c>
      <c r="E996" s="3">
        <f t="shared" si="31"/>
        <v>42277</v>
      </c>
      <c r="F996" s="3">
        <v>42374</v>
      </c>
      <c r="G996" t="s">
        <v>50</v>
      </c>
      <c r="H996" t="s">
        <v>2983</v>
      </c>
      <c r="I996" t="s">
        <v>2984</v>
      </c>
      <c r="J996" t="s">
        <v>41</v>
      </c>
      <c r="K996" t="s">
        <v>27</v>
      </c>
      <c r="L996" t="s">
        <v>2985</v>
      </c>
      <c r="M996" t="s">
        <v>319</v>
      </c>
      <c r="N996">
        <v>23464</v>
      </c>
      <c r="O996" t="s">
        <v>30</v>
      </c>
      <c r="P996" t="s">
        <v>2986</v>
      </c>
      <c r="Q996" t="s">
        <v>46</v>
      </c>
      <c r="R996" t="s">
        <v>75</v>
      </c>
      <c r="S996" t="s">
        <v>2987</v>
      </c>
      <c r="T996" s="4">
        <v>2715.93</v>
      </c>
      <c r="U996">
        <v>7</v>
      </c>
      <c r="V996">
        <v>0</v>
      </c>
      <c r="W996" s="4">
        <v>1276.4871000000001</v>
      </c>
    </row>
    <row r="997" spans="1:23" x14ac:dyDescent="0.3">
      <c r="A997">
        <v>996</v>
      </c>
      <c r="B997" t="s">
        <v>2982</v>
      </c>
      <c r="C997" s="3">
        <v>42252</v>
      </c>
      <c r="D997" s="7" t="str">
        <f t="shared" si="30"/>
        <v>September</v>
      </c>
      <c r="E997" s="3">
        <f t="shared" si="31"/>
        <v>42277</v>
      </c>
      <c r="F997" s="3">
        <v>42374</v>
      </c>
      <c r="G997" t="s">
        <v>50</v>
      </c>
      <c r="H997" t="s">
        <v>2983</v>
      </c>
      <c r="I997" t="s">
        <v>2984</v>
      </c>
      <c r="J997" t="s">
        <v>41</v>
      </c>
      <c r="K997" t="s">
        <v>27</v>
      </c>
      <c r="L997" t="s">
        <v>2985</v>
      </c>
      <c r="M997" t="s">
        <v>319</v>
      </c>
      <c r="N997">
        <v>23464</v>
      </c>
      <c r="O997" t="s">
        <v>30</v>
      </c>
      <c r="P997" t="s">
        <v>2493</v>
      </c>
      <c r="Q997" t="s">
        <v>71</v>
      </c>
      <c r="R997" t="s">
        <v>72</v>
      </c>
      <c r="S997" t="s">
        <v>2988</v>
      </c>
      <c r="T997" s="4">
        <v>617.97</v>
      </c>
      <c r="U997">
        <v>3</v>
      </c>
      <c r="V997">
        <v>0</v>
      </c>
      <c r="W997" s="4">
        <v>173.0316</v>
      </c>
    </row>
    <row r="998" spans="1:23" x14ac:dyDescent="0.3">
      <c r="A998">
        <v>997</v>
      </c>
      <c r="B998" t="s">
        <v>2989</v>
      </c>
      <c r="C998" s="3">
        <v>42835</v>
      </c>
      <c r="D998" s="7" t="str">
        <f t="shared" si="30"/>
        <v>April</v>
      </c>
      <c r="E998" s="3">
        <f t="shared" si="31"/>
        <v>42855</v>
      </c>
      <c r="F998" s="3">
        <v>42074</v>
      </c>
      <c r="G998" t="s">
        <v>50</v>
      </c>
      <c r="H998" t="s">
        <v>2990</v>
      </c>
      <c r="I998" t="s">
        <v>2991</v>
      </c>
      <c r="J998" t="s">
        <v>26</v>
      </c>
      <c r="K998" t="s">
        <v>27</v>
      </c>
      <c r="L998" t="s">
        <v>28</v>
      </c>
      <c r="M998" t="s">
        <v>29</v>
      </c>
      <c r="N998">
        <v>42420</v>
      </c>
      <c r="O998" t="s">
        <v>30</v>
      </c>
      <c r="P998" t="s">
        <v>2992</v>
      </c>
      <c r="Q998" t="s">
        <v>46</v>
      </c>
      <c r="R998" t="s">
        <v>173</v>
      </c>
      <c r="S998" t="s">
        <v>2993</v>
      </c>
      <c r="T998" s="4">
        <v>10.67</v>
      </c>
      <c r="U998">
        <v>1</v>
      </c>
      <c r="V998">
        <v>0</v>
      </c>
      <c r="W998" s="4">
        <v>4.9081999999999999</v>
      </c>
    </row>
    <row r="999" spans="1:23" x14ac:dyDescent="0.3">
      <c r="A999">
        <v>998</v>
      </c>
      <c r="B999" t="s">
        <v>2989</v>
      </c>
      <c r="C999" s="3">
        <v>42835</v>
      </c>
      <c r="D999" s="7" t="str">
        <f t="shared" si="30"/>
        <v>April</v>
      </c>
      <c r="E999" s="3">
        <f t="shared" si="31"/>
        <v>42855</v>
      </c>
      <c r="F999" s="3">
        <v>42074</v>
      </c>
      <c r="G999" t="s">
        <v>50</v>
      </c>
      <c r="H999" t="s">
        <v>2990</v>
      </c>
      <c r="I999" t="s">
        <v>2991</v>
      </c>
      <c r="J999" t="s">
        <v>26</v>
      </c>
      <c r="K999" t="s">
        <v>27</v>
      </c>
      <c r="L999" t="s">
        <v>28</v>
      </c>
      <c r="M999" t="s">
        <v>29</v>
      </c>
      <c r="N999">
        <v>42420</v>
      </c>
      <c r="O999" t="s">
        <v>30</v>
      </c>
      <c r="P999" t="s">
        <v>2994</v>
      </c>
      <c r="Q999" t="s">
        <v>46</v>
      </c>
      <c r="R999" t="s">
        <v>59</v>
      </c>
      <c r="S999" t="s">
        <v>2995</v>
      </c>
      <c r="T999" s="4">
        <v>36.630000000000003</v>
      </c>
      <c r="U999">
        <v>3</v>
      </c>
      <c r="V999">
        <v>0</v>
      </c>
      <c r="W999" s="4">
        <v>9.8901000000000003</v>
      </c>
    </row>
    <row r="1000" spans="1:23" x14ac:dyDescent="0.3">
      <c r="A1000">
        <v>999</v>
      </c>
      <c r="B1000" t="s">
        <v>2989</v>
      </c>
      <c r="C1000" s="3">
        <v>42835</v>
      </c>
      <c r="D1000" s="7" t="str">
        <f t="shared" si="30"/>
        <v>April</v>
      </c>
      <c r="E1000" s="3">
        <f t="shared" si="31"/>
        <v>42855</v>
      </c>
      <c r="F1000" s="3">
        <v>42074</v>
      </c>
      <c r="G1000" t="s">
        <v>50</v>
      </c>
      <c r="H1000" t="s">
        <v>2990</v>
      </c>
      <c r="I1000" t="s">
        <v>2991</v>
      </c>
      <c r="J1000" t="s">
        <v>26</v>
      </c>
      <c r="K1000" t="s">
        <v>27</v>
      </c>
      <c r="L1000" t="s">
        <v>28</v>
      </c>
      <c r="M1000" t="s">
        <v>29</v>
      </c>
      <c r="N1000">
        <v>42420</v>
      </c>
      <c r="O1000" t="s">
        <v>30</v>
      </c>
      <c r="P1000" t="s">
        <v>2996</v>
      </c>
      <c r="Q1000" t="s">
        <v>32</v>
      </c>
      <c r="R1000" t="s">
        <v>65</v>
      </c>
      <c r="S1000" t="s">
        <v>2997</v>
      </c>
      <c r="T1000" s="4">
        <v>24.1</v>
      </c>
      <c r="U1000">
        <v>5</v>
      </c>
      <c r="V1000">
        <v>0</v>
      </c>
      <c r="W1000" s="4">
        <v>9.1579999999999995</v>
      </c>
    </row>
    <row r="1001" spans="1:23" x14ac:dyDescent="0.3">
      <c r="A1001">
        <v>1000</v>
      </c>
      <c r="B1001" t="s">
        <v>2989</v>
      </c>
      <c r="C1001" s="3">
        <v>42835</v>
      </c>
      <c r="D1001" s="7" t="str">
        <f t="shared" si="30"/>
        <v>April</v>
      </c>
      <c r="E1001" s="3">
        <f t="shared" si="31"/>
        <v>42855</v>
      </c>
      <c r="F1001" s="3">
        <v>42074</v>
      </c>
      <c r="G1001" t="s">
        <v>50</v>
      </c>
      <c r="H1001" t="s">
        <v>2990</v>
      </c>
      <c r="I1001" t="s">
        <v>2991</v>
      </c>
      <c r="J1001" t="s">
        <v>26</v>
      </c>
      <c r="K1001" t="s">
        <v>27</v>
      </c>
      <c r="L1001" t="s">
        <v>28</v>
      </c>
      <c r="M1001" t="s">
        <v>29</v>
      </c>
      <c r="N1001">
        <v>42420</v>
      </c>
      <c r="O1001" t="s">
        <v>30</v>
      </c>
      <c r="P1001" t="s">
        <v>1137</v>
      </c>
      <c r="Q1001" t="s">
        <v>32</v>
      </c>
      <c r="R1001" t="s">
        <v>65</v>
      </c>
      <c r="S1001" t="s">
        <v>1138</v>
      </c>
      <c r="T1001" s="4">
        <v>33.11</v>
      </c>
      <c r="U1001">
        <v>7</v>
      </c>
      <c r="V1001">
        <v>0</v>
      </c>
      <c r="W1001" s="4">
        <v>12.9129</v>
      </c>
    </row>
    <row r="1002" spans="1:23" x14ac:dyDescent="0.3">
      <c r="C1002" s="3"/>
      <c r="D1002" s="3"/>
      <c r="E1002" s="3"/>
      <c r="F1002" s="3"/>
    </row>
    <row r="1003" spans="1:23" x14ac:dyDescent="0.3">
      <c r="C1003" s="3"/>
      <c r="D1003" s="3"/>
      <c r="E1003" s="3"/>
      <c r="F1003" s="3"/>
    </row>
    <row r="1004" spans="1:23" x14ac:dyDescent="0.3">
      <c r="C1004" s="3"/>
      <c r="D1004" s="3"/>
      <c r="E1004" s="3"/>
      <c r="F1004" s="3"/>
    </row>
    <row r="1005" spans="1:23" x14ac:dyDescent="0.3">
      <c r="C1005" s="3"/>
      <c r="D1005" s="3"/>
      <c r="E1005" s="3"/>
      <c r="F1005" s="3"/>
    </row>
    <row r="1006" spans="1:23" x14ac:dyDescent="0.3">
      <c r="C1006" s="3"/>
      <c r="D1006" s="3"/>
      <c r="E1006" s="3"/>
      <c r="F1006" s="3"/>
    </row>
    <row r="1007" spans="1:23" x14ac:dyDescent="0.3">
      <c r="C1007" s="3"/>
      <c r="D1007" s="3"/>
      <c r="E1007" s="3"/>
      <c r="F1007" s="3"/>
    </row>
    <row r="1008" spans="1:23" x14ac:dyDescent="0.3">
      <c r="C1008" s="3"/>
      <c r="D1008" s="3"/>
      <c r="E1008" s="3"/>
      <c r="F1008" s="3"/>
    </row>
    <row r="1009" spans="3:6" x14ac:dyDescent="0.3">
      <c r="C1009" s="3"/>
      <c r="D1009" s="3"/>
      <c r="E1009" s="3"/>
      <c r="F1009" s="3"/>
    </row>
    <row r="1010" spans="3:6" x14ac:dyDescent="0.3">
      <c r="C1010" s="3"/>
      <c r="D1010" s="3"/>
      <c r="E1010" s="3"/>
      <c r="F1010" s="3"/>
    </row>
    <row r="1011" spans="3:6" x14ac:dyDescent="0.3">
      <c r="C1011" s="3"/>
      <c r="D1011" s="3"/>
      <c r="E1011" s="3"/>
      <c r="F1011" s="3"/>
    </row>
    <row r="1012" spans="3:6" x14ac:dyDescent="0.3">
      <c r="C1012" s="3"/>
      <c r="D1012" s="3"/>
      <c r="E1012" s="3"/>
      <c r="F1012" s="3"/>
    </row>
    <row r="1013" spans="3:6" x14ac:dyDescent="0.3">
      <c r="C1013" s="3"/>
      <c r="D1013" s="3"/>
      <c r="E1013" s="3"/>
      <c r="F1013" s="3"/>
    </row>
    <row r="1014" spans="3:6" x14ac:dyDescent="0.3">
      <c r="C1014" s="3"/>
      <c r="D1014" s="3"/>
      <c r="E1014" s="3"/>
      <c r="F1014" s="3"/>
    </row>
    <row r="1015" spans="3:6" x14ac:dyDescent="0.3">
      <c r="C1015" s="3"/>
      <c r="D1015" s="3"/>
      <c r="E1015" s="3"/>
      <c r="F1015" s="3"/>
    </row>
    <row r="1016" spans="3:6" x14ac:dyDescent="0.3">
      <c r="C1016" s="3"/>
      <c r="D1016" s="3"/>
      <c r="E1016" s="3"/>
      <c r="F1016" s="3"/>
    </row>
    <row r="1017" spans="3:6" x14ac:dyDescent="0.3">
      <c r="C1017" s="3"/>
      <c r="D1017" s="3"/>
      <c r="E1017" s="3"/>
      <c r="F1017" s="3"/>
    </row>
    <row r="1018" spans="3:6" x14ac:dyDescent="0.3">
      <c r="C1018" s="3"/>
      <c r="D1018" s="3"/>
      <c r="E1018" s="3"/>
      <c r="F1018" s="3"/>
    </row>
    <row r="1019" spans="3:6" x14ac:dyDescent="0.3">
      <c r="C1019" s="3"/>
      <c r="D1019" s="3"/>
      <c r="E1019" s="3"/>
      <c r="F1019" s="3"/>
    </row>
    <row r="1020" spans="3:6" x14ac:dyDescent="0.3">
      <c r="C1020" s="3"/>
      <c r="D1020" s="3"/>
      <c r="E1020" s="3"/>
      <c r="F1020" s="3"/>
    </row>
    <row r="1021" spans="3:6" x14ac:dyDescent="0.3">
      <c r="C1021" s="3"/>
      <c r="D1021" s="3"/>
      <c r="E1021" s="3"/>
      <c r="F1021" s="3"/>
    </row>
    <row r="1022" spans="3:6" x14ac:dyDescent="0.3">
      <c r="C1022" s="3"/>
      <c r="D1022" s="3"/>
      <c r="E1022" s="3"/>
      <c r="F1022" s="3"/>
    </row>
    <row r="1023" spans="3:6" x14ac:dyDescent="0.3">
      <c r="C1023" s="3"/>
      <c r="D1023" s="3"/>
      <c r="E1023" s="3"/>
      <c r="F1023" s="3"/>
    </row>
    <row r="1024" spans="3:6" x14ac:dyDescent="0.3">
      <c r="C1024" s="3"/>
      <c r="D1024" s="3"/>
      <c r="E1024" s="3"/>
      <c r="F1024" s="3"/>
    </row>
    <row r="1025" spans="3:6" x14ac:dyDescent="0.3">
      <c r="C1025" s="3"/>
      <c r="D1025" s="3"/>
      <c r="E1025" s="3"/>
      <c r="F1025" s="3"/>
    </row>
    <row r="1026" spans="3:6" x14ac:dyDescent="0.3">
      <c r="C1026" s="3"/>
      <c r="D1026" s="3"/>
      <c r="E1026" s="3"/>
      <c r="F1026" s="3"/>
    </row>
    <row r="1027" spans="3:6" x14ac:dyDescent="0.3">
      <c r="C1027" s="3"/>
      <c r="D1027" s="3"/>
      <c r="E1027" s="3"/>
      <c r="F1027" s="3"/>
    </row>
    <row r="1028" spans="3:6" x14ac:dyDescent="0.3">
      <c r="C1028" s="3"/>
      <c r="D1028" s="3"/>
      <c r="E1028" s="3"/>
      <c r="F1028" s="3"/>
    </row>
    <row r="1029" spans="3:6" x14ac:dyDescent="0.3">
      <c r="C1029" s="3"/>
      <c r="D1029" s="3"/>
      <c r="E1029" s="3"/>
      <c r="F1029" s="3"/>
    </row>
    <row r="1030" spans="3:6" x14ac:dyDescent="0.3">
      <c r="C1030" s="3"/>
      <c r="D1030" s="3"/>
      <c r="E1030" s="3"/>
      <c r="F1030" s="3"/>
    </row>
    <row r="1031" spans="3:6" x14ac:dyDescent="0.3">
      <c r="C1031" s="3"/>
      <c r="D1031" s="3"/>
      <c r="E1031" s="3"/>
      <c r="F1031" s="3"/>
    </row>
    <row r="1032" spans="3:6" x14ac:dyDescent="0.3">
      <c r="C1032" s="3"/>
      <c r="D1032" s="3"/>
      <c r="E1032" s="3"/>
      <c r="F1032" s="3"/>
    </row>
    <row r="1033" spans="3:6" x14ac:dyDescent="0.3">
      <c r="C1033" s="3"/>
      <c r="D1033" s="3"/>
      <c r="E1033" s="3"/>
      <c r="F1033" s="3"/>
    </row>
    <row r="1034" spans="3:6" x14ac:dyDescent="0.3">
      <c r="C1034" s="3"/>
      <c r="D1034" s="3"/>
      <c r="E1034" s="3"/>
      <c r="F1034" s="3"/>
    </row>
    <row r="1035" spans="3:6" x14ac:dyDescent="0.3">
      <c r="C1035" s="3"/>
      <c r="D1035" s="3"/>
      <c r="E1035" s="3"/>
      <c r="F1035" s="3"/>
    </row>
    <row r="1036" spans="3:6" x14ac:dyDescent="0.3">
      <c r="C1036" s="3"/>
      <c r="D1036" s="3"/>
      <c r="E1036" s="3"/>
      <c r="F1036" s="3"/>
    </row>
    <row r="1037" spans="3:6" x14ac:dyDescent="0.3">
      <c r="C1037" s="3"/>
      <c r="D1037" s="3"/>
      <c r="E1037" s="3"/>
      <c r="F1037" s="3"/>
    </row>
    <row r="1038" spans="3:6" x14ac:dyDescent="0.3">
      <c r="C1038" s="3"/>
      <c r="D1038" s="3"/>
      <c r="E1038" s="3"/>
      <c r="F1038" s="3"/>
    </row>
    <row r="1039" spans="3:6" x14ac:dyDescent="0.3">
      <c r="C1039" s="3"/>
      <c r="D1039" s="3"/>
      <c r="E1039" s="3"/>
      <c r="F1039" s="3"/>
    </row>
    <row r="1040" spans="3:6" x14ac:dyDescent="0.3">
      <c r="C1040" s="3"/>
      <c r="D1040" s="3"/>
      <c r="E1040" s="3"/>
      <c r="F1040" s="3"/>
    </row>
    <row r="1041" spans="3:6" x14ac:dyDescent="0.3">
      <c r="C1041" s="3"/>
      <c r="D1041" s="3"/>
      <c r="E1041" s="3"/>
      <c r="F1041" s="3"/>
    </row>
    <row r="1042" spans="3:6" x14ac:dyDescent="0.3">
      <c r="C1042" s="3"/>
      <c r="D1042" s="3"/>
      <c r="E1042" s="3"/>
      <c r="F1042" s="3"/>
    </row>
    <row r="1043" spans="3:6" x14ac:dyDescent="0.3">
      <c r="C1043" s="3"/>
      <c r="D1043" s="3"/>
      <c r="E1043" s="3"/>
      <c r="F1043" s="3"/>
    </row>
    <row r="1044" spans="3:6" x14ac:dyDescent="0.3">
      <c r="C1044" s="3"/>
      <c r="D1044" s="3"/>
      <c r="E1044" s="3"/>
      <c r="F1044" s="3"/>
    </row>
    <row r="1045" spans="3:6" x14ac:dyDescent="0.3">
      <c r="C1045" s="3"/>
      <c r="D1045" s="3"/>
      <c r="E1045" s="3"/>
      <c r="F1045" s="3"/>
    </row>
    <row r="1046" spans="3:6" x14ac:dyDescent="0.3">
      <c r="C1046" s="3"/>
      <c r="D1046" s="3"/>
      <c r="E1046" s="3"/>
      <c r="F1046" s="3"/>
    </row>
    <row r="1047" spans="3:6" x14ac:dyDescent="0.3">
      <c r="C1047" s="3"/>
      <c r="D1047" s="3"/>
      <c r="E1047" s="3"/>
      <c r="F1047" s="3"/>
    </row>
    <row r="1048" spans="3:6" x14ac:dyDescent="0.3">
      <c r="C1048" s="3"/>
      <c r="D1048" s="3"/>
      <c r="E1048" s="3"/>
      <c r="F1048" s="3"/>
    </row>
    <row r="1049" spans="3:6" x14ac:dyDescent="0.3">
      <c r="C1049" s="3"/>
      <c r="D1049" s="3"/>
      <c r="E1049" s="3"/>
      <c r="F1049" s="3"/>
    </row>
    <row r="1050" spans="3:6" x14ac:dyDescent="0.3">
      <c r="C1050" s="3"/>
      <c r="D1050" s="3"/>
      <c r="E1050" s="3"/>
      <c r="F1050" s="3"/>
    </row>
    <row r="1051" spans="3:6" x14ac:dyDescent="0.3">
      <c r="C1051" s="3"/>
      <c r="D1051" s="3"/>
      <c r="E1051" s="3"/>
      <c r="F1051" s="3"/>
    </row>
    <row r="1052" spans="3:6" x14ac:dyDescent="0.3">
      <c r="C1052" s="3"/>
      <c r="D1052" s="3"/>
      <c r="E1052" s="3"/>
      <c r="F1052" s="3"/>
    </row>
    <row r="1053" spans="3:6" x14ac:dyDescent="0.3">
      <c r="C1053" s="3"/>
      <c r="D1053" s="3"/>
      <c r="E1053" s="3"/>
      <c r="F1053" s="3"/>
    </row>
    <row r="1054" spans="3:6" x14ac:dyDescent="0.3">
      <c r="C1054" s="3"/>
      <c r="D1054" s="3"/>
      <c r="E1054" s="3"/>
      <c r="F1054" s="3"/>
    </row>
    <row r="1055" spans="3:6" x14ac:dyDescent="0.3">
      <c r="C1055" s="3"/>
      <c r="D1055" s="3"/>
      <c r="E1055" s="3"/>
      <c r="F1055" s="3"/>
    </row>
    <row r="1056" spans="3:6" x14ac:dyDescent="0.3">
      <c r="C1056" s="3"/>
      <c r="D1056" s="3"/>
      <c r="E1056" s="3"/>
      <c r="F1056" s="3"/>
    </row>
    <row r="1057" spans="3:6" x14ac:dyDescent="0.3">
      <c r="C1057" s="3"/>
      <c r="D1057" s="3"/>
      <c r="E1057" s="3"/>
      <c r="F1057" s="3"/>
    </row>
    <row r="1058" spans="3:6" x14ac:dyDescent="0.3">
      <c r="C1058" s="3"/>
      <c r="D1058" s="3"/>
      <c r="E1058" s="3"/>
      <c r="F1058" s="3"/>
    </row>
    <row r="1059" spans="3:6" x14ac:dyDescent="0.3">
      <c r="C1059" s="3"/>
      <c r="D1059" s="3"/>
      <c r="E1059" s="3"/>
      <c r="F1059" s="3"/>
    </row>
    <row r="1060" spans="3:6" x14ac:dyDescent="0.3">
      <c r="C1060" s="3"/>
      <c r="D1060" s="3"/>
      <c r="E1060" s="3"/>
      <c r="F1060" s="3"/>
    </row>
    <row r="1061" spans="3:6" x14ac:dyDescent="0.3">
      <c r="C1061" s="3"/>
      <c r="D1061" s="3"/>
      <c r="E1061" s="3"/>
      <c r="F1061" s="3"/>
    </row>
    <row r="1062" spans="3:6" x14ac:dyDescent="0.3">
      <c r="C1062" s="3"/>
      <c r="D1062" s="3"/>
      <c r="E1062" s="3"/>
      <c r="F1062" s="3"/>
    </row>
    <row r="1063" spans="3:6" x14ac:dyDescent="0.3">
      <c r="C1063" s="3"/>
      <c r="D1063" s="3"/>
      <c r="E1063" s="3"/>
      <c r="F1063" s="3"/>
    </row>
    <row r="1064" spans="3:6" x14ac:dyDescent="0.3">
      <c r="C1064" s="3"/>
      <c r="D1064" s="3"/>
      <c r="E1064" s="3"/>
      <c r="F1064" s="3"/>
    </row>
    <row r="1065" spans="3:6" x14ac:dyDescent="0.3">
      <c r="C1065" s="3"/>
      <c r="D1065" s="3"/>
      <c r="E1065" s="3"/>
      <c r="F1065" s="3"/>
    </row>
    <row r="1066" spans="3:6" x14ac:dyDescent="0.3">
      <c r="C1066" s="3"/>
      <c r="D1066" s="3"/>
      <c r="E1066" s="3"/>
      <c r="F1066" s="3"/>
    </row>
    <row r="1067" spans="3:6" x14ac:dyDescent="0.3">
      <c r="C1067" s="3"/>
      <c r="D1067" s="3"/>
      <c r="E1067" s="3"/>
      <c r="F1067" s="3"/>
    </row>
    <row r="1068" spans="3:6" x14ac:dyDescent="0.3">
      <c r="C1068" s="3"/>
      <c r="D1068" s="3"/>
      <c r="E1068" s="3"/>
      <c r="F1068" s="3"/>
    </row>
    <row r="1069" spans="3:6" x14ac:dyDescent="0.3">
      <c r="C1069" s="3"/>
      <c r="D1069" s="3"/>
      <c r="E1069" s="3"/>
      <c r="F1069" s="3"/>
    </row>
    <row r="1070" spans="3:6" x14ac:dyDescent="0.3">
      <c r="C1070" s="3"/>
      <c r="D1070" s="3"/>
      <c r="E1070" s="3"/>
      <c r="F1070" s="3"/>
    </row>
    <row r="1071" spans="3:6" x14ac:dyDescent="0.3">
      <c r="C1071" s="3"/>
      <c r="D1071" s="3"/>
      <c r="E1071" s="3"/>
      <c r="F1071" s="3"/>
    </row>
    <row r="1072" spans="3:6" x14ac:dyDescent="0.3">
      <c r="C1072" s="3"/>
      <c r="D1072" s="3"/>
      <c r="E1072" s="3"/>
      <c r="F1072" s="3"/>
    </row>
    <row r="1073" spans="3:6" x14ac:dyDescent="0.3">
      <c r="C1073" s="3"/>
      <c r="D1073" s="3"/>
      <c r="E1073" s="3"/>
      <c r="F1073" s="3"/>
    </row>
    <row r="1074" spans="3:6" x14ac:dyDescent="0.3">
      <c r="C1074" s="3"/>
      <c r="D1074" s="3"/>
      <c r="E1074" s="3"/>
      <c r="F1074" s="3"/>
    </row>
    <row r="1075" spans="3:6" x14ac:dyDescent="0.3">
      <c r="C1075" s="3"/>
      <c r="D1075" s="3"/>
      <c r="E1075" s="3"/>
      <c r="F1075" s="3"/>
    </row>
    <row r="1076" spans="3:6" x14ac:dyDescent="0.3">
      <c r="C1076" s="3"/>
      <c r="D1076" s="3"/>
      <c r="E1076" s="3"/>
      <c r="F1076" s="3"/>
    </row>
    <row r="1077" spans="3:6" x14ac:dyDescent="0.3">
      <c r="C1077" s="3"/>
      <c r="D1077" s="3"/>
      <c r="E1077" s="3"/>
      <c r="F1077" s="3"/>
    </row>
    <row r="1078" spans="3:6" x14ac:dyDescent="0.3">
      <c r="C1078" s="3"/>
      <c r="D1078" s="3"/>
      <c r="E1078" s="3"/>
      <c r="F1078" s="3"/>
    </row>
    <row r="1079" spans="3:6" x14ac:dyDescent="0.3">
      <c r="C1079" s="3"/>
      <c r="D1079" s="3"/>
      <c r="E1079" s="3"/>
      <c r="F1079" s="3"/>
    </row>
    <row r="1080" spans="3:6" x14ac:dyDescent="0.3">
      <c r="C1080" s="3"/>
      <c r="D1080" s="3"/>
      <c r="E1080" s="3"/>
      <c r="F1080" s="3"/>
    </row>
    <row r="1081" spans="3:6" x14ac:dyDescent="0.3">
      <c r="C1081" s="3"/>
      <c r="D1081" s="3"/>
      <c r="E1081" s="3"/>
      <c r="F1081" s="3"/>
    </row>
    <row r="1082" spans="3:6" x14ac:dyDescent="0.3">
      <c r="C1082" s="3"/>
      <c r="D1082" s="3"/>
      <c r="E1082" s="3"/>
      <c r="F1082" s="3"/>
    </row>
    <row r="1083" spans="3:6" x14ac:dyDescent="0.3">
      <c r="C1083" s="3"/>
      <c r="D1083" s="3"/>
      <c r="E1083" s="3"/>
      <c r="F1083" s="3"/>
    </row>
    <row r="1084" spans="3:6" x14ac:dyDescent="0.3">
      <c r="C1084" s="3"/>
      <c r="D1084" s="3"/>
      <c r="E1084" s="3"/>
      <c r="F1084" s="3"/>
    </row>
    <row r="1085" spans="3:6" x14ac:dyDescent="0.3">
      <c r="C1085" s="3"/>
      <c r="D1085" s="3"/>
      <c r="E1085" s="3"/>
      <c r="F1085" s="3"/>
    </row>
    <row r="1086" spans="3:6" x14ac:dyDescent="0.3">
      <c r="C1086" s="3"/>
      <c r="D1086" s="3"/>
      <c r="E1086" s="3"/>
      <c r="F1086" s="3"/>
    </row>
    <row r="1087" spans="3:6" x14ac:dyDescent="0.3">
      <c r="C1087" s="3"/>
      <c r="D1087" s="3"/>
      <c r="E1087" s="3"/>
      <c r="F1087" s="3"/>
    </row>
    <row r="1088" spans="3:6" x14ac:dyDescent="0.3">
      <c r="C1088" s="3"/>
      <c r="D1088" s="3"/>
      <c r="E1088" s="3"/>
      <c r="F1088" s="3"/>
    </row>
    <row r="1089" spans="3:6" x14ac:dyDescent="0.3">
      <c r="C1089" s="3"/>
      <c r="D1089" s="3"/>
      <c r="E1089" s="3"/>
      <c r="F1089" s="3"/>
    </row>
    <row r="1090" spans="3:6" x14ac:dyDescent="0.3">
      <c r="C1090" s="3"/>
      <c r="D1090" s="3"/>
      <c r="E1090" s="3"/>
      <c r="F1090" s="3"/>
    </row>
    <row r="1091" spans="3:6" x14ac:dyDescent="0.3">
      <c r="C1091" s="3"/>
      <c r="D1091" s="3"/>
      <c r="E1091" s="3"/>
      <c r="F1091" s="3"/>
    </row>
    <row r="1092" spans="3:6" x14ac:dyDescent="0.3">
      <c r="C1092" s="3"/>
      <c r="D1092" s="3"/>
      <c r="E1092" s="3"/>
      <c r="F1092" s="3"/>
    </row>
    <row r="1093" spans="3:6" x14ac:dyDescent="0.3">
      <c r="C1093" s="3"/>
      <c r="D1093" s="3"/>
      <c r="E1093" s="3"/>
      <c r="F1093" s="3"/>
    </row>
    <row r="1094" spans="3:6" x14ac:dyDescent="0.3">
      <c r="C1094" s="3"/>
      <c r="D1094" s="3"/>
      <c r="E1094" s="3"/>
      <c r="F1094" s="3"/>
    </row>
    <row r="1095" spans="3:6" x14ac:dyDescent="0.3">
      <c r="C1095" s="3"/>
      <c r="D1095" s="3"/>
      <c r="E1095" s="3"/>
      <c r="F1095" s="3"/>
    </row>
    <row r="1096" spans="3:6" x14ac:dyDescent="0.3">
      <c r="C1096" s="3"/>
      <c r="D1096" s="3"/>
      <c r="E1096" s="3"/>
      <c r="F1096" s="3"/>
    </row>
    <row r="1097" spans="3:6" x14ac:dyDescent="0.3">
      <c r="C1097" s="3"/>
      <c r="D1097" s="3"/>
      <c r="E1097" s="3"/>
      <c r="F1097" s="3"/>
    </row>
    <row r="1098" spans="3:6" x14ac:dyDescent="0.3">
      <c r="C1098" s="3"/>
      <c r="D1098" s="3"/>
      <c r="E1098" s="3"/>
      <c r="F1098" s="3"/>
    </row>
    <row r="1099" spans="3:6" x14ac:dyDescent="0.3">
      <c r="C1099" s="3"/>
      <c r="D1099" s="3"/>
      <c r="E1099" s="3"/>
      <c r="F1099" s="3"/>
    </row>
    <row r="1100" spans="3:6" x14ac:dyDescent="0.3">
      <c r="C1100" s="3"/>
      <c r="D1100" s="3"/>
      <c r="E1100" s="3"/>
      <c r="F1100" s="3"/>
    </row>
    <row r="1101" spans="3:6" x14ac:dyDescent="0.3">
      <c r="C1101" s="3"/>
      <c r="D1101" s="3"/>
      <c r="E1101" s="3"/>
      <c r="F1101" s="3"/>
    </row>
    <row r="1102" spans="3:6" x14ac:dyDescent="0.3">
      <c r="C1102" s="3"/>
      <c r="D1102" s="3"/>
      <c r="E1102" s="3"/>
      <c r="F1102" s="3"/>
    </row>
    <row r="1103" spans="3:6" x14ac:dyDescent="0.3">
      <c r="C1103" s="3"/>
      <c r="D1103" s="3"/>
      <c r="E1103" s="3"/>
      <c r="F1103" s="3"/>
    </row>
    <row r="1104" spans="3:6" x14ac:dyDescent="0.3">
      <c r="C1104" s="3"/>
      <c r="D1104" s="3"/>
      <c r="E1104" s="3"/>
      <c r="F1104" s="3"/>
    </row>
    <row r="1105" spans="3:6" x14ac:dyDescent="0.3">
      <c r="C1105" s="3"/>
      <c r="D1105" s="3"/>
      <c r="E1105" s="3"/>
      <c r="F1105" s="3"/>
    </row>
    <row r="1106" spans="3:6" x14ac:dyDescent="0.3">
      <c r="C1106" s="3"/>
      <c r="D1106" s="3"/>
      <c r="E1106" s="3"/>
      <c r="F1106" s="3"/>
    </row>
    <row r="1107" spans="3:6" x14ac:dyDescent="0.3">
      <c r="C1107" s="3"/>
      <c r="D1107" s="3"/>
      <c r="E1107" s="3"/>
      <c r="F1107" s="3"/>
    </row>
    <row r="1108" spans="3:6" x14ac:dyDescent="0.3">
      <c r="C1108" s="3"/>
      <c r="D1108" s="3"/>
      <c r="E1108" s="3"/>
      <c r="F1108" s="3"/>
    </row>
    <row r="1109" spans="3:6" x14ac:dyDescent="0.3">
      <c r="C1109" s="3"/>
      <c r="D1109" s="3"/>
      <c r="E1109" s="3"/>
      <c r="F1109" s="3"/>
    </row>
    <row r="1110" spans="3:6" x14ac:dyDescent="0.3">
      <c r="C1110" s="3"/>
      <c r="D1110" s="3"/>
      <c r="E1110" s="3"/>
      <c r="F1110" s="3"/>
    </row>
    <row r="1111" spans="3:6" x14ac:dyDescent="0.3">
      <c r="C1111" s="3"/>
      <c r="D1111" s="3"/>
      <c r="E1111" s="3"/>
      <c r="F1111" s="3"/>
    </row>
    <row r="1112" spans="3:6" x14ac:dyDescent="0.3">
      <c r="C1112" s="3"/>
      <c r="D1112" s="3"/>
      <c r="E1112" s="3"/>
      <c r="F1112" s="3"/>
    </row>
    <row r="1113" spans="3:6" x14ac:dyDescent="0.3">
      <c r="C1113" s="3"/>
      <c r="D1113" s="3"/>
      <c r="E1113" s="3"/>
      <c r="F1113" s="3"/>
    </row>
    <row r="1114" spans="3:6" x14ac:dyDescent="0.3">
      <c r="C1114" s="3"/>
      <c r="D1114" s="3"/>
      <c r="E1114" s="3"/>
      <c r="F1114" s="3"/>
    </row>
    <row r="1115" spans="3:6" x14ac:dyDescent="0.3">
      <c r="C1115" s="3"/>
      <c r="D1115" s="3"/>
      <c r="E1115" s="3"/>
      <c r="F1115" s="3"/>
    </row>
    <row r="1116" spans="3:6" x14ac:dyDescent="0.3">
      <c r="C1116" s="3"/>
      <c r="D1116" s="3"/>
      <c r="E1116" s="3"/>
      <c r="F1116" s="3"/>
    </row>
    <row r="1117" spans="3:6" x14ac:dyDescent="0.3">
      <c r="C1117" s="3"/>
      <c r="D1117" s="3"/>
      <c r="E1117" s="3"/>
      <c r="F1117" s="3"/>
    </row>
    <row r="1118" spans="3:6" x14ac:dyDescent="0.3">
      <c r="C1118" s="3"/>
      <c r="D1118" s="3"/>
      <c r="E1118" s="3"/>
      <c r="F1118" s="3"/>
    </row>
    <row r="1119" spans="3:6" x14ac:dyDescent="0.3">
      <c r="C1119" s="3"/>
      <c r="D1119" s="3"/>
      <c r="E1119" s="3"/>
      <c r="F1119" s="3"/>
    </row>
    <row r="1120" spans="3:6" x14ac:dyDescent="0.3">
      <c r="C1120" s="3"/>
      <c r="D1120" s="3"/>
      <c r="E1120" s="3"/>
      <c r="F1120" s="3"/>
    </row>
    <row r="1121" spans="3:6" x14ac:dyDescent="0.3">
      <c r="C1121" s="3"/>
      <c r="D1121" s="3"/>
      <c r="E1121" s="3"/>
      <c r="F1121" s="3"/>
    </row>
    <row r="1122" spans="3:6" x14ac:dyDescent="0.3">
      <c r="C1122" s="3"/>
      <c r="D1122" s="3"/>
      <c r="E1122" s="3"/>
      <c r="F1122" s="3"/>
    </row>
    <row r="1123" spans="3:6" x14ac:dyDescent="0.3">
      <c r="C1123" s="3"/>
      <c r="D1123" s="3"/>
      <c r="E1123" s="3"/>
      <c r="F1123" s="3"/>
    </row>
    <row r="1124" spans="3:6" x14ac:dyDescent="0.3">
      <c r="C1124" s="3"/>
      <c r="D1124" s="3"/>
      <c r="E1124" s="3"/>
      <c r="F1124" s="3"/>
    </row>
    <row r="1125" spans="3:6" x14ac:dyDescent="0.3">
      <c r="C1125" s="3"/>
      <c r="D1125" s="3"/>
      <c r="E1125" s="3"/>
      <c r="F1125" s="3"/>
    </row>
    <row r="1126" spans="3:6" x14ac:dyDescent="0.3">
      <c r="C1126" s="3"/>
      <c r="D1126" s="3"/>
      <c r="E1126" s="3"/>
      <c r="F1126" s="3"/>
    </row>
    <row r="1127" spans="3:6" x14ac:dyDescent="0.3">
      <c r="C1127" s="3"/>
      <c r="D1127" s="3"/>
      <c r="E1127" s="3"/>
      <c r="F1127" s="3"/>
    </row>
    <row r="1128" spans="3:6" x14ac:dyDescent="0.3">
      <c r="C1128" s="3"/>
      <c r="D1128" s="3"/>
      <c r="E1128" s="3"/>
      <c r="F1128" s="3"/>
    </row>
    <row r="1129" spans="3:6" x14ac:dyDescent="0.3">
      <c r="C1129" s="3"/>
      <c r="D1129" s="3"/>
      <c r="E1129" s="3"/>
      <c r="F1129" s="3"/>
    </row>
    <row r="1130" spans="3:6" x14ac:dyDescent="0.3">
      <c r="C1130" s="3"/>
      <c r="D1130" s="3"/>
      <c r="E1130" s="3"/>
      <c r="F1130" s="3"/>
    </row>
    <row r="1131" spans="3:6" x14ac:dyDescent="0.3">
      <c r="C1131" s="3"/>
      <c r="D1131" s="3"/>
      <c r="E1131" s="3"/>
      <c r="F1131" s="3"/>
    </row>
    <row r="1132" spans="3:6" x14ac:dyDescent="0.3">
      <c r="C1132" s="3"/>
      <c r="D1132" s="3"/>
      <c r="E1132" s="3"/>
      <c r="F1132" s="3"/>
    </row>
    <row r="1133" spans="3:6" x14ac:dyDescent="0.3">
      <c r="C1133" s="3"/>
      <c r="D1133" s="3"/>
      <c r="E1133" s="3"/>
      <c r="F1133" s="3"/>
    </row>
    <row r="1134" spans="3:6" x14ac:dyDescent="0.3">
      <c r="C1134" s="3"/>
      <c r="D1134" s="3"/>
      <c r="E1134" s="3"/>
      <c r="F1134" s="3"/>
    </row>
    <row r="1135" spans="3:6" x14ac:dyDescent="0.3">
      <c r="C1135" s="3"/>
      <c r="D1135" s="3"/>
      <c r="E1135" s="3"/>
      <c r="F1135" s="3"/>
    </row>
    <row r="1136" spans="3:6" x14ac:dyDescent="0.3">
      <c r="C1136" s="3"/>
      <c r="D1136" s="3"/>
      <c r="E1136" s="3"/>
      <c r="F1136" s="3"/>
    </row>
    <row r="1137" spans="3:6" x14ac:dyDescent="0.3">
      <c r="C1137" s="3"/>
      <c r="D1137" s="3"/>
      <c r="E1137" s="3"/>
      <c r="F1137" s="3"/>
    </row>
    <row r="1138" spans="3:6" x14ac:dyDescent="0.3">
      <c r="C1138" s="3"/>
      <c r="D1138" s="3"/>
      <c r="E1138" s="3"/>
      <c r="F1138" s="3"/>
    </row>
    <row r="1139" spans="3:6" x14ac:dyDescent="0.3">
      <c r="C1139" s="3"/>
      <c r="D1139" s="3"/>
      <c r="E1139" s="3"/>
      <c r="F1139" s="3"/>
    </row>
    <row r="1140" spans="3:6" x14ac:dyDescent="0.3">
      <c r="C1140" s="3"/>
      <c r="D1140" s="3"/>
      <c r="E1140" s="3"/>
      <c r="F1140" s="3"/>
    </row>
    <row r="1141" spans="3:6" x14ac:dyDescent="0.3">
      <c r="C1141" s="3"/>
      <c r="D1141" s="3"/>
      <c r="E1141" s="3"/>
      <c r="F1141" s="3"/>
    </row>
    <row r="1142" spans="3:6" x14ac:dyDescent="0.3">
      <c r="C1142" s="3"/>
      <c r="D1142" s="3"/>
      <c r="E1142" s="3"/>
      <c r="F1142" s="3"/>
    </row>
    <row r="1143" spans="3:6" x14ac:dyDescent="0.3">
      <c r="C1143" s="3"/>
      <c r="D1143" s="3"/>
      <c r="E1143" s="3"/>
      <c r="F1143" s="3"/>
    </row>
    <row r="1144" spans="3:6" x14ac:dyDescent="0.3">
      <c r="C1144" s="3"/>
      <c r="D1144" s="3"/>
      <c r="E1144" s="3"/>
      <c r="F1144" s="3"/>
    </row>
    <row r="1145" spans="3:6" x14ac:dyDescent="0.3">
      <c r="C1145" s="3"/>
      <c r="D1145" s="3"/>
      <c r="E1145" s="3"/>
      <c r="F1145" s="3"/>
    </row>
    <row r="1146" spans="3:6" x14ac:dyDescent="0.3">
      <c r="C1146" s="3"/>
      <c r="D1146" s="3"/>
      <c r="E1146" s="3"/>
      <c r="F1146" s="3"/>
    </row>
    <row r="1147" spans="3:6" x14ac:dyDescent="0.3">
      <c r="C1147" s="3"/>
      <c r="D1147" s="3"/>
      <c r="E1147" s="3"/>
      <c r="F1147" s="3"/>
    </row>
    <row r="1148" spans="3:6" x14ac:dyDescent="0.3">
      <c r="C1148" s="3"/>
      <c r="D1148" s="3"/>
      <c r="E1148" s="3"/>
      <c r="F1148" s="3"/>
    </row>
    <row r="1149" spans="3:6" x14ac:dyDescent="0.3">
      <c r="C1149" s="3"/>
      <c r="D1149" s="3"/>
      <c r="E1149" s="3"/>
      <c r="F1149" s="3"/>
    </row>
    <row r="1150" spans="3:6" x14ac:dyDescent="0.3">
      <c r="C1150" s="3"/>
      <c r="D1150" s="3"/>
      <c r="E1150" s="3"/>
      <c r="F1150" s="3"/>
    </row>
    <row r="1151" spans="3:6" x14ac:dyDescent="0.3">
      <c r="C1151" s="3"/>
      <c r="D1151" s="3"/>
      <c r="E1151" s="3"/>
      <c r="F1151" s="3"/>
    </row>
    <row r="1152" spans="3:6" x14ac:dyDescent="0.3">
      <c r="C1152" s="3"/>
      <c r="D1152" s="3"/>
      <c r="E1152" s="3"/>
      <c r="F1152" s="3"/>
    </row>
    <row r="1153" spans="3:6" x14ac:dyDescent="0.3">
      <c r="C1153" s="3"/>
      <c r="D1153" s="3"/>
      <c r="E1153" s="3"/>
      <c r="F1153" s="3"/>
    </row>
    <row r="1154" spans="3:6" x14ac:dyDescent="0.3">
      <c r="C1154" s="3"/>
      <c r="D1154" s="3"/>
      <c r="E1154" s="3"/>
      <c r="F1154" s="3"/>
    </row>
    <row r="1155" spans="3:6" x14ac:dyDescent="0.3">
      <c r="C1155" s="3"/>
      <c r="D1155" s="3"/>
      <c r="E1155" s="3"/>
      <c r="F1155" s="3"/>
    </row>
    <row r="1156" spans="3:6" x14ac:dyDescent="0.3">
      <c r="C1156" s="3"/>
      <c r="D1156" s="3"/>
      <c r="E1156" s="3"/>
      <c r="F1156" s="3"/>
    </row>
    <row r="1157" spans="3:6" x14ac:dyDescent="0.3">
      <c r="C1157" s="3"/>
      <c r="D1157" s="3"/>
      <c r="E1157" s="3"/>
      <c r="F1157" s="3"/>
    </row>
    <row r="1158" spans="3:6" x14ac:dyDescent="0.3">
      <c r="C1158" s="3"/>
      <c r="D1158" s="3"/>
      <c r="E1158" s="3"/>
      <c r="F1158" s="3"/>
    </row>
    <row r="1159" spans="3:6" x14ac:dyDescent="0.3">
      <c r="C1159" s="3"/>
      <c r="D1159" s="3"/>
      <c r="E1159" s="3"/>
      <c r="F1159" s="3"/>
    </row>
    <row r="1160" spans="3:6" x14ac:dyDescent="0.3">
      <c r="C1160" s="3"/>
      <c r="D1160" s="3"/>
      <c r="E1160" s="3"/>
      <c r="F1160" s="3"/>
    </row>
    <row r="1161" spans="3:6" x14ac:dyDescent="0.3">
      <c r="C1161" s="3"/>
      <c r="D1161" s="3"/>
      <c r="E1161" s="3"/>
      <c r="F1161" s="3"/>
    </row>
    <row r="1162" spans="3:6" x14ac:dyDescent="0.3">
      <c r="C1162" s="3"/>
      <c r="D1162" s="3"/>
      <c r="E1162" s="3"/>
      <c r="F1162" s="3"/>
    </row>
    <row r="1163" spans="3:6" x14ac:dyDescent="0.3">
      <c r="C1163" s="3"/>
      <c r="D1163" s="3"/>
      <c r="E1163" s="3"/>
      <c r="F1163" s="3"/>
    </row>
    <row r="1164" spans="3:6" x14ac:dyDescent="0.3">
      <c r="C1164" s="3"/>
      <c r="D1164" s="3"/>
      <c r="E1164" s="3"/>
      <c r="F1164" s="3"/>
    </row>
    <row r="1165" spans="3:6" x14ac:dyDescent="0.3">
      <c r="C1165" s="3"/>
      <c r="D1165" s="3"/>
      <c r="E1165" s="3"/>
      <c r="F1165" s="3"/>
    </row>
    <row r="1166" spans="3:6" x14ac:dyDescent="0.3">
      <c r="C1166" s="3"/>
      <c r="D1166" s="3"/>
      <c r="E1166" s="3"/>
      <c r="F1166" s="3"/>
    </row>
    <row r="1167" spans="3:6" x14ac:dyDescent="0.3">
      <c r="C1167" s="3"/>
      <c r="D1167" s="3"/>
      <c r="E1167" s="3"/>
      <c r="F1167" s="3"/>
    </row>
    <row r="1168" spans="3:6" x14ac:dyDescent="0.3">
      <c r="C1168" s="3"/>
      <c r="D1168" s="3"/>
      <c r="E1168" s="3"/>
      <c r="F1168" s="3"/>
    </row>
    <row r="1169" spans="3:6" x14ac:dyDescent="0.3">
      <c r="C1169" s="3"/>
      <c r="D1169" s="3"/>
      <c r="E1169" s="3"/>
      <c r="F1169" s="3"/>
    </row>
    <row r="1170" spans="3:6" x14ac:dyDescent="0.3">
      <c r="C1170" s="3"/>
      <c r="D1170" s="3"/>
      <c r="E1170" s="3"/>
      <c r="F1170" s="3"/>
    </row>
    <row r="1171" spans="3:6" x14ac:dyDescent="0.3">
      <c r="C1171" s="3"/>
      <c r="D1171" s="3"/>
      <c r="E1171" s="3"/>
      <c r="F1171" s="3"/>
    </row>
    <row r="1172" spans="3:6" x14ac:dyDescent="0.3">
      <c r="C1172" s="3"/>
      <c r="D1172" s="3"/>
      <c r="E1172" s="3"/>
      <c r="F1172" s="3"/>
    </row>
    <row r="1173" spans="3:6" x14ac:dyDescent="0.3">
      <c r="C1173" s="3"/>
      <c r="D1173" s="3"/>
      <c r="E1173" s="3"/>
      <c r="F1173" s="3"/>
    </row>
    <row r="1174" spans="3:6" x14ac:dyDescent="0.3">
      <c r="C1174" s="3"/>
      <c r="D1174" s="3"/>
      <c r="E1174" s="3"/>
      <c r="F1174" s="3"/>
    </row>
    <row r="1175" spans="3:6" x14ac:dyDescent="0.3">
      <c r="C1175" s="3"/>
      <c r="D1175" s="3"/>
      <c r="E1175" s="3"/>
      <c r="F1175" s="3"/>
    </row>
    <row r="1176" spans="3:6" x14ac:dyDescent="0.3">
      <c r="C1176" s="3"/>
      <c r="D1176" s="3"/>
      <c r="E1176" s="3"/>
      <c r="F1176" s="3"/>
    </row>
    <row r="1177" spans="3:6" x14ac:dyDescent="0.3">
      <c r="C1177" s="3"/>
      <c r="D1177" s="3"/>
      <c r="E1177" s="3"/>
      <c r="F1177" s="3"/>
    </row>
    <row r="1178" spans="3:6" x14ac:dyDescent="0.3">
      <c r="C1178" s="3"/>
      <c r="D1178" s="3"/>
      <c r="E1178" s="3"/>
      <c r="F1178" s="3"/>
    </row>
    <row r="1179" spans="3:6" x14ac:dyDescent="0.3">
      <c r="C1179" s="3"/>
      <c r="D1179" s="3"/>
      <c r="E1179" s="3"/>
      <c r="F1179" s="3"/>
    </row>
    <row r="1180" spans="3:6" x14ac:dyDescent="0.3">
      <c r="C1180" s="3"/>
      <c r="D1180" s="3"/>
      <c r="E1180" s="3"/>
      <c r="F1180" s="3"/>
    </row>
    <row r="1181" spans="3:6" x14ac:dyDescent="0.3">
      <c r="C1181" s="3"/>
      <c r="D1181" s="3"/>
      <c r="E1181" s="3"/>
      <c r="F1181" s="3"/>
    </row>
    <row r="1182" spans="3:6" x14ac:dyDescent="0.3">
      <c r="C1182" s="3"/>
      <c r="D1182" s="3"/>
      <c r="E1182" s="3"/>
      <c r="F1182" s="3"/>
    </row>
    <row r="1183" spans="3:6" x14ac:dyDescent="0.3">
      <c r="C1183" s="3"/>
      <c r="D1183" s="3"/>
      <c r="E1183" s="3"/>
      <c r="F1183" s="3"/>
    </row>
    <row r="1184" spans="3:6" x14ac:dyDescent="0.3">
      <c r="C1184" s="3"/>
      <c r="D1184" s="3"/>
      <c r="E1184" s="3"/>
      <c r="F1184" s="3"/>
    </row>
    <row r="1185" spans="3:6" x14ac:dyDescent="0.3">
      <c r="C1185" s="3"/>
      <c r="D1185" s="3"/>
      <c r="E1185" s="3"/>
      <c r="F1185" s="3"/>
    </row>
    <row r="1186" spans="3:6" x14ac:dyDescent="0.3">
      <c r="C1186" s="3"/>
      <c r="D1186" s="3"/>
      <c r="E1186" s="3"/>
      <c r="F1186" s="3"/>
    </row>
    <row r="1187" spans="3:6" x14ac:dyDescent="0.3">
      <c r="C1187" s="3"/>
      <c r="D1187" s="3"/>
      <c r="E1187" s="3"/>
      <c r="F1187" s="3"/>
    </row>
    <row r="1188" spans="3:6" x14ac:dyDescent="0.3">
      <c r="C1188" s="3"/>
      <c r="D1188" s="3"/>
      <c r="E1188" s="3"/>
      <c r="F1188" s="3"/>
    </row>
    <row r="1189" spans="3:6" x14ac:dyDescent="0.3">
      <c r="C1189" s="3"/>
      <c r="D1189" s="3"/>
      <c r="E1189" s="3"/>
      <c r="F1189" s="3"/>
    </row>
    <row r="1190" spans="3:6" x14ac:dyDescent="0.3">
      <c r="C1190" s="3"/>
      <c r="D1190" s="3"/>
      <c r="E1190" s="3"/>
      <c r="F1190" s="3"/>
    </row>
    <row r="1191" spans="3:6" x14ac:dyDescent="0.3">
      <c r="C1191" s="3"/>
      <c r="D1191" s="3"/>
      <c r="E1191" s="3"/>
      <c r="F1191" s="3"/>
    </row>
    <row r="1192" spans="3:6" x14ac:dyDescent="0.3">
      <c r="C1192" s="3"/>
      <c r="D1192" s="3"/>
      <c r="E1192" s="3"/>
      <c r="F1192" s="3"/>
    </row>
    <row r="1193" spans="3:6" x14ac:dyDescent="0.3">
      <c r="C1193" s="3"/>
      <c r="D1193" s="3"/>
      <c r="E1193" s="3"/>
      <c r="F1193" s="3"/>
    </row>
    <row r="1194" spans="3:6" x14ac:dyDescent="0.3">
      <c r="C1194" s="3"/>
      <c r="D1194" s="3"/>
      <c r="E1194" s="3"/>
      <c r="F1194" s="3"/>
    </row>
    <row r="1195" spans="3:6" x14ac:dyDescent="0.3">
      <c r="C1195" s="3"/>
      <c r="D1195" s="3"/>
      <c r="E1195" s="3"/>
      <c r="F1195" s="3"/>
    </row>
    <row r="1196" spans="3:6" x14ac:dyDescent="0.3">
      <c r="C1196" s="3"/>
      <c r="D1196" s="3"/>
      <c r="E1196" s="3"/>
      <c r="F1196" s="3"/>
    </row>
    <row r="1197" spans="3:6" x14ac:dyDescent="0.3">
      <c r="C1197" s="3"/>
      <c r="D1197" s="3"/>
      <c r="E1197" s="3"/>
      <c r="F1197" s="3"/>
    </row>
    <row r="1198" spans="3:6" x14ac:dyDescent="0.3">
      <c r="C1198" s="3"/>
      <c r="D1198" s="3"/>
      <c r="E1198" s="3"/>
      <c r="F1198" s="3"/>
    </row>
    <row r="1199" spans="3:6" x14ac:dyDescent="0.3">
      <c r="C1199" s="3"/>
      <c r="D1199" s="3"/>
      <c r="E1199" s="3"/>
      <c r="F1199" s="3"/>
    </row>
    <row r="1200" spans="3:6" x14ac:dyDescent="0.3">
      <c r="C1200" s="3"/>
      <c r="D1200" s="3"/>
      <c r="E1200" s="3"/>
      <c r="F1200" s="3"/>
    </row>
    <row r="1201" spans="3:6" x14ac:dyDescent="0.3">
      <c r="C1201" s="3"/>
      <c r="D1201" s="3"/>
      <c r="E1201" s="3"/>
      <c r="F1201" s="3"/>
    </row>
    <row r="1202" spans="3:6" x14ac:dyDescent="0.3">
      <c r="C1202" s="3"/>
      <c r="D1202" s="3"/>
      <c r="E1202" s="3"/>
      <c r="F1202" s="3"/>
    </row>
    <row r="1203" spans="3:6" x14ac:dyDescent="0.3">
      <c r="C1203" s="3"/>
      <c r="D1203" s="3"/>
      <c r="E1203" s="3"/>
      <c r="F1203" s="3"/>
    </row>
    <row r="1204" spans="3:6" x14ac:dyDescent="0.3">
      <c r="C1204" s="3"/>
      <c r="D1204" s="3"/>
      <c r="E1204" s="3"/>
      <c r="F1204" s="3"/>
    </row>
    <row r="1205" spans="3:6" x14ac:dyDescent="0.3">
      <c r="C1205" s="3"/>
      <c r="D1205" s="3"/>
      <c r="E1205" s="3"/>
      <c r="F1205" s="3"/>
    </row>
    <row r="1206" spans="3:6" x14ac:dyDescent="0.3">
      <c r="C1206" s="3"/>
      <c r="D1206" s="3"/>
      <c r="E1206" s="3"/>
      <c r="F1206" s="3"/>
    </row>
    <row r="1207" spans="3:6" x14ac:dyDescent="0.3">
      <c r="C1207" s="3"/>
      <c r="D1207" s="3"/>
      <c r="E1207" s="3"/>
      <c r="F1207" s="3"/>
    </row>
    <row r="1208" spans="3:6" x14ac:dyDescent="0.3">
      <c r="C1208" s="3"/>
      <c r="D1208" s="3"/>
      <c r="E1208" s="3"/>
      <c r="F1208" s="3"/>
    </row>
    <row r="1209" spans="3:6" x14ac:dyDescent="0.3">
      <c r="C1209" s="3"/>
      <c r="D1209" s="3"/>
      <c r="E1209" s="3"/>
      <c r="F1209" s="3"/>
    </row>
    <row r="1210" spans="3:6" x14ac:dyDescent="0.3">
      <c r="C1210" s="3"/>
      <c r="D1210" s="3"/>
      <c r="E1210" s="3"/>
      <c r="F1210" s="3"/>
    </row>
    <row r="1211" spans="3:6" x14ac:dyDescent="0.3">
      <c r="C1211" s="3"/>
      <c r="D1211" s="3"/>
      <c r="E1211" s="3"/>
      <c r="F1211" s="3"/>
    </row>
    <row r="1212" spans="3:6" x14ac:dyDescent="0.3">
      <c r="C1212" s="3"/>
      <c r="D1212" s="3"/>
      <c r="E1212" s="3"/>
      <c r="F1212" s="3"/>
    </row>
    <row r="1213" spans="3:6" x14ac:dyDescent="0.3">
      <c r="C1213" s="3"/>
      <c r="D1213" s="3"/>
      <c r="E1213" s="3"/>
      <c r="F1213" s="3"/>
    </row>
    <row r="1214" spans="3:6" x14ac:dyDescent="0.3">
      <c r="C1214" s="3"/>
      <c r="D1214" s="3"/>
      <c r="E1214" s="3"/>
      <c r="F1214" s="3"/>
    </row>
    <row r="1215" spans="3:6" x14ac:dyDescent="0.3">
      <c r="C1215" s="3"/>
      <c r="D1215" s="3"/>
      <c r="E1215" s="3"/>
      <c r="F1215" s="3"/>
    </row>
    <row r="1216" spans="3:6" x14ac:dyDescent="0.3">
      <c r="C1216" s="3"/>
      <c r="D1216" s="3"/>
      <c r="E1216" s="3"/>
      <c r="F1216" s="3"/>
    </row>
    <row r="1217" spans="3:6" x14ac:dyDescent="0.3">
      <c r="C1217" s="3"/>
      <c r="D1217" s="3"/>
      <c r="E1217" s="3"/>
      <c r="F1217" s="3"/>
    </row>
    <row r="1218" spans="3:6" x14ac:dyDescent="0.3">
      <c r="C1218" s="3"/>
      <c r="D1218" s="3"/>
      <c r="E1218" s="3"/>
      <c r="F1218" s="3"/>
    </row>
    <row r="1219" spans="3:6" x14ac:dyDescent="0.3">
      <c r="C1219" s="3"/>
      <c r="D1219" s="3"/>
      <c r="E1219" s="3"/>
      <c r="F1219" s="3"/>
    </row>
    <row r="1220" spans="3:6" x14ac:dyDescent="0.3">
      <c r="C1220" s="3"/>
      <c r="D1220" s="3"/>
      <c r="E1220" s="3"/>
      <c r="F1220" s="3"/>
    </row>
    <row r="1221" spans="3:6" x14ac:dyDescent="0.3">
      <c r="C1221" s="3"/>
      <c r="D1221" s="3"/>
      <c r="E1221" s="3"/>
      <c r="F1221" s="3"/>
    </row>
    <row r="1222" spans="3:6" x14ac:dyDescent="0.3">
      <c r="C1222" s="3"/>
      <c r="D1222" s="3"/>
      <c r="E1222" s="3"/>
      <c r="F1222" s="3"/>
    </row>
    <row r="1223" spans="3:6" x14ac:dyDescent="0.3">
      <c r="C1223" s="3"/>
      <c r="D1223" s="3"/>
      <c r="E1223" s="3"/>
      <c r="F1223" s="3"/>
    </row>
    <row r="1224" spans="3:6" x14ac:dyDescent="0.3">
      <c r="C1224" s="3"/>
      <c r="D1224" s="3"/>
      <c r="E1224" s="3"/>
      <c r="F1224" s="3"/>
    </row>
    <row r="1225" spans="3:6" x14ac:dyDescent="0.3">
      <c r="C1225" s="3"/>
      <c r="D1225" s="3"/>
      <c r="E1225" s="3"/>
      <c r="F1225" s="3"/>
    </row>
    <row r="1226" spans="3:6" x14ac:dyDescent="0.3">
      <c r="C1226" s="3"/>
      <c r="D1226" s="3"/>
      <c r="E1226" s="3"/>
      <c r="F1226" s="3"/>
    </row>
    <row r="1227" spans="3:6" x14ac:dyDescent="0.3">
      <c r="C1227" s="3"/>
      <c r="D1227" s="3"/>
      <c r="E1227" s="3"/>
      <c r="F1227" s="3"/>
    </row>
    <row r="1228" spans="3:6" x14ac:dyDescent="0.3">
      <c r="C1228" s="3"/>
      <c r="D1228" s="3"/>
      <c r="E1228" s="3"/>
      <c r="F1228" s="3"/>
    </row>
    <row r="1229" spans="3:6" x14ac:dyDescent="0.3">
      <c r="C1229" s="3"/>
      <c r="D1229" s="3"/>
      <c r="E1229" s="3"/>
      <c r="F1229" s="3"/>
    </row>
    <row r="1230" spans="3:6" x14ac:dyDescent="0.3">
      <c r="C1230" s="3"/>
      <c r="D1230" s="3"/>
      <c r="E1230" s="3"/>
      <c r="F1230" s="3"/>
    </row>
    <row r="1231" spans="3:6" x14ac:dyDescent="0.3">
      <c r="C1231" s="3"/>
      <c r="D1231" s="3"/>
      <c r="E1231" s="3"/>
      <c r="F1231" s="3"/>
    </row>
    <row r="1232" spans="3:6" x14ac:dyDescent="0.3">
      <c r="C1232" s="3"/>
      <c r="D1232" s="3"/>
      <c r="E1232" s="3"/>
      <c r="F1232" s="3"/>
    </row>
    <row r="1233" spans="3:6" x14ac:dyDescent="0.3">
      <c r="C1233" s="3"/>
      <c r="D1233" s="3"/>
      <c r="E1233" s="3"/>
      <c r="F1233" s="3"/>
    </row>
    <row r="1234" spans="3:6" x14ac:dyDescent="0.3">
      <c r="C1234" s="3"/>
      <c r="D1234" s="3"/>
      <c r="E1234" s="3"/>
      <c r="F1234" s="3"/>
    </row>
    <row r="1235" spans="3:6" x14ac:dyDescent="0.3">
      <c r="C1235" s="3"/>
      <c r="D1235" s="3"/>
      <c r="E1235" s="3"/>
      <c r="F1235" s="3"/>
    </row>
    <row r="1236" spans="3:6" x14ac:dyDescent="0.3">
      <c r="C1236" s="3"/>
      <c r="D1236" s="3"/>
      <c r="E1236" s="3"/>
      <c r="F1236" s="3"/>
    </row>
    <row r="1237" spans="3:6" x14ac:dyDescent="0.3">
      <c r="C1237" s="3"/>
      <c r="D1237" s="3"/>
      <c r="E1237" s="3"/>
      <c r="F1237" s="3"/>
    </row>
    <row r="1238" spans="3:6" x14ac:dyDescent="0.3">
      <c r="C1238" s="3"/>
      <c r="D1238" s="3"/>
      <c r="E1238" s="3"/>
      <c r="F1238" s="3"/>
    </row>
    <row r="1239" spans="3:6" x14ac:dyDescent="0.3">
      <c r="C1239" s="3"/>
      <c r="D1239" s="3"/>
      <c r="E1239" s="3"/>
      <c r="F1239" s="3"/>
    </row>
    <row r="1240" spans="3:6" x14ac:dyDescent="0.3">
      <c r="C1240" s="3"/>
      <c r="D1240" s="3"/>
      <c r="E1240" s="3"/>
      <c r="F1240" s="3"/>
    </row>
    <row r="1241" spans="3:6" x14ac:dyDescent="0.3">
      <c r="C1241" s="3"/>
      <c r="D1241" s="3"/>
      <c r="E1241" s="3"/>
      <c r="F1241" s="3"/>
    </row>
    <row r="1242" spans="3:6" x14ac:dyDescent="0.3">
      <c r="C1242" s="3"/>
      <c r="D1242" s="3"/>
      <c r="E1242" s="3"/>
      <c r="F1242" s="3"/>
    </row>
    <row r="1243" spans="3:6" x14ac:dyDescent="0.3">
      <c r="C1243" s="3"/>
      <c r="D1243" s="3"/>
      <c r="E1243" s="3"/>
      <c r="F1243" s="3"/>
    </row>
    <row r="1244" spans="3:6" x14ac:dyDescent="0.3">
      <c r="C1244" s="3"/>
      <c r="D1244" s="3"/>
      <c r="E1244" s="3"/>
      <c r="F1244" s="3"/>
    </row>
    <row r="1245" spans="3:6" x14ac:dyDescent="0.3">
      <c r="C1245" s="3"/>
      <c r="D1245" s="3"/>
      <c r="E1245" s="3"/>
      <c r="F1245" s="3"/>
    </row>
    <row r="1246" spans="3:6" x14ac:dyDescent="0.3">
      <c r="C1246" s="3"/>
      <c r="D1246" s="3"/>
      <c r="E1246" s="3"/>
      <c r="F1246" s="3"/>
    </row>
    <row r="1247" spans="3:6" x14ac:dyDescent="0.3">
      <c r="C1247" s="3"/>
      <c r="D1247" s="3"/>
      <c r="E1247" s="3"/>
      <c r="F1247" s="3"/>
    </row>
    <row r="1248" spans="3:6" x14ac:dyDescent="0.3">
      <c r="C1248" s="3"/>
      <c r="D1248" s="3"/>
      <c r="E1248" s="3"/>
      <c r="F1248" s="3"/>
    </row>
    <row r="1249" spans="3:6" x14ac:dyDescent="0.3">
      <c r="C1249" s="3"/>
      <c r="D1249" s="3"/>
      <c r="E1249" s="3"/>
      <c r="F1249" s="3"/>
    </row>
    <row r="1250" spans="3:6" x14ac:dyDescent="0.3">
      <c r="C1250" s="3"/>
      <c r="D1250" s="3"/>
      <c r="E1250" s="3"/>
      <c r="F1250" s="3"/>
    </row>
    <row r="1251" spans="3:6" x14ac:dyDescent="0.3">
      <c r="C1251" s="3"/>
      <c r="D1251" s="3"/>
      <c r="E1251" s="3"/>
      <c r="F1251" s="3"/>
    </row>
    <row r="1252" spans="3:6" x14ac:dyDescent="0.3">
      <c r="C1252" s="3"/>
      <c r="D1252" s="3"/>
      <c r="E1252" s="3"/>
      <c r="F1252" s="3"/>
    </row>
    <row r="1253" spans="3:6" x14ac:dyDescent="0.3">
      <c r="C1253" s="3"/>
      <c r="D1253" s="3"/>
      <c r="E1253" s="3"/>
      <c r="F1253" s="3"/>
    </row>
    <row r="1254" spans="3:6" x14ac:dyDescent="0.3">
      <c r="C1254" s="3"/>
      <c r="D1254" s="3"/>
      <c r="E1254" s="3"/>
      <c r="F1254" s="3"/>
    </row>
    <row r="1255" spans="3:6" x14ac:dyDescent="0.3">
      <c r="C1255" s="3"/>
      <c r="D1255" s="3"/>
      <c r="E1255" s="3"/>
      <c r="F1255" s="3"/>
    </row>
    <row r="1256" spans="3:6" x14ac:dyDescent="0.3">
      <c r="C1256" s="3"/>
      <c r="D1256" s="3"/>
      <c r="E1256" s="3"/>
      <c r="F1256" s="3"/>
    </row>
    <row r="1257" spans="3:6" x14ac:dyDescent="0.3">
      <c r="C1257" s="3"/>
      <c r="D1257" s="3"/>
      <c r="E1257" s="3"/>
      <c r="F1257" s="3"/>
    </row>
    <row r="1258" spans="3:6" x14ac:dyDescent="0.3">
      <c r="C1258" s="3"/>
      <c r="D1258" s="3"/>
      <c r="E1258" s="3"/>
      <c r="F1258" s="3"/>
    </row>
    <row r="1259" spans="3:6" x14ac:dyDescent="0.3">
      <c r="C1259" s="3"/>
      <c r="D1259" s="3"/>
      <c r="E1259" s="3"/>
      <c r="F1259" s="3"/>
    </row>
    <row r="1260" spans="3:6" x14ac:dyDescent="0.3">
      <c r="C1260" s="3"/>
      <c r="D1260" s="3"/>
      <c r="E1260" s="3"/>
      <c r="F1260" s="3"/>
    </row>
    <row r="1261" spans="3:6" x14ac:dyDescent="0.3">
      <c r="C1261" s="3"/>
      <c r="D1261" s="3"/>
      <c r="E1261" s="3"/>
      <c r="F1261" s="3"/>
    </row>
    <row r="1262" spans="3:6" x14ac:dyDescent="0.3">
      <c r="C1262" s="3"/>
      <c r="D1262" s="3"/>
      <c r="E1262" s="3"/>
      <c r="F1262" s="3"/>
    </row>
    <row r="1263" spans="3:6" x14ac:dyDescent="0.3">
      <c r="C1263" s="3"/>
      <c r="D1263" s="3"/>
      <c r="E1263" s="3"/>
      <c r="F1263" s="3"/>
    </row>
    <row r="1264" spans="3:6" x14ac:dyDescent="0.3">
      <c r="C1264" s="3"/>
      <c r="D1264" s="3"/>
      <c r="E1264" s="3"/>
      <c r="F1264" s="3"/>
    </row>
    <row r="1265" spans="3:6" x14ac:dyDescent="0.3">
      <c r="C1265" s="3"/>
      <c r="D1265" s="3"/>
      <c r="E1265" s="3"/>
      <c r="F1265" s="3"/>
    </row>
    <row r="1266" spans="3:6" x14ac:dyDescent="0.3">
      <c r="C1266" s="3"/>
      <c r="D1266" s="3"/>
      <c r="E1266" s="3"/>
      <c r="F1266" s="3"/>
    </row>
    <row r="1267" spans="3:6" x14ac:dyDescent="0.3">
      <c r="C1267" s="3"/>
      <c r="D1267" s="3"/>
      <c r="E1267" s="3"/>
      <c r="F1267" s="3"/>
    </row>
    <row r="1268" spans="3:6" x14ac:dyDescent="0.3">
      <c r="C1268" s="3"/>
      <c r="D1268" s="3"/>
      <c r="E1268" s="3"/>
      <c r="F1268" s="3"/>
    </row>
    <row r="1269" spans="3:6" x14ac:dyDescent="0.3">
      <c r="C1269" s="3"/>
      <c r="D1269" s="3"/>
      <c r="E1269" s="3"/>
      <c r="F1269" s="3"/>
    </row>
    <row r="1270" spans="3:6" x14ac:dyDescent="0.3">
      <c r="C1270" s="3"/>
      <c r="D1270" s="3"/>
      <c r="E1270" s="3"/>
      <c r="F1270" s="3"/>
    </row>
    <row r="1271" spans="3:6" x14ac:dyDescent="0.3">
      <c r="C1271" s="3"/>
      <c r="D1271" s="3"/>
      <c r="E1271" s="3"/>
      <c r="F1271" s="3"/>
    </row>
    <row r="1272" spans="3:6" x14ac:dyDescent="0.3">
      <c r="C1272" s="3"/>
      <c r="D1272" s="3"/>
      <c r="E1272" s="3"/>
      <c r="F1272" s="3"/>
    </row>
    <row r="1273" spans="3:6" x14ac:dyDescent="0.3">
      <c r="C1273" s="3"/>
      <c r="D1273" s="3"/>
      <c r="E1273" s="3"/>
      <c r="F1273" s="3"/>
    </row>
    <row r="1274" spans="3:6" x14ac:dyDescent="0.3">
      <c r="C1274" s="3"/>
      <c r="D1274" s="3"/>
      <c r="E1274" s="3"/>
      <c r="F1274" s="3"/>
    </row>
    <row r="1275" spans="3:6" x14ac:dyDescent="0.3">
      <c r="C1275" s="3"/>
      <c r="D1275" s="3"/>
      <c r="E1275" s="3"/>
      <c r="F1275" s="3"/>
    </row>
    <row r="1276" spans="3:6" x14ac:dyDescent="0.3">
      <c r="C1276" s="3"/>
      <c r="D1276" s="3"/>
      <c r="E1276" s="3"/>
      <c r="F1276" s="3"/>
    </row>
    <row r="1277" spans="3:6" x14ac:dyDescent="0.3">
      <c r="C1277" s="3"/>
      <c r="D1277" s="3"/>
      <c r="E1277" s="3"/>
      <c r="F1277" s="3"/>
    </row>
    <row r="1278" spans="3:6" x14ac:dyDescent="0.3">
      <c r="C1278" s="3"/>
      <c r="D1278" s="3"/>
      <c r="E1278" s="3"/>
      <c r="F1278" s="3"/>
    </row>
    <row r="1279" spans="3:6" x14ac:dyDescent="0.3">
      <c r="C1279" s="3"/>
      <c r="D1279" s="3"/>
      <c r="E1279" s="3"/>
      <c r="F1279" s="3"/>
    </row>
    <row r="1280" spans="3:6" x14ac:dyDescent="0.3">
      <c r="C1280" s="3"/>
      <c r="D1280" s="3"/>
      <c r="E1280" s="3"/>
      <c r="F1280" s="3"/>
    </row>
    <row r="1281" spans="3:6" x14ac:dyDescent="0.3">
      <c r="C1281" s="3"/>
      <c r="D1281" s="3"/>
      <c r="E1281" s="3"/>
      <c r="F1281" s="3"/>
    </row>
    <row r="1282" spans="3:6" x14ac:dyDescent="0.3">
      <c r="C1282" s="3"/>
      <c r="D1282" s="3"/>
      <c r="E1282" s="3"/>
      <c r="F1282" s="3"/>
    </row>
    <row r="1283" spans="3:6" x14ac:dyDescent="0.3">
      <c r="C1283" s="3"/>
      <c r="D1283" s="3"/>
      <c r="E1283" s="3"/>
      <c r="F1283" s="3"/>
    </row>
    <row r="1284" spans="3:6" x14ac:dyDescent="0.3">
      <c r="C1284" s="3"/>
      <c r="D1284" s="3"/>
      <c r="E1284" s="3"/>
      <c r="F1284" s="3"/>
    </row>
    <row r="1285" spans="3:6" x14ac:dyDescent="0.3">
      <c r="C1285" s="3"/>
      <c r="D1285" s="3"/>
      <c r="E1285" s="3"/>
      <c r="F1285" s="3"/>
    </row>
    <row r="1286" spans="3:6" x14ac:dyDescent="0.3">
      <c r="C1286" s="3"/>
      <c r="D1286" s="3"/>
      <c r="E1286" s="3"/>
      <c r="F1286" s="3"/>
    </row>
    <row r="1287" spans="3:6" x14ac:dyDescent="0.3">
      <c r="C1287" s="3"/>
      <c r="D1287" s="3"/>
      <c r="E1287" s="3"/>
      <c r="F1287" s="3"/>
    </row>
    <row r="1288" spans="3:6" x14ac:dyDescent="0.3">
      <c r="C1288" s="3"/>
      <c r="D1288" s="3"/>
      <c r="E1288" s="3"/>
      <c r="F1288" s="3"/>
    </row>
    <row r="1289" spans="3:6" x14ac:dyDescent="0.3">
      <c r="C1289" s="3"/>
      <c r="D1289" s="3"/>
      <c r="E1289" s="3"/>
      <c r="F1289" s="3"/>
    </row>
    <row r="1290" spans="3:6" x14ac:dyDescent="0.3">
      <c r="C1290" s="3"/>
      <c r="D1290" s="3"/>
      <c r="E1290" s="3"/>
      <c r="F1290" s="3"/>
    </row>
    <row r="1291" spans="3:6" x14ac:dyDescent="0.3">
      <c r="C1291" s="3"/>
      <c r="D1291" s="3"/>
      <c r="E1291" s="3"/>
      <c r="F1291" s="3"/>
    </row>
    <row r="1292" spans="3:6" x14ac:dyDescent="0.3">
      <c r="C1292" s="3"/>
      <c r="D1292" s="3"/>
      <c r="E1292" s="3"/>
      <c r="F1292" s="3"/>
    </row>
    <row r="1293" spans="3:6" x14ac:dyDescent="0.3">
      <c r="C1293" s="3"/>
      <c r="D1293" s="3"/>
      <c r="E1293" s="3"/>
      <c r="F1293" s="3"/>
    </row>
    <row r="1294" spans="3:6" x14ac:dyDescent="0.3">
      <c r="C1294" s="3"/>
      <c r="D1294" s="3"/>
      <c r="E1294" s="3"/>
      <c r="F1294" s="3"/>
    </row>
    <row r="1295" spans="3:6" x14ac:dyDescent="0.3">
      <c r="C1295" s="3"/>
      <c r="D1295" s="3"/>
      <c r="E1295" s="3"/>
      <c r="F1295" s="3"/>
    </row>
    <row r="1296" spans="3:6" x14ac:dyDescent="0.3">
      <c r="C1296" s="3"/>
      <c r="D1296" s="3"/>
      <c r="E1296" s="3"/>
      <c r="F1296" s="3"/>
    </row>
    <row r="1297" spans="3:6" x14ac:dyDescent="0.3">
      <c r="C1297" s="3"/>
      <c r="D1297" s="3"/>
      <c r="E1297" s="3"/>
      <c r="F1297" s="3"/>
    </row>
    <row r="1298" spans="3:6" x14ac:dyDescent="0.3">
      <c r="C1298" s="3"/>
      <c r="D1298" s="3"/>
      <c r="E1298" s="3"/>
      <c r="F1298" s="3"/>
    </row>
    <row r="1299" spans="3:6" x14ac:dyDescent="0.3">
      <c r="C1299" s="3"/>
      <c r="D1299" s="3"/>
      <c r="E1299" s="3"/>
      <c r="F1299" s="3"/>
    </row>
    <row r="1300" spans="3:6" x14ac:dyDescent="0.3">
      <c r="C1300" s="3"/>
      <c r="D1300" s="3"/>
      <c r="E1300" s="3"/>
      <c r="F1300" s="3"/>
    </row>
    <row r="1301" spans="3:6" x14ac:dyDescent="0.3">
      <c r="C1301" s="3"/>
      <c r="D1301" s="3"/>
      <c r="E1301" s="3"/>
      <c r="F1301" s="3"/>
    </row>
    <row r="1302" spans="3:6" x14ac:dyDescent="0.3">
      <c r="C1302" s="3"/>
      <c r="D1302" s="3"/>
      <c r="E1302" s="3"/>
      <c r="F1302" s="3"/>
    </row>
    <row r="1303" spans="3:6" x14ac:dyDescent="0.3">
      <c r="C1303" s="3"/>
      <c r="D1303" s="3"/>
      <c r="E1303" s="3"/>
      <c r="F1303" s="3"/>
    </row>
    <row r="1304" spans="3:6" x14ac:dyDescent="0.3">
      <c r="C1304" s="3"/>
      <c r="D1304" s="3"/>
      <c r="E1304" s="3"/>
      <c r="F1304" s="3"/>
    </row>
    <row r="1305" spans="3:6" x14ac:dyDescent="0.3">
      <c r="C1305" s="3"/>
      <c r="D1305" s="3"/>
      <c r="E1305" s="3"/>
      <c r="F1305" s="3"/>
    </row>
    <row r="1306" spans="3:6" x14ac:dyDescent="0.3">
      <c r="C1306" s="3"/>
      <c r="D1306" s="3"/>
      <c r="E1306" s="3"/>
      <c r="F1306" s="3"/>
    </row>
    <row r="1307" spans="3:6" x14ac:dyDescent="0.3">
      <c r="C1307" s="3"/>
      <c r="D1307" s="3"/>
      <c r="E1307" s="3"/>
      <c r="F1307" s="3"/>
    </row>
    <row r="1308" spans="3:6" x14ac:dyDescent="0.3">
      <c r="C1308" s="3"/>
      <c r="D1308" s="3"/>
      <c r="E1308" s="3"/>
      <c r="F1308" s="3"/>
    </row>
    <row r="1309" spans="3:6" x14ac:dyDescent="0.3">
      <c r="C1309" s="3"/>
      <c r="D1309" s="3"/>
      <c r="E1309" s="3"/>
      <c r="F1309" s="3"/>
    </row>
    <row r="1310" spans="3:6" x14ac:dyDescent="0.3">
      <c r="C1310" s="3"/>
      <c r="D1310" s="3"/>
      <c r="E1310" s="3"/>
      <c r="F1310" s="3"/>
    </row>
    <row r="1311" spans="3:6" x14ac:dyDescent="0.3">
      <c r="C1311" s="3"/>
      <c r="D1311" s="3"/>
      <c r="E1311" s="3"/>
      <c r="F1311" s="3"/>
    </row>
    <row r="1312" spans="3:6" x14ac:dyDescent="0.3">
      <c r="C1312" s="3"/>
      <c r="D1312" s="3"/>
      <c r="E1312" s="3"/>
      <c r="F1312" s="3"/>
    </row>
    <row r="1313" spans="3:6" x14ac:dyDescent="0.3">
      <c r="C1313" s="3"/>
      <c r="D1313" s="3"/>
      <c r="E1313" s="3"/>
      <c r="F1313" s="3"/>
    </row>
    <row r="1314" spans="3:6" x14ac:dyDescent="0.3">
      <c r="C1314" s="3"/>
      <c r="D1314" s="3"/>
      <c r="E1314" s="3"/>
      <c r="F1314" s="3"/>
    </row>
    <row r="1315" spans="3:6" x14ac:dyDescent="0.3">
      <c r="C1315" s="3"/>
      <c r="D1315" s="3"/>
      <c r="E1315" s="3"/>
      <c r="F1315" s="3"/>
    </row>
    <row r="1316" spans="3:6" x14ac:dyDescent="0.3">
      <c r="C1316" s="3"/>
      <c r="D1316" s="3"/>
      <c r="E1316" s="3"/>
      <c r="F1316" s="3"/>
    </row>
    <row r="1317" spans="3:6" x14ac:dyDescent="0.3">
      <c r="C1317" s="3"/>
      <c r="D1317" s="3"/>
      <c r="E1317" s="3"/>
      <c r="F1317" s="3"/>
    </row>
    <row r="1318" spans="3:6" x14ac:dyDescent="0.3">
      <c r="C1318" s="3"/>
      <c r="D1318" s="3"/>
      <c r="E1318" s="3"/>
      <c r="F1318" s="3"/>
    </row>
    <row r="1319" spans="3:6" x14ac:dyDescent="0.3">
      <c r="C1319" s="3"/>
      <c r="D1319" s="3"/>
      <c r="E1319" s="3"/>
      <c r="F1319" s="3"/>
    </row>
    <row r="1320" spans="3:6" x14ac:dyDescent="0.3">
      <c r="C1320" s="3"/>
      <c r="D1320" s="3"/>
      <c r="E1320" s="3"/>
      <c r="F1320" s="3"/>
    </row>
    <row r="1321" spans="3:6" x14ac:dyDescent="0.3">
      <c r="C1321" s="3"/>
      <c r="D1321" s="3"/>
      <c r="E1321" s="3"/>
      <c r="F1321" s="3"/>
    </row>
    <row r="1322" spans="3:6" x14ac:dyDescent="0.3">
      <c r="C1322" s="3"/>
      <c r="D1322" s="3"/>
      <c r="E1322" s="3"/>
      <c r="F1322" s="3"/>
    </row>
    <row r="1323" spans="3:6" x14ac:dyDescent="0.3">
      <c r="C1323" s="3"/>
      <c r="D1323" s="3"/>
      <c r="E1323" s="3"/>
      <c r="F1323" s="3"/>
    </row>
    <row r="1324" spans="3:6" x14ac:dyDescent="0.3">
      <c r="C1324" s="3"/>
      <c r="D1324" s="3"/>
      <c r="E1324" s="3"/>
      <c r="F1324" s="3"/>
    </row>
    <row r="1325" spans="3:6" x14ac:dyDescent="0.3">
      <c r="C1325" s="3"/>
      <c r="D1325" s="3"/>
      <c r="E1325" s="3"/>
      <c r="F1325" s="3"/>
    </row>
    <row r="1326" spans="3:6" x14ac:dyDescent="0.3">
      <c r="C1326" s="3"/>
      <c r="D1326" s="3"/>
      <c r="E1326" s="3"/>
      <c r="F1326" s="3"/>
    </row>
    <row r="1327" spans="3:6" x14ac:dyDescent="0.3">
      <c r="C1327" s="3"/>
      <c r="D1327" s="3"/>
      <c r="E1327" s="3"/>
      <c r="F1327" s="3"/>
    </row>
    <row r="1328" spans="3:6" x14ac:dyDescent="0.3">
      <c r="C1328" s="3"/>
      <c r="D1328" s="3"/>
      <c r="E1328" s="3"/>
      <c r="F1328" s="3"/>
    </row>
    <row r="1329" spans="3:6" x14ac:dyDescent="0.3">
      <c r="C1329" s="3"/>
      <c r="D1329" s="3"/>
      <c r="E1329" s="3"/>
      <c r="F1329" s="3"/>
    </row>
    <row r="1330" spans="3:6" x14ac:dyDescent="0.3">
      <c r="C1330" s="3"/>
      <c r="D1330" s="3"/>
      <c r="E1330" s="3"/>
      <c r="F1330" s="3"/>
    </row>
    <row r="1331" spans="3:6" x14ac:dyDescent="0.3">
      <c r="C1331" s="3"/>
      <c r="D1331" s="3"/>
      <c r="E1331" s="3"/>
      <c r="F1331" s="3"/>
    </row>
    <row r="1332" spans="3:6" x14ac:dyDescent="0.3">
      <c r="C1332" s="3"/>
      <c r="D1332" s="3"/>
      <c r="E1332" s="3"/>
      <c r="F1332" s="3"/>
    </row>
    <row r="1333" spans="3:6" x14ac:dyDescent="0.3">
      <c r="C1333" s="3"/>
      <c r="D1333" s="3"/>
      <c r="E1333" s="3"/>
      <c r="F1333" s="3"/>
    </row>
    <row r="1334" spans="3:6" x14ac:dyDescent="0.3">
      <c r="C1334" s="3"/>
      <c r="D1334" s="3"/>
      <c r="E1334" s="3"/>
      <c r="F1334" s="3"/>
    </row>
    <row r="1335" spans="3:6" x14ac:dyDescent="0.3">
      <c r="C1335" s="3"/>
      <c r="D1335" s="3"/>
      <c r="E1335" s="3"/>
      <c r="F1335" s="3"/>
    </row>
    <row r="1336" spans="3:6" x14ac:dyDescent="0.3">
      <c r="C1336" s="3"/>
      <c r="D1336" s="3"/>
      <c r="E1336" s="3"/>
      <c r="F1336" s="3"/>
    </row>
    <row r="1337" spans="3:6" x14ac:dyDescent="0.3">
      <c r="C1337" s="3"/>
      <c r="D1337" s="3"/>
      <c r="E1337" s="3"/>
      <c r="F1337" s="3"/>
    </row>
    <row r="1338" spans="3:6" x14ac:dyDescent="0.3">
      <c r="C1338" s="3"/>
      <c r="D1338" s="3"/>
      <c r="E1338" s="3"/>
      <c r="F1338" s="3"/>
    </row>
    <row r="1339" spans="3:6" x14ac:dyDescent="0.3">
      <c r="C1339" s="3"/>
      <c r="D1339" s="3"/>
      <c r="E1339" s="3"/>
      <c r="F1339" s="3"/>
    </row>
    <row r="1340" spans="3:6" x14ac:dyDescent="0.3">
      <c r="C1340" s="3"/>
      <c r="D1340" s="3"/>
      <c r="E1340" s="3"/>
      <c r="F1340" s="3"/>
    </row>
    <row r="1341" spans="3:6" x14ac:dyDescent="0.3">
      <c r="C1341" s="3"/>
      <c r="D1341" s="3"/>
      <c r="E1341" s="3"/>
      <c r="F1341" s="3"/>
    </row>
    <row r="1342" spans="3:6" x14ac:dyDescent="0.3">
      <c r="C1342" s="3"/>
      <c r="D1342" s="3"/>
      <c r="E1342" s="3"/>
      <c r="F1342" s="3"/>
    </row>
    <row r="1343" spans="3:6" x14ac:dyDescent="0.3">
      <c r="C1343" s="3"/>
      <c r="D1343" s="3"/>
      <c r="E1343" s="3"/>
      <c r="F1343" s="3"/>
    </row>
    <row r="1344" spans="3:6" x14ac:dyDescent="0.3">
      <c r="C1344" s="3"/>
      <c r="D1344" s="3"/>
      <c r="E1344" s="3"/>
      <c r="F1344" s="3"/>
    </row>
    <row r="1345" spans="3:6" x14ac:dyDescent="0.3">
      <c r="C1345" s="3"/>
      <c r="D1345" s="3"/>
      <c r="E1345" s="3"/>
      <c r="F1345" s="3"/>
    </row>
    <row r="1346" spans="3:6" x14ac:dyDescent="0.3">
      <c r="C1346" s="3"/>
      <c r="D1346" s="3"/>
      <c r="E1346" s="3"/>
      <c r="F1346" s="3"/>
    </row>
    <row r="1347" spans="3:6" x14ac:dyDescent="0.3">
      <c r="C1347" s="3"/>
      <c r="D1347" s="3"/>
      <c r="E1347" s="3"/>
      <c r="F1347" s="3"/>
    </row>
    <row r="1348" spans="3:6" x14ac:dyDescent="0.3">
      <c r="C1348" s="3"/>
      <c r="D1348" s="3"/>
      <c r="E1348" s="3"/>
      <c r="F1348" s="3"/>
    </row>
    <row r="1349" spans="3:6" x14ac:dyDescent="0.3">
      <c r="C1349" s="3"/>
      <c r="D1349" s="3"/>
      <c r="E1349" s="3"/>
      <c r="F1349" s="3"/>
    </row>
    <row r="1350" spans="3:6" x14ac:dyDescent="0.3">
      <c r="C1350" s="3"/>
      <c r="D1350" s="3"/>
      <c r="E1350" s="3"/>
      <c r="F1350" s="3"/>
    </row>
    <row r="1351" spans="3:6" x14ac:dyDescent="0.3">
      <c r="C1351" s="3"/>
      <c r="D1351" s="3"/>
      <c r="E1351" s="3"/>
      <c r="F1351" s="3"/>
    </row>
    <row r="1352" spans="3:6" x14ac:dyDescent="0.3">
      <c r="C1352" s="3"/>
      <c r="D1352" s="3"/>
      <c r="E1352" s="3"/>
      <c r="F1352" s="3"/>
    </row>
    <row r="1353" spans="3:6" x14ac:dyDescent="0.3">
      <c r="C1353" s="3"/>
      <c r="D1353" s="3"/>
      <c r="E1353" s="3"/>
      <c r="F1353" s="3"/>
    </row>
    <row r="1354" spans="3:6" x14ac:dyDescent="0.3">
      <c r="C1354" s="3"/>
      <c r="D1354" s="3"/>
      <c r="E1354" s="3"/>
      <c r="F1354" s="3"/>
    </row>
    <row r="1355" spans="3:6" x14ac:dyDescent="0.3">
      <c r="C1355" s="3"/>
      <c r="D1355" s="3"/>
      <c r="E1355" s="3"/>
      <c r="F1355" s="3"/>
    </row>
    <row r="1356" spans="3:6" x14ac:dyDescent="0.3">
      <c r="C1356" s="3"/>
      <c r="D1356" s="3"/>
      <c r="E1356" s="3"/>
      <c r="F1356" s="3"/>
    </row>
    <row r="1357" spans="3:6" x14ac:dyDescent="0.3">
      <c r="C1357" s="3"/>
      <c r="D1357" s="3"/>
      <c r="E1357" s="3"/>
      <c r="F1357" s="3"/>
    </row>
    <row r="1358" spans="3:6" x14ac:dyDescent="0.3">
      <c r="C1358" s="3"/>
      <c r="D1358" s="3"/>
      <c r="E1358" s="3"/>
      <c r="F1358" s="3"/>
    </row>
    <row r="1359" spans="3:6" x14ac:dyDescent="0.3">
      <c r="C1359" s="3"/>
      <c r="D1359" s="3"/>
      <c r="E1359" s="3"/>
      <c r="F1359" s="3"/>
    </row>
    <row r="1360" spans="3:6" x14ac:dyDescent="0.3">
      <c r="C1360" s="3"/>
      <c r="D1360" s="3"/>
      <c r="E1360" s="3"/>
      <c r="F1360" s="3"/>
    </row>
    <row r="1361" spans="3:6" x14ac:dyDescent="0.3">
      <c r="C1361" s="3"/>
      <c r="D1361" s="3"/>
      <c r="E1361" s="3"/>
      <c r="F1361" s="3"/>
    </row>
    <row r="1362" spans="3:6" x14ac:dyDescent="0.3">
      <c r="C1362" s="3"/>
      <c r="D1362" s="3"/>
      <c r="E1362" s="3"/>
      <c r="F1362" s="3"/>
    </row>
    <row r="1363" spans="3:6" x14ac:dyDescent="0.3">
      <c r="C1363" s="3"/>
      <c r="D1363" s="3"/>
      <c r="E1363" s="3"/>
      <c r="F1363" s="3"/>
    </row>
    <row r="1364" spans="3:6" x14ac:dyDescent="0.3">
      <c r="C1364" s="3"/>
      <c r="D1364" s="3"/>
      <c r="E1364" s="3"/>
      <c r="F1364" s="3"/>
    </row>
    <row r="1365" spans="3:6" x14ac:dyDescent="0.3">
      <c r="C1365" s="3"/>
      <c r="D1365" s="3"/>
      <c r="E1365" s="3"/>
      <c r="F1365" s="3"/>
    </row>
    <row r="1366" spans="3:6" x14ac:dyDescent="0.3">
      <c r="C1366" s="3"/>
      <c r="D1366" s="3"/>
      <c r="E1366" s="3"/>
      <c r="F1366" s="3"/>
    </row>
    <row r="1367" spans="3:6" x14ac:dyDescent="0.3">
      <c r="C1367" s="3"/>
      <c r="D1367" s="3"/>
      <c r="E1367" s="3"/>
      <c r="F1367" s="3"/>
    </row>
    <row r="1368" spans="3:6" x14ac:dyDescent="0.3">
      <c r="C1368" s="3"/>
      <c r="D1368" s="3"/>
      <c r="E1368" s="3"/>
      <c r="F1368" s="3"/>
    </row>
    <row r="1369" spans="3:6" x14ac:dyDescent="0.3">
      <c r="C1369" s="3"/>
      <c r="D1369" s="3"/>
      <c r="E1369" s="3"/>
      <c r="F1369" s="3"/>
    </row>
    <row r="1370" spans="3:6" x14ac:dyDescent="0.3">
      <c r="C1370" s="3"/>
      <c r="D1370" s="3"/>
      <c r="E1370" s="3"/>
      <c r="F1370" s="3"/>
    </row>
    <row r="1371" spans="3:6" x14ac:dyDescent="0.3">
      <c r="C1371" s="3"/>
      <c r="D1371" s="3"/>
      <c r="E1371" s="3"/>
      <c r="F1371" s="3"/>
    </row>
    <row r="1372" spans="3:6" x14ac:dyDescent="0.3">
      <c r="C1372" s="3"/>
      <c r="D1372" s="3"/>
      <c r="E1372" s="3"/>
      <c r="F1372" s="3"/>
    </row>
    <row r="1373" spans="3:6" x14ac:dyDescent="0.3">
      <c r="C1373" s="3"/>
      <c r="D1373" s="3"/>
      <c r="E1373" s="3"/>
      <c r="F1373" s="3"/>
    </row>
    <row r="1374" spans="3:6" x14ac:dyDescent="0.3">
      <c r="C1374" s="3"/>
      <c r="D1374" s="3"/>
      <c r="E1374" s="3"/>
      <c r="F1374" s="3"/>
    </row>
    <row r="1375" spans="3:6" x14ac:dyDescent="0.3">
      <c r="C1375" s="3"/>
      <c r="D1375" s="3"/>
      <c r="E1375" s="3"/>
      <c r="F1375" s="3"/>
    </row>
    <row r="1376" spans="3:6" x14ac:dyDescent="0.3">
      <c r="C1376" s="3"/>
      <c r="D1376" s="3"/>
      <c r="E1376" s="3"/>
      <c r="F1376" s="3"/>
    </row>
    <row r="1377" spans="3:6" x14ac:dyDescent="0.3">
      <c r="C1377" s="3"/>
      <c r="D1377" s="3"/>
      <c r="E1377" s="3"/>
      <c r="F1377" s="3"/>
    </row>
    <row r="1378" spans="3:6" x14ac:dyDescent="0.3">
      <c r="C1378" s="3"/>
      <c r="D1378" s="3"/>
      <c r="E1378" s="3"/>
      <c r="F1378" s="3"/>
    </row>
    <row r="1379" spans="3:6" x14ac:dyDescent="0.3">
      <c r="C1379" s="3"/>
      <c r="D1379" s="3"/>
      <c r="E1379" s="3"/>
      <c r="F1379" s="3"/>
    </row>
    <row r="1380" spans="3:6" x14ac:dyDescent="0.3">
      <c r="C1380" s="3"/>
      <c r="D1380" s="3"/>
      <c r="E1380" s="3"/>
      <c r="F1380" s="3"/>
    </row>
    <row r="1381" spans="3:6" x14ac:dyDescent="0.3">
      <c r="C1381" s="3"/>
      <c r="D1381" s="3"/>
      <c r="E1381" s="3"/>
      <c r="F1381" s="3"/>
    </row>
    <row r="1382" spans="3:6" x14ac:dyDescent="0.3">
      <c r="C1382" s="3"/>
      <c r="D1382" s="3"/>
      <c r="E1382" s="3"/>
      <c r="F1382" s="3"/>
    </row>
    <row r="1383" spans="3:6" x14ac:dyDescent="0.3">
      <c r="C1383" s="3"/>
      <c r="D1383" s="3"/>
      <c r="E1383" s="3"/>
      <c r="F1383" s="3"/>
    </row>
    <row r="1384" spans="3:6" x14ac:dyDescent="0.3">
      <c r="C1384" s="3"/>
      <c r="D1384" s="3"/>
      <c r="E1384" s="3"/>
      <c r="F1384" s="3"/>
    </row>
    <row r="1385" spans="3:6" x14ac:dyDescent="0.3">
      <c r="C1385" s="3"/>
      <c r="D1385" s="3"/>
      <c r="E1385" s="3"/>
      <c r="F1385" s="3"/>
    </row>
    <row r="1386" spans="3:6" x14ac:dyDescent="0.3">
      <c r="C1386" s="3"/>
      <c r="D1386" s="3"/>
      <c r="E1386" s="3"/>
      <c r="F1386" s="3"/>
    </row>
    <row r="1387" spans="3:6" x14ac:dyDescent="0.3">
      <c r="C1387" s="3"/>
      <c r="D1387" s="3"/>
      <c r="E1387" s="3"/>
      <c r="F1387" s="3"/>
    </row>
    <row r="1388" spans="3:6" x14ac:dyDescent="0.3">
      <c r="C1388" s="3"/>
      <c r="D1388" s="3"/>
      <c r="E1388" s="3"/>
      <c r="F1388" s="3"/>
    </row>
    <row r="1389" spans="3:6" x14ac:dyDescent="0.3">
      <c r="C1389" s="3"/>
      <c r="D1389" s="3"/>
      <c r="E1389" s="3"/>
      <c r="F1389" s="3"/>
    </row>
    <row r="1390" spans="3:6" x14ac:dyDescent="0.3">
      <c r="C1390" s="3"/>
      <c r="D1390" s="3"/>
      <c r="E1390" s="3"/>
      <c r="F1390" s="3"/>
    </row>
    <row r="1391" spans="3:6" x14ac:dyDescent="0.3">
      <c r="C1391" s="3"/>
      <c r="D1391" s="3"/>
      <c r="E1391" s="3"/>
      <c r="F1391" s="3"/>
    </row>
    <row r="1392" spans="3:6" x14ac:dyDescent="0.3">
      <c r="C1392" s="3"/>
      <c r="D1392" s="3"/>
      <c r="E1392" s="3"/>
      <c r="F1392" s="3"/>
    </row>
    <row r="1393" spans="3:6" x14ac:dyDescent="0.3">
      <c r="C1393" s="3"/>
      <c r="D1393" s="3"/>
      <c r="E1393" s="3"/>
      <c r="F1393" s="3"/>
    </row>
    <row r="1394" spans="3:6" x14ac:dyDescent="0.3">
      <c r="C1394" s="3"/>
      <c r="D1394" s="3"/>
      <c r="E1394" s="3"/>
      <c r="F1394" s="3"/>
    </row>
    <row r="1395" spans="3:6" x14ac:dyDescent="0.3">
      <c r="C1395" s="3"/>
      <c r="D1395" s="3"/>
      <c r="E1395" s="3"/>
      <c r="F1395" s="3"/>
    </row>
    <row r="1396" spans="3:6" x14ac:dyDescent="0.3">
      <c r="C1396" s="3"/>
      <c r="D1396" s="3"/>
      <c r="E1396" s="3"/>
      <c r="F1396" s="3"/>
    </row>
    <row r="1397" spans="3:6" x14ac:dyDescent="0.3">
      <c r="C1397" s="3"/>
      <c r="D1397" s="3"/>
      <c r="E1397" s="3"/>
      <c r="F1397" s="3"/>
    </row>
    <row r="1398" spans="3:6" x14ac:dyDescent="0.3">
      <c r="C1398" s="3"/>
      <c r="D1398" s="3"/>
      <c r="E1398" s="3"/>
      <c r="F1398" s="3"/>
    </row>
    <row r="1399" spans="3:6" x14ac:dyDescent="0.3">
      <c r="C1399" s="3"/>
      <c r="D1399" s="3"/>
      <c r="E1399" s="3"/>
      <c r="F1399" s="3"/>
    </row>
    <row r="1400" spans="3:6" x14ac:dyDescent="0.3">
      <c r="C1400" s="3"/>
      <c r="D1400" s="3"/>
      <c r="E1400" s="3"/>
      <c r="F1400" s="3"/>
    </row>
    <row r="1401" spans="3:6" x14ac:dyDescent="0.3">
      <c r="C1401" s="3"/>
      <c r="D1401" s="3"/>
      <c r="E1401" s="3"/>
      <c r="F1401" s="3"/>
    </row>
    <row r="1402" spans="3:6" x14ac:dyDescent="0.3">
      <c r="C1402" s="3"/>
      <c r="D1402" s="3"/>
      <c r="E1402" s="3"/>
      <c r="F1402" s="3"/>
    </row>
    <row r="1403" spans="3:6" x14ac:dyDescent="0.3">
      <c r="C1403" s="3"/>
      <c r="D1403" s="3"/>
      <c r="E1403" s="3"/>
      <c r="F1403" s="3"/>
    </row>
    <row r="1404" spans="3:6" x14ac:dyDescent="0.3">
      <c r="C1404" s="3"/>
      <c r="D1404" s="3"/>
      <c r="E1404" s="3"/>
      <c r="F1404" s="3"/>
    </row>
    <row r="1405" spans="3:6" x14ac:dyDescent="0.3">
      <c r="C1405" s="3"/>
      <c r="D1405" s="3"/>
      <c r="E1405" s="3"/>
      <c r="F1405" s="3"/>
    </row>
    <row r="1406" spans="3:6" x14ac:dyDescent="0.3">
      <c r="C1406" s="3"/>
      <c r="D1406" s="3"/>
      <c r="E1406" s="3"/>
      <c r="F1406" s="3"/>
    </row>
    <row r="1407" spans="3:6" x14ac:dyDescent="0.3">
      <c r="C1407" s="3"/>
      <c r="D1407" s="3"/>
      <c r="E1407" s="3"/>
      <c r="F1407" s="3"/>
    </row>
    <row r="1408" spans="3:6" x14ac:dyDescent="0.3">
      <c r="C1408" s="3"/>
      <c r="D1408" s="3"/>
      <c r="E1408" s="3"/>
      <c r="F1408" s="3"/>
    </row>
    <row r="1409" spans="3:6" x14ac:dyDescent="0.3">
      <c r="C1409" s="3"/>
      <c r="D1409" s="3"/>
      <c r="E1409" s="3"/>
      <c r="F1409" s="3"/>
    </row>
    <row r="1410" spans="3:6" x14ac:dyDescent="0.3">
      <c r="C1410" s="3"/>
      <c r="D1410" s="3"/>
      <c r="E1410" s="3"/>
      <c r="F1410" s="3"/>
    </row>
    <row r="1411" spans="3:6" x14ac:dyDescent="0.3">
      <c r="C1411" s="3"/>
      <c r="D1411" s="3"/>
      <c r="E1411" s="3"/>
      <c r="F1411" s="3"/>
    </row>
    <row r="1412" spans="3:6" x14ac:dyDescent="0.3">
      <c r="C1412" s="3"/>
      <c r="D1412" s="3"/>
      <c r="E1412" s="3"/>
      <c r="F1412" s="3"/>
    </row>
    <row r="1413" spans="3:6" x14ac:dyDescent="0.3">
      <c r="C1413" s="3"/>
      <c r="D1413" s="3"/>
      <c r="E1413" s="3"/>
      <c r="F1413" s="3"/>
    </row>
    <row r="1414" spans="3:6" x14ac:dyDescent="0.3">
      <c r="C1414" s="3"/>
      <c r="D1414" s="3"/>
      <c r="E1414" s="3"/>
      <c r="F1414" s="3"/>
    </row>
    <row r="1415" spans="3:6" x14ac:dyDescent="0.3">
      <c r="C1415" s="3"/>
      <c r="D1415" s="3"/>
      <c r="E1415" s="3"/>
      <c r="F1415" s="3"/>
    </row>
    <row r="1416" spans="3:6" x14ac:dyDescent="0.3">
      <c r="C1416" s="3"/>
      <c r="D1416" s="3"/>
      <c r="E1416" s="3"/>
      <c r="F1416" s="3"/>
    </row>
    <row r="1417" spans="3:6" x14ac:dyDescent="0.3">
      <c r="C1417" s="3"/>
      <c r="D1417" s="3"/>
      <c r="E1417" s="3"/>
      <c r="F1417" s="3"/>
    </row>
    <row r="1418" spans="3:6" x14ac:dyDescent="0.3">
      <c r="C1418" s="3"/>
      <c r="D1418" s="3"/>
      <c r="E1418" s="3"/>
      <c r="F1418" s="3"/>
    </row>
    <row r="1419" spans="3:6" x14ac:dyDescent="0.3">
      <c r="C1419" s="3"/>
      <c r="D1419" s="3"/>
      <c r="E1419" s="3"/>
      <c r="F1419" s="3"/>
    </row>
    <row r="1420" spans="3:6" x14ac:dyDescent="0.3">
      <c r="C1420" s="3"/>
      <c r="D1420" s="3"/>
      <c r="E1420" s="3"/>
      <c r="F1420" s="3"/>
    </row>
    <row r="1421" spans="3:6" x14ac:dyDescent="0.3">
      <c r="C1421" s="3"/>
      <c r="D1421" s="3"/>
      <c r="E1421" s="3"/>
      <c r="F1421" s="3"/>
    </row>
    <row r="1422" spans="3:6" x14ac:dyDescent="0.3">
      <c r="C1422" s="3"/>
      <c r="D1422" s="3"/>
      <c r="E1422" s="3"/>
      <c r="F1422" s="3"/>
    </row>
    <row r="1423" spans="3:6" x14ac:dyDescent="0.3">
      <c r="C1423" s="3"/>
      <c r="D1423" s="3"/>
      <c r="E1423" s="3"/>
      <c r="F1423" s="3"/>
    </row>
    <row r="1424" spans="3:6" x14ac:dyDescent="0.3">
      <c r="C1424" s="3"/>
      <c r="D1424" s="3"/>
      <c r="E1424" s="3"/>
      <c r="F1424" s="3"/>
    </row>
    <row r="1425" spans="3:6" x14ac:dyDescent="0.3">
      <c r="C1425" s="3"/>
      <c r="D1425" s="3"/>
      <c r="E1425" s="3"/>
      <c r="F1425" s="3"/>
    </row>
    <row r="1426" spans="3:6" x14ac:dyDescent="0.3">
      <c r="C1426" s="3"/>
      <c r="D1426" s="3"/>
      <c r="E1426" s="3"/>
      <c r="F1426" s="3"/>
    </row>
    <row r="1427" spans="3:6" x14ac:dyDescent="0.3">
      <c r="C1427" s="3"/>
      <c r="D1427" s="3"/>
      <c r="E1427" s="3"/>
      <c r="F1427" s="3"/>
    </row>
    <row r="1428" spans="3:6" x14ac:dyDescent="0.3">
      <c r="C1428" s="3"/>
      <c r="D1428" s="3"/>
      <c r="E1428" s="3"/>
      <c r="F1428" s="3"/>
    </row>
    <row r="1429" spans="3:6" x14ac:dyDescent="0.3">
      <c r="C1429" s="3"/>
      <c r="D1429" s="3"/>
      <c r="E1429" s="3"/>
      <c r="F1429" s="3"/>
    </row>
    <row r="1430" spans="3:6" x14ac:dyDescent="0.3">
      <c r="C1430" s="3"/>
      <c r="D1430" s="3"/>
      <c r="E1430" s="3"/>
      <c r="F1430" s="3"/>
    </row>
    <row r="1431" spans="3:6" x14ac:dyDescent="0.3">
      <c r="C1431" s="3"/>
      <c r="D1431" s="3"/>
      <c r="E1431" s="3"/>
      <c r="F1431" s="3"/>
    </row>
    <row r="1432" spans="3:6" x14ac:dyDescent="0.3">
      <c r="C1432" s="3"/>
      <c r="D1432" s="3"/>
      <c r="E1432" s="3"/>
      <c r="F1432" s="3"/>
    </row>
    <row r="1433" spans="3:6" x14ac:dyDescent="0.3">
      <c r="C1433" s="3"/>
      <c r="D1433" s="3"/>
      <c r="E1433" s="3"/>
      <c r="F1433" s="3"/>
    </row>
    <row r="1434" spans="3:6" x14ac:dyDescent="0.3">
      <c r="C1434" s="3"/>
      <c r="D1434" s="3"/>
      <c r="E1434" s="3"/>
      <c r="F1434" s="3"/>
    </row>
    <row r="1435" spans="3:6" x14ac:dyDescent="0.3">
      <c r="C1435" s="3"/>
      <c r="D1435" s="3"/>
      <c r="E1435" s="3"/>
      <c r="F1435" s="3"/>
    </row>
    <row r="1436" spans="3:6" x14ac:dyDescent="0.3">
      <c r="C1436" s="3"/>
      <c r="D1436" s="3"/>
      <c r="E1436" s="3"/>
      <c r="F1436" s="3"/>
    </row>
    <row r="1437" spans="3:6" x14ac:dyDescent="0.3">
      <c r="C1437" s="3"/>
      <c r="D1437" s="3"/>
      <c r="E1437" s="3"/>
      <c r="F1437" s="3"/>
    </row>
    <row r="1438" spans="3:6" x14ac:dyDescent="0.3">
      <c r="C1438" s="3"/>
      <c r="D1438" s="3"/>
      <c r="E1438" s="3"/>
      <c r="F1438" s="3"/>
    </row>
    <row r="1439" spans="3:6" x14ac:dyDescent="0.3">
      <c r="C1439" s="3"/>
      <c r="D1439" s="3"/>
      <c r="E1439" s="3"/>
      <c r="F1439" s="3"/>
    </row>
    <row r="1440" spans="3:6" x14ac:dyDescent="0.3">
      <c r="C1440" s="3"/>
      <c r="D1440" s="3"/>
      <c r="E1440" s="3"/>
      <c r="F1440" s="3"/>
    </row>
    <row r="1441" spans="3:6" x14ac:dyDescent="0.3">
      <c r="C1441" s="3"/>
      <c r="D1441" s="3"/>
      <c r="E1441" s="3"/>
      <c r="F1441" s="3"/>
    </row>
    <row r="1442" spans="3:6" x14ac:dyDescent="0.3">
      <c r="C1442" s="3"/>
      <c r="D1442" s="3"/>
      <c r="E1442" s="3"/>
      <c r="F1442" s="3"/>
    </row>
    <row r="1443" spans="3:6" x14ac:dyDescent="0.3">
      <c r="C1443" s="3"/>
      <c r="D1443" s="3"/>
      <c r="E1443" s="3"/>
      <c r="F1443" s="3"/>
    </row>
    <row r="1444" spans="3:6" x14ac:dyDescent="0.3">
      <c r="C1444" s="3"/>
      <c r="D1444" s="3"/>
      <c r="E1444" s="3"/>
      <c r="F1444" s="3"/>
    </row>
    <row r="1445" spans="3:6" x14ac:dyDescent="0.3">
      <c r="C1445" s="3"/>
      <c r="D1445" s="3"/>
      <c r="E1445" s="3"/>
      <c r="F1445" s="3"/>
    </row>
    <row r="1446" spans="3:6" x14ac:dyDescent="0.3">
      <c r="C1446" s="3"/>
      <c r="D1446" s="3"/>
      <c r="E1446" s="3"/>
      <c r="F1446" s="3"/>
    </row>
    <row r="1447" spans="3:6" x14ac:dyDescent="0.3">
      <c r="C1447" s="3"/>
      <c r="D1447" s="3"/>
      <c r="E1447" s="3"/>
      <c r="F1447" s="3"/>
    </row>
    <row r="1448" spans="3:6" x14ac:dyDescent="0.3">
      <c r="C1448" s="3"/>
      <c r="D1448" s="3"/>
      <c r="E1448" s="3"/>
      <c r="F1448" s="3"/>
    </row>
    <row r="1449" spans="3:6" x14ac:dyDescent="0.3">
      <c r="C1449" s="3"/>
      <c r="D1449" s="3"/>
      <c r="E1449" s="3"/>
      <c r="F1449" s="3"/>
    </row>
    <row r="1450" spans="3:6" x14ac:dyDescent="0.3">
      <c r="C1450" s="3"/>
      <c r="D1450" s="3"/>
      <c r="E1450" s="3"/>
      <c r="F1450" s="3"/>
    </row>
    <row r="1451" spans="3:6" x14ac:dyDescent="0.3">
      <c r="C1451" s="3"/>
      <c r="D1451" s="3"/>
      <c r="E1451" s="3"/>
      <c r="F1451" s="3"/>
    </row>
    <row r="1452" spans="3:6" x14ac:dyDescent="0.3">
      <c r="C1452" s="3"/>
      <c r="D1452" s="3"/>
      <c r="E1452" s="3"/>
      <c r="F1452" s="3"/>
    </row>
    <row r="1453" spans="3:6" x14ac:dyDescent="0.3">
      <c r="C1453" s="3"/>
      <c r="D1453" s="3"/>
      <c r="E1453" s="3"/>
      <c r="F1453" s="3"/>
    </row>
    <row r="1454" spans="3:6" x14ac:dyDescent="0.3">
      <c r="C1454" s="3"/>
      <c r="D1454" s="3"/>
      <c r="E1454" s="3"/>
      <c r="F1454" s="3"/>
    </row>
    <row r="1455" spans="3:6" x14ac:dyDescent="0.3">
      <c r="C1455" s="3"/>
      <c r="D1455" s="3"/>
      <c r="E1455" s="3"/>
      <c r="F1455" s="3"/>
    </row>
    <row r="1456" spans="3:6" x14ac:dyDescent="0.3">
      <c r="C1456" s="3"/>
      <c r="D1456" s="3"/>
      <c r="E1456" s="3"/>
      <c r="F1456" s="3"/>
    </row>
    <row r="1457" spans="3:6" x14ac:dyDescent="0.3">
      <c r="C1457" s="3"/>
      <c r="D1457" s="3"/>
      <c r="E1457" s="3"/>
      <c r="F1457" s="3"/>
    </row>
    <row r="1458" spans="3:6" x14ac:dyDescent="0.3">
      <c r="C1458" s="3"/>
      <c r="D1458" s="3"/>
      <c r="E1458" s="3"/>
      <c r="F1458" s="3"/>
    </row>
    <row r="1459" spans="3:6" x14ac:dyDescent="0.3">
      <c r="C1459" s="3"/>
      <c r="D1459" s="3"/>
      <c r="E1459" s="3"/>
      <c r="F1459" s="3"/>
    </row>
    <row r="1460" spans="3:6" x14ac:dyDescent="0.3">
      <c r="C1460" s="3"/>
      <c r="D1460" s="3"/>
      <c r="E1460" s="3"/>
      <c r="F1460" s="3"/>
    </row>
    <row r="1461" spans="3:6" x14ac:dyDescent="0.3">
      <c r="C1461" s="3"/>
      <c r="D1461" s="3"/>
      <c r="E1461" s="3"/>
      <c r="F1461" s="3"/>
    </row>
    <row r="1462" spans="3:6" x14ac:dyDescent="0.3">
      <c r="C1462" s="3"/>
      <c r="D1462" s="3"/>
      <c r="E1462" s="3"/>
      <c r="F1462" s="3"/>
    </row>
    <row r="1463" spans="3:6" x14ac:dyDescent="0.3">
      <c r="C1463" s="3"/>
      <c r="D1463" s="3"/>
      <c r="E1463" s="3"/>
      <c r="F1463" s="3"/>
    </row>
    <row r="1464" spans="3:6" x14ac:dyDescent="0.3">
      <c r="C1464" s="3"/>
      <c r="D1464" s="3"/>
      <c r="E1464" s="3"/>
      <c r="F1464" s="3"/>
    </row>
    <row r="1465" spans="3:6" x14ac:dyDescent="0.3">
      <c r="C1465" s="3"/>
      <c r="D1465" s="3"/>
      <c r="E1465" s="3"/>
      <c r="F1465" s="3"/>
    </row>
    <row r="1466" spans="3:6" x14ac:dyDescent="0.3">
      <c r="C1466" s="3"/>
      <c r="D1466" s="3"/>
      <c r="E1466" s="3"/>
      <c r="F1466" s="3"/>
    </row>
    <row r="1467" spans="3:6" x14ac:dyDescent="0.3">
      <c r="C1467" s="3"/>
      <c r="D1467" s="3"/>
      <c r="E1467" s="3"/>
      <c r="F1467" s="3"/>
    </row>
    <row r="1468" spans="3:6" x14ac:dyDescent="0.3">
      <c r="C1468" s="3"/>
      <c r="D1468" s="3"/>
      <c r="E1468" s="3"/>
      <c r="F1468" s="3"/>
    </row>
    <row r="1469" spans="3:6" x14ac:dyDescent="0.3">
      <c r="C1469" s="3"/>
      <c r="D1469" s="3"/>
      <c r="E1469" s="3"/>
      <c r="F1469" s="3"/>
    </row>
    <row r="1470" spans="3:6" x14ac:dyDescent="0.3">
      <c r="C1470" s="3"/>
      <c r="D1470" s="3"/>
      <c r="E1470" s="3"/>
      <c r="F1470" s="3"/>
    </row>
    <row r="1471" spans="3:6" x14ac:dyDescent="0.3">
      <c r="C1471" s="3"/>
      <c r="D1471" s="3"/>
      <c r="E1471" s="3"/>
      <c r="F1471" s="3"/>
    </row>
    <row r="1472" spans="3:6" x14ac:dyDescent="0.3">
      <c r="C1472" s="3"/>
      <c r="D1472" s="3"/>
      <c r="E1472" s="3"/>
      <c r="F1472" s="3"/>
    </row>
    <row r="1473" spans="3:6" x14ac:dyDescent="0.3">
      <c r="C1473" s="3"/>
      <c r="D1473" s="3"/>
      <c r="E1473" s="3"/>
      <c r="F1473" s="3"/>
    </row>
    <row r="1474" spans="3:6" x14ac:dyDescent="0.3">
      <c r="C1474" s="3"/>
      <c r="D1474" s="3"/>
      <c r="E1474" s="3"/>
      <c r="F1474" s="3"/>
    </row>
    <row r="1475" spans="3:6" x14ac:dyDescent="0.3">
      <c r="C1475" s="3"/>
      <c r="D1475" s="3"/>
      <c r="E1475" s="3"/>
      <c r="F1475" s="3"/>
    </row>
    <row r="1476" spans="3:6" x14ac:dyDescent="0.3">
      <c r="C1476" s="3"/>
      <c r="D1476" s="3"/>
      <c r="E1476" s="3"/>
      <c r="F1476" s="3"/>
    </row>
    <row r="1477" spans="3:6" x14ac:dyDescent="0.3">
      <c r="C1477" s="3"/>
      <c r="D1477" s="3"/>
      <c r="E1477" s="3"/>
      <c r="F1477" s="3"/>
    </row>
    <row r="1478" spans="3:6" x14ac:dyDescent="0.3">
      <c r="C1478" s="3"/>
      <c r="D1478" s="3"/>
      <c r="E1478" s="3"/>
      <c r="F1478" s="3"/>
    </row>
    <row r="1479" spans="3:6" x14ac:dyDescent="0.3">
      <c r="C1479" s="3"/>
      <c r="D1479" s="3"/>
      <c r="E1479" s="3"/>
      <c r="F1479" s="3"/>
    </row>
    <row r="1480" spans="3:6" x14ac:dyDescent="0.3">
      <c r="C1480" s="3"/>
      <c r="D1480" s="3"/>
      <c r="E1480" s="3"/>
      <c r="F1480" s="3"/>
    </row>
    <row r="1481" spans="3:6" x14ac:dyDescent="0.3">
      <c r="C1481" s="3"/>
      <c r="D1481" s="3"/>
      <c r="E1481" s="3"/>
      <c r="F1481" s="3"/>
    </row>
    <row r="1482" spans="3:6" x14ac:dyDescent="0.3">
      <c r="C1482" s="3"/>
      <c r="D1482" s="3"/>
      <c r="E1482" s="3"/>
      <c r="F1482" s="3"/>
    </row>
    <row r="1483" spans="3:6" x14ac:dyDescent="0.3">
      <c r="C1483" s="3"/>
      <c r="D1483" s="3"/>
      <c r="E1483" s="3"/>
      <c r="F1483" s="3"/>
    </row>
    <row r="1484" spans="3:6" x14ac:dyDescent="0.3">
      <c r="C1484" s="3"/>
      <c r="D1484" s="3"/>
      <c r="E1484" s="3"/>
      <c r="F1484" s="3"/>
    </row>
    <row r="1485" spans="3:6" x14ac:dyDescent="0.3">
      <c r="C1485" s="3"/>
      <c r="D1485" s="3"/>
      <c r="E1485" s="3"/>
      <c r="F1485" s="3"/>
    </row>
    <row r="1486" spans="3:6" x14ac:dyDescent="0.3">
      <c r="C1486" s="3"/>
      <c r="D1486" s="3"/>
      <c r="E1486" s="3"/>
      <c r="F1486" s="3"/>
    </row>
    <row r="1487" spans="3:6" x14ac:dyDescent="0.3">
      <c r="C1487" s="3"/>
      <c r="D1487" s="3"/>
      <c r="E1487" s="3"/>
      <c r="F1487" s="3"/>
    </row>
    <row r="1488" spans="3:6" x14ac:dyDescent="0.3">
      <c r="C1488" s="3"/>
      <c r="D1488" s="3"/>
      <c r="E1488" s="3"/>
      <c r="F1488" s="3"/>
    </row>
    <row r="1489" spans="3:6" x14ac:dyDescent="0.3">
      <c r="C1489" s="3"/>
      <c r="D1489" s="3"/>
      <c r="E1489" s="3"/>
      <c r="F1489" s="3"/>
    </row>
    <row r="1490" spans="3:6" x14ac:dyDescent="0.3">
      <c r="C1490" s="3"/>
      <c r="D1490" s="3"/>
      <c r="E1490" s="3"/>
      <c r="F1490" s="3"/>
    </row>
    <row r="1491" spans="3:6" x14ac:dyDescent="0.3">
      <c r="C1491" s="3"/>
      <c r="D1491" s="3"/>
      <c r="E1491" s="3"/>
      <c r="F1491" s="3"/>
    </row>
    <row r="1492" spans="3:6" x14ac:dyDescent="0.3">
      <c r="C1492" s="3"/>
      <c r="D1492" s="3"/>
      <c r="E1492" s="3"/>
      <c r="F1492" s="3"/>
    </row>
    <row r="1493" spans="3:6" x14ac:dyDescent="0.3">
      <c r="C1493" s="3"/>
      <c r="D1493" s="3"/>
      <c r="E1493" s="3"/>
      <c r="F1493" s="3"/>
    </row>
    <row r="1494" spans="3:6" x14ac:dyDescent="0.3">
      <c r="C1494" s="3"/>
      <c r="D1494" s="3"/>
      <c r="E1494" s="3"/>
      <c r="F1494" s="3"/>
    </row>
    <row r="1495" spans="3:6" x14ac:dyDescent="0.3">
      <c r="C1495" s="3"/>
      <c r="D1495" s="3"/>
      <c r="E1495" s="3"/>
      <c r="F1495" s="3"/>
    </row>
    <row r="1496" spans="3:6" x14ac:dyDescent="0.3">
      <c r="C1496" s="3"/>
      <c r="D1496" s="3"/>
      <c r="E1496" s="3"/>
      <c r="F1496" s="3"/>
    </row>
    <row r="1497" spans="3:6" x14ac:dyDescent="0.3">
      <c r="C1497" s="3"/>
      <c r="D1497" s="3"/>
      <c r="E1497" s="3"/>
      <c r="F1497" s="3"/>
    </row>
    <row r="1498" spans="3:6" x14ac:dyDescent="0.3">
      <c r="C1498" s="3"/>
      <c r="D1498" s="3"/>
      <c r="E1498" s="3"/>
      <c r="F1498" s="3"/>
    </row>
    <row r="1499" spans="3:6" x14ac:dyDescent="0.3">
      <c r="C1499" s="3"/>
      <c r="D1499" s="3"/>
      <c r="E1499" s="3"/>
      <c r="F1499" s="3"/>
    </row>
    <row r="1500" spans="3:6" x14ac:dyDescent="0.3">
      <c r="C1500" s="3"/>
      <c r="D1500" s="3"/>
      <c r="E1500" s="3"/>
      <c r="F1500" s="3"/>
    </row>
    <row r="1501" spans="3:6" x14ac:dyDescent="0.3">
      <c r="C1501" s="3"/>
      <c r="D1501" s="3"/>
      <c r="E1501" s="3"/>
      <c r="F1501" s="3"/>
    </row>
    <row r="1502" spans="3:6" x14ac:dyDescent="0.3">
      <c r="C1502" s="3"/>
      <c r="D1502" s="3"/>
      <c r="E1502" s="3"/>
      <c r="F1502" s="3"/>
    </row>
    <row r="1503" spans="3:6" x14ac:dyDescent="0.3">
      <c r="C1503" s="3"/>
      <c r="D1503" s="3"/>
      <c r="E1503" s="3"/>
      <c r="F1503" s="3"/>
    </row>
    <row r="1504" spans="3:6" x14ac:dyDescent="0.3">
      <c r="C1504" s="3"/>
      <c r="D1504" s="3"/>
      <c r="E1504" s="3"/>
      <c r="F1504" s="3"/>
    </row>
    <row r="1505" spans="3:6" x14ac:dyDescent="0.3">
      <c r="C1505" s="3"/>
      <c r="D1505" s="3"/>
      <c r="E1505" s="3"/>
      <c r="F1505" s="3"/>
    </row>
    <row r="1506" spans="3:6" x14ac:dyDescent="0.3">
      <c r="C1506" s="3"/>
      <c r="D1506" s="3"/>
      <c r="E1506" s="3"/>
      <c r="F1506" s="3"/>
    </row>
    <row r="1507" spans="3:6" x14ac:dyDescent="0.3">
      <c r="C1507" s="3"/>
      <c r="D1507" s="3"/>
      <c r="E1507" s="3"/>
      <c r="F1507" s="3"/>
    </row>
    <row r="1508" spans="3:6" x14ac:dyDescent="0.3">
      <c r="C1508" s="3"/>
      <c r="D1508" s="3"/>
      <c r="E1508" s="3"/>
      <c r="F1508" s="3"/>
    </row>
    <row r="1509" spans="3:6" x14ac:dyDescent="0.3">
      <c r="C1509" s="3"/>
      <c r="D1509" s="3"/>
      <c r="E1509" s="3"/>
      <c r="F1509" s="3"/>
    </row>
    <row r="1510" spans="3:6" x14ac:dyDescent="0.3">
      <c r="C1510" s="3"/>
      <c r="D1510" s="3"/>
      <c r="E1510" s="3"/>
      <c r="F1510" s="3"/>
    </row>
    <row r="1511" spans="3:6" x14ac:dyDescent="0.3">
      <c r="C1511" s="3"/>
      <c r="D1511" s="3"/>
      <c r="E1511" s="3"/>
      <c r="F1511" s="3"/>
    </row>
    <row r="1512" spans="3:6" x14ac:dyDescent="0.3">
      <c r="C1512" s="3"/>
      <c r="D1512" s="3"/>
      <c r="E1512" s="3"/>
      <c r="F1512" s="3"/>
    </row>
    <row r="1513" spans="3:6" x14ac:dyDescent="0.3">
      <c r="C1513" s="3"/>
      <c r="D1513" s="3"/>
      <c r="E1513" s="3"/>
      <c r="F1513" s="3"/>
    </row>
    <row r="1514" spans="3:6" x14ac:dyDescent="0.3">
      <c r="C1514" s="3"/>
      <c r="D1514" s="3"/>
      <c r="E1514" s="3"/>
      <c r="F1514" s="3"/>
    </row>
    <row r="1515" spans="3:6" x14ac:dyDescent="0.3">
      <c r="C1515" s="3"/>
      <c r="D1515" s="3"/>
      <c r="E1515" s="3"/>
      <c r="F1515" s="3"/>
    </row>
    <row r="1516" spans="3:6" x14ac:dyDescent="0.3">
      <c r="C1516" s="3"/>
      <c r="D1516" s="3"/>
      <c r="E1516" s="3"/>
      <c r="F1516" s="3"/>
    </row>
    <row r="1517" spans="3:6" x14ac:dyDescent="0.3">
      <c r="C1517" s="3"/>
      <c r="D1517" s="3"/>
      <c r="E1517" s="3"/>
      <c r="F1517" s="3"/>
    </row>
    <row r="1518" spans="3:6" x14ac:dyDescent="0.3">
      <c r="C1518" s="3"/>
      <c r="D1518" s="3"/>
      <c r="E1518" s="3"/>
      <c r="F1518" s="3"/>
    </row>
    <row r="1519" spans="3:6" x14ac:dyDescent="0.3">
      <c r="C1519" s="3"/>
      <c r="D1519" s="3"/>
      <c r="E1519" s="3"/>
      <c r="F1519" s="3"/>
    </row>
    <row r="1520" spans="3:6" x14ac:dyDescent="0.3">
      <c r="C1520" s="3"/>
      <c r="D1520" s="3"/>
      <c r="E1520" s="3"/>
      <c r="F1520" s="3"/>
    </row>
    <row r="1521" spans="3:6" x14ac:dyDescent="0.3">
      <c r="C1521" s="3"/>
      <c r="D1521" s="3"/>
      <c r="E1521" s="3"/>
      <c r="F1521" s="3"/>
    </row>
    <row r="1522" spans="3:6" x14ac:dyDescent="0.3">
      <c r="C1522" s="3"/>
      <c r="D1522" s="3"/>
      <c r="E1522" s="3"/>
      <c r="F1522" s="3"/>
    </row>
    <row r="1523" spans="3:6" x14ac:dyDescent="0.3">
      <c r="C1523" s="3"/>
      <c r="D1523" s="3"/>
      <c r="E1523" s="3"/>
      <c r="F1523" s="3"/>
    </row>
    <row r="1524" spans="3:6" x14ac:dyDescent="0.3">
      <c r="C1524" s="3"/>
      <c r="D1524" s="3"/>
      <c r="E1524" s="3"/>
      <c r="F1524" s="3"/>
    </row>
    <row r="1525" spans="3:6" x14ac:dyDescent="0.3">
      <c r="C1525" s="3"/>
      <c r="D1525" s="3"/>
      <c r="E1525" s="3"/>
      <c r="F1525" s="3"/>
    </row>
    <row r="1526" spans="3:6" x14ac:dyDescent="0.3">
      <c r="C1526" s="3"/>
      <c r="D1526" s="3"/>
      <c r="E1526" s="3"/>
      <c r="F1526" s="3"/>
    </row>
    <row r="1527" spans="3:6" x14ac:dyDescent="0.3">
      <c r="C1527" s="3"/>
      <c r="D1527" s="3"/>
      <c r="E1527" s="3"/>
      <c r="F1527" s="3"/>
    </row>
    <row r="1528" spans="3:6" x14ac:dyDescent="0.3">
      <c r="C1528" s="3"/>
      <c r="D1528" s="3"/>
      <c r="E1528" s="3"/>
      <c r="F1528" s="3"/>
    </row>
    <row r="1529" spans="3:6" x14ac:dyDescent="0.3">
      <c r="C1529" s="3"/>
      <c r="D1529" s="3"/>
      <c r="E1529" s="3"/>
      <c r="F1529" s="3"/>
    </row>
    <row r="1530" spans="3:6" x14ac:dyDescent="0.3">
      <c r="C1530" s="3"/>
      <c r="D1530" s="3"/>
      <c r="E1530" s="3"/>
      <c r="F1530" s="3"/>
    </row>
    <row r="1531" spans="3:6" x14ac:dyDescent="0.3">
      <c r="C1531" s="3"/>
      <c r="D1531" s="3"/>
      <c r="E1531" s="3"/>
      <c r="F1531" s="3"/>
    </row>
    <row r="1532" spans="3:6" x14ac:dyDescent="0.3">
      <c r="C1532" s="3"/>
      <c r="D1532" s="3"/>
      <c r="E1532" s="3"/>
      <c r="F1532" s="3"/>
    </row>
    <row r="1533" spans="3:6" x14ac:dyDescent="0.3">
      <c r="C1533" s="3"/>
      <c r="D1533" s="3"/>
      <c r="E1533" s="3"/>
      <c r="F1533" s="3"/>
    </row>
    <row r="1534" spans="3:6" x14ac:dyDescent="0.3">
      <c r="C1534" s="3"/>
      <c r="D1534" s="3"/>
      <c r="E1534" s="3"/>
      <c r="F1534" s="3"/>
    </row>
    <row r="1535" spans="3:6" x14ac:dyDescent="0.3">
      <c r="C1535" s="3"/>
      <c r="D1535" s="3"/>
      <c r="E1535" s="3"/>
      <c r="F1535" s="3"/>
    </row>
    <row r="1536" spans="3:6" x14ac:dyDescent="0.3">
      <c r="C1536" s="3"/>
      <c r="D1536" s="3"/>
      <c r="E1536" s="3"/>
      <c r="F1536" s="3"/>
    </row>
    <row r="1537" spans="3:6" x14ac:dyDescent="0.3">
      <c r="C1537" s="3"/>
      <c r="D1537" s="3"/>
      <c r="E1537" s="3"/>
      <c r="F1537" s="3"/>
    </row>
    <row r="1538" spans="3:6" x14ac:dyDescent="0.3">
      <c r="C1538" s="3"/>
      <c r="D1538" s="3"/>
      <c r="E1538" s="3"/>
      <c r="F1538" s="3"/>
    </row>
    <row r="1539" spans="3:6" x14ac:dyDescent="0.3">
      <c r="C1539" s="3"/>
      <c r="D1539" s="3"/>
      <c r="E1539" s="3"/>
      <c r="F1539" s="3"/>
    </row>
    <row r="1540" spans="3:6" x14ac:dyDescent="0.3">
      <c r="C1540" s="3"/>
      <c r="D1540" s="3"/>
      <c r="E1540" s="3"/>
      <c r="F1540" s="3"/>
    </row>
    <row r="1541" spans="3:6" x14ac:dyDescent="0.3">
      <c r="C1541" s="3"/>
      <c r="D1541" s="3"/>
      <c r="E1541" s="3"/>
      <c r="F1541" s="3"/>
    </row>
    <row r="1542" spans="3:6" x14ac:dyDescent="0.3">
      <c r="C1542" s="3"/>
      <c r="D1542" s="3"/>
      <c r="E1542" s="3"/>
      <c r="F1542" s="3"/>
    </row>
    <row r="1543" spans="3:6" x14ac:dyDescent="0.3">
      <c r="C1543" s="3"/>
      <c r="D1543" s="3"/>
      <c r="E1543" s="3"/>
      <c r="F1543" s="3"/>
    </row>
    <row r="1544" spans="3:6" x14ac:dyDescent="0.3">
      <c r="C1544" s="3"/>
      <c r="D1544" s="3"/>
      <c r="E1544" s="3"/>
      <c r="F1544" s="3"/>
    </row>
    <row r="1545" spans="3:6" x14ac:dyDescent="0.3">
      <c r="C1545" s="3"/>
      <c r="D1545" s="3"/>
      <c r="E1545" s="3"/>
      <c r="F1545" s="3"/>
    </row>
    <row r="1546" spans="3:6" x14ac:dyDescent="0.3">
      <c r="C1546" s="3"/>
      <c r="D1546" s="3"/>
      <c r="E1546" s="3"/>
      <c r="F1546" s="3"/>
    </row>
    <row r="1547" spans="3:6" x14ac:dyDescent="0.3">
      <c r="C1547" s="3"/>
      <c r="D1547" s="3"/>
      <c r="E1547" s="3"/>
      <c r="F1547" s="3"/>
    </row>
    <row r="1548" spans="3:6" x14ac:dyDescent="0.3">
      <c r="C1548" s="3"/>
      <c r="D1548" s="3"/>
      <c r="E1548" s="3"/>
      <c r="F1548" s="3"/>
    </row>
    <row r="1549" spans="3:6" x14ac:dyDescent="0.3">
      <c r="C1549" s="3"/>
      <c r="D1549" s="3"/>
      <c r="E1549" s="3"/>
      <c r="F1549" s="3"/>
    </row>
    <row r="1550" spans="3:6" x14ac:dyDescent="0.3">
      <c r="C1550" s="3"/>
      <c r="D1550" s="3"/>
      <c r="E1550" s="3"/>
      <c r="F1550" s="3"/>
    </row>
    <row r="1551" spans="3:6" x14ac:dyDescent="0.3">
      <c r="C1551" s="3"/>
      <c r="D1551" s="3"/>
      <c r="E1551" s="3"/>
      <c r="F1551" s="3"/>
    </row>
    <row r="1552" spans="3:6" x14ac:dyDescent="0.3">
      <c r="C1552" s="3"/>
      <c r="D1552" s="3"/>
      <c r="E1552" s="3"/>
      <c r="F1552" s="3"/>
    </row>
    <row r="1553" spans="3:6" x14ac:dyDescent="0.3">
      <c r="C1553" s="3"/>
      <c r="D1553" s="3"/>
      <c r="E1553" s="3"/>
      <c r="F1553" s="3"/>
    </row>
    <row r="1554" spans="3:6" x14ac:dyDescent="0.3">
      <c r="C1554" s="3"/>
      <c r="D1554" s="3"/>
      <c r="E1554" s="3"/>
      <c r="F1554" s="3"/>
    </row>
    <row r="1555" spans="3:6" x14ac:dyDescent="0.3">
      <c r="C1555" s="3"/>
      <c r="D1555" s="3"/>
      <c r="E1555" s="3"/>
      <c r="F1555" s="3"/>
    </row>
    <row r="1556" spans="3:6" x14ac:dyDescent="0.3">
      <c r="C1556" s="3"/>
      <c r="D1556" s="3"/>
      <c r="E1556" s="3"/>
      <c r="F1556" s="3"/>
    </row>
    <row r="1557" spans="3:6" x14ac:dyDescent="0.3">
      <c r="C1557" s="3"/>
      <c r="D1557" s="3"/>
      <c r="E1557" s="3"/>
      <c r="F1557" s="3"/>
    </row>
    <row r="1558" spans="3:6" x14ac:dyDescent="0.3">
      <c r="C1558" s="3"/>
      <c r="D1558" s="3"/>
      <c r="E1558" s="3"/>
      <c r="F1558" s="3"/>
    </row>
    <row r="1559" spans="3:6" x14ac:dyDescent="0.3">
      <c r="C1559" s="3"/>
      <c r="D1559" s="3"/>
      <c r="E1559" s="3"/>
      <c r="F1559" s="3"/>
    </row>
    <row r="1560" spans="3:6" x14ac:dyDescent="0.3">
      <c r="C1560" s="3"/>
      <c r="D1560" s="3"/>
      <c r="E1560" s="3"/>
      <c r="F1560" s="3"/>
    </row>
    <row r="1561" spans="3:6" x14ac:dyDescent="0.3">
      <c r="C1561" s="3"/>
      <c r="D1561" s="3"/>
      <c r="E1561" s="3"/>
      <c r="F1561" s="3"/>
    </row>
    <row r="1562" spans="3:6" x14ac:dyDescent="0.3">
      <c r="C1562" s="3"/>
      <c r="D1562" s="3"/>
      <c r="E1562" s="3"/>
      <c r="F1562" s="3"/>
    </row>
    <row r="1563" spans="3:6" x14ac:dyDescent="0.3">
      <c r="C1563" s="3"/>
      <c r="D1563" s="3"/>
      <c r="E1563" s="3"/>
      <c r="F1563" s="3"/>
    </row>
    <row r="1564" spans="3:6" x14ac:dyDescent="0.3">
      <c r="C1564" s="3"/>
      <c r="D1564" s="3"/>
      <c r="E1564" s="3"/>
      <c r="F1564" s="3"/>
    </row>
    <row r="1565" spans="3:6" x14ac:dyDescent="0.3">
      <c r="C1565" s="3"/>
      <c r="D1565" s="3"/>
      <c r="E1565" s="3"/>
      <c r="F1565" s="3"/>
    </row>
    <row r="1566" spans="3:6" x14ac:dyDescent="0.3">
      <c r="C1566" s="3"/>
      <c r="D1566" s="3"/>
      <c r="E1566" s="3"/>
      <c r="F1566" s="3"/>
    </row>
    <row r="1567" spans="3:6" x14ac:dyDescent="0.3">
      <c r="C1567" s="3"/>
      <c r="D1567" s="3"/>
      <c r="E1567" s="3"/>
      <c r="F1567" s="3"/>
    </row>
    <row r="1568" spans="3:6" x14ac:dyDescent="0.3">
      <c r="C1568" s="3"/>
      <c r="D1568" s="3"/>
      <c r="E1568" s="3"/>
      <c r="F1568" s="3"/>
    </row>
    <row r="1569" spans="3:6" x14ac:dyDescent="0.3">
      <c r="C1569" s="3"/>
      <c r="D1569" s="3"/>
      <c r="E1569" s="3"/>
      <c r="F1569" s="3"/>
    </row>
    <row r="1570" spans="3:6" x14ac:dyDescent="0.3">
      <c r="C1570" s="3"/>
      <c r="D1570" s="3"/>
      <c r="E1570" s="3"/>
      <c r="F1570" s="3"/>
    </row>
    <row r="1571" spans="3:6" x14ac:dyDescent="0.3">
      <c r="C1571" s="3"/>
      <c r="D1571" s="3"/>
      <c r="E1571" s="3"/>
      <c r="F1571" s="3"/>
    </row>
    <row r="1572" spans="3:6" x14ac:dyDescent="0.3">
      <c r="C1572" s="3"/>
      <c r="D1572" s="3"/>
      <c r="E1572" s="3"/>
      <c r="F1572" s="3"/>
    </row>
    <row r="1573" spans="3:6" x14ac:dyDescent="0.3">
      <c r="C1573" s="3"/>
      <c r="D1573" s="3"/>
      <c r="E1573" s="3"/>
      <c r="F1573" s="3"/>
    </row>
    <row r="1574" spans="3:6" x14ac:dyDescent="0.3">
      <c r="C1574" s="3"/>
      <c r="D1574" s="3"/>
      <c r="E1574" s="3"/>
      <c r="F1574" s="3"/>
    </row>
    <row r="1575" spans="3:6" x14ac:dyDescent="0.3">
      <c r="C1575" s="3"/>
      <c r="D1575" s="3"/>
      <c r="E1575" s="3"/>
      <c r="F1575" s="3"/>
    </row>
    <row r="1576" spans="3:6" x14ac:dyDescent="0.3">
      <c r="C1576" s="3"/>
      <c r="D1576" s="3"/>
      <c r="E1576" s="3"/>
      <c r="F1576" s="3"/>
    </row>
    <row r="1577" spans="3:6" x14ac:dyDescent="0.3">
      <c r="C1577" s="3"/>
      <c r="D1577" s="3"/>
      <c r="E1577" s="3"/>
      <c r="F1577" s="3"/>
    </row>
    <row r="1578" spans="3:6" x14ac:dyDescent="0.3">
      <c r="C1578" s="3"/>
      <c r="D1578" s="3"/>
      <c r="E1578" s="3"/>
      <c r="F1578" s="3"/>
    </row>
    <row r="1579" spans="3:6" x14ac:dyDescent="0.3">
      <c r="C1579" s="3"/>
      <c r="D1579" s="3"/>
      <c r="E1579" s="3"/>
      <c r="F1579" s="3"/>
    </row>
    <row r="1580" spans="3:6" x14ac:dyDescent="0.3">
      <c r="C1580" s="3"/>
      <c r="D1580" s="3"/>
      <c r="E1580" s="3"/>
      <c r="F1580" s="3"/>
    </row>
    <row r="1581" spans="3:6" x14ac:dyDescent="0.3">
      <c r="C1581" s="3"/>
      <c r="D1581" s="3"/>
      <c r="E1581" s="3"/>
      <c r="F1581" s="3"/>
    </row>
    <row r="1582" spans="3:6" x14ac:dyDescent="0.3">
      <c r="C1582" s="3"/>
      <c r="D1582" s="3"/>
      <c r="E1582" s="3"/>
      <c r="F1582" s="3"/>
    </row>
    <row r="1583" spans="3:6" x14ac:dyDescent="0.3">
      <c r="C1583" s="3"/>
      <c r="D1583" s="3"/>
      <c r="E1583" s="3"/>
      <c r="F1583" s="3"/>
    </row>
    <row r="1584" spans="3:6" x14ac:dyDescent="0.3">
      <c r="C1584" s="3"/>
      <c r="D1584" s="3"/>
      <c r="E1584" s="3"/>
      <c r="F1584" s="3"/>
    </row>
    <row r="1585" spans="3:6" x14ac:dyDescent="0.3">
      <c r="C1585" s="3"/>
      <c r="D1585" s="3"/>
      <c r="E1585" s="3"/>
      <c r="F1585" s="3"/>
    </row>
    <row r="1586" spans="3:6" x14ac:dyDescent="0.3">
      <c r="C1586" s="3"/>
      <c r="D1586" s="3"/>
      <c r="E1586" s="3"/>
      <c r="F1586" s="3"/>
    </row>
    <row r="1587" spans="3:6" x14ac:dyDescent="0.3">
      <c r="C1587" s="3"/>
      <c r="D1587" s="3"/>
      <c r="E1587" s="3"/>
      <c r="F1587" s="3"/>
    </row>
    <row r="1588" spans="3:6" x14ac:dyDescent="0.3">
      <c r="C1588" s="3"/>
      <c r="D1588" s="3"/>
      <c r="E1588" s="3"/>
      <c r="F1588" s="3"/>
    </row>
    <row r="1589" spans="3:6" x14ac:dyDescent="0.3">
      <c r="C1589" s="3"/>
      <c r="D1589" s="3"/>
      <c r="E1589" s="3"/>
      <c r="F1589" s="3"/>
    </row>
    <row r="1590" spans="3:6" x14ac:dyDescent="0.3">
      <c r="C1590" s="3"/>
      <c r="D1590" s="3"/>
      <c r="E1590" s="3"/>
      <c r="F1590" s="3"/>
    </row>
    <row r="1591" spans="3:6" x14ac:dyDescent="0.3">
      <c r="C1591" s="3"/>
      <c r="D1591" s="3"/>
      <c r="E1591" s="3"/>
      <c r="F1591" s="3"/>
    </row>
    <row r="1592" spans="3:6" x14ac:dyDescent="0.3">
      <c r="C1592" s="3"/>
      <c r="D1592" s="3"/>
      <c r="E1592" s="3"/>
      <c r="F1592" s="3"/>
    </row>
    <row r="1593" spans="3:6" x14ac:dyDescent="0.3">
      <c r="C1593" s="3"/>
      <c r="D1593" s="3"/>
      <c r="E1593" s="3"/>
      <c r="F1593" s="3"/>
    </row>
    <row r="1594" spans="3:6" x14ac:dyDescent="0.3">
      <c r="C1594" s="3"/>
      <c r="D1594" s="3"/>
      <c r="E1594" s="3"/>
      <c r="F1594" s="3"/>
    </row>
    <row r="1595" spans="3:6" x14ac:dyDescent="0.3">
      <c r="C1595" s="3"/>
      <c r="D1595" s="3"/>
      <c r="E1595" s="3"/>
      <c r="F1595" s="3"/>
    </row>
    <row r="1596" spans="3:6" x14ac:dyDescent="0.3">
      <c r="C1596" s="3"/>
      <c r="D1596" s="3"/>
      <c r="E1596" s="3"/>
      <c r="F1596" s="3"/>
    </row>
    <row r="1597" spans="3:6" x14ac:dyDescent="0.3">
      <c r="C1597" s="3"/>
      <c r="D1597" s="3"/>
      <c r="E1597" s="3"/>
      <c r="F1597" s="3"/>
    </row>
    <row r="1598" spans="3:6" x14ac:dyDescent="0.3">
      <c r="C1598" s="3"/>
      <c r="D1598" s="3"/>
      <c r="E1598" s="3"/>
      <c r="F1598" s="3"/>
    </row>
    <row r="1599" spans="3:6" x14ac:dyDescent="0.3">
      <c r="C1599" s="3"/>
      <c r="D1599" s="3"/>
      <c r="E1599" s="3"/>
      <c r="F1599" s="3"/>
    </row>
    <row r="1600" spans="3:6" x14ac:dyDescent="0.3">
      <c r="C1600" s="3"/>
      <c r="D1600" s="3"/>
      <c r="E1600" s="3"/>
      <c r="F1600" s="3"/>
    </row>
    <row r="1601" spans="3:6" x14ac:dyDescent="0.3">
      <c r="C1601" s="3"/>
      <c r="D1601" s="3"/>
      <c r="E1601" s="3"/>
      <c r="F1601" s="3"/>
    </row>
    <row r="1602" spans="3:6" x14ac:dyDescent="0.3">
      <c r="C1602" s="3"/>
      <c r="D1602" s="3"/>
      <c r="E1602" s="3"/>
      <c r="F1602" s="3"/>
    </row>
    <row r="1603" spans="3:6" x14ac:dyDescent="0.3">
      <c r="C1603" s="3"/>
      <c r="D1603" s="3"/>
      <c r="E1603" s="3"/>
      <c r="F1603" s="3"/>
    </row>
    <row r="1604" spans="3:6" x14ac:dyDescent="0.3">
      <c r="C1604" s="3"/>
      <c r="D1604" s="3"/>
      <c r="E1604" s="3"/>
      <c r="F1604" s="3"/>
    </row>
    <row r="1605" spans="3:6" x14ac:dyDescent="0.3">
      <c r="C1605" s="3"/>
      <c r="D1605" s="3"/>
      <c r="E1605" s="3"/>
      <c r="F1605" s="3"/>
    </row>
    <row r="1606" spans="3:6" x14ac:dyDescent="0.3">
      <c r="C1606" s="3"/>
      <c r="D1606" s="3"/>
      <c r="E1606" s="3"/>
      <c r="F1606" s="3"/>
    </row>
    <row r="1607" spans="3:6" x14ac:dyDescent="0.3">
      <c r="C1607" s="3"/>
      <c r="D1607" s="3"/>
      <c r="E1607" s="3"/>
      <c r="F1607" s="3"/>
    </row>
    <row r="1608" spans="3:6" x14ac:dyDescent="0.3">
      <c r="C1608" s="3"/>
      <c r="D1608" s="3"/>
      <c r="E1608" s="3"/>
      <c r="F1608" s="3"/>
    </row>
    <row r="1609" spans="3:6" x14ac:dyDescent="0.3">
      <c r="C1609" s="3"/>
      <c r="D1609" s="3"/>
      <c r="E1609" s="3"/>
      <c r="F1609" s="3"/>
    </row>
    <row r="1610" spans="3:6" x14ac:dyDescent="0.3">
      <c r="C1610" s="3"/>
      <c r="D1610" s="3"/>
      <c r="E1610" s="3"/>
      <c r="F1610" s="3"/>
    </row>
    <row r="1611" spans="3:6" x14ac:dyDescent="0.3">
      <c r="C1611" s="3"/>
      <c r="D1611" s="3"/>
      <c r="E1611" s="3"/>
      <c r="F1611" s="3"/>
    </row>
    <row r="1612" spans="3:6" x14ac:dyDescent="0.3">
      <c r="C1612" s="3"/>
      <c r="D1612" s="3"/>
      <c r="E1612" s="3"/>
      <c r="F1612" s="3"/>
    </row>
    <row r="1613" spans="3:6" x14ac:dyDescent="0.3">
      <c r="C1613" s="3"/>
      <c r="D1613" s="3"/>
      <c r="E1613" s="3"/>
      <c r="F1613" s="3"/>
    </row>
    <row r="1614" spans="3:6" x14ac:dyDescent="0.3">
      <c r="C1614" s="3"/>
      <c r="D1614" s="3"/>
      <c r="E1614" s="3"/>
      <c r="F1614" s="3"/>
    </row>
    <row r="1615" spans="3:6" x14ac:dyDescent="0.3">
      <c r="C1615" s="3"/>
      <c r="D1615" s="3"/>
      <c r="E1615" s="3"/>
      <c r="F1615" s="3"/>
    </row>
    <row r="1616" spans="3:6" x14ac:dyDescent="0.3">
      <c r="C1616" s="3"/>
      <c r="D1616" s="3"/>
      <c r="E1616" s="3"/>
      <c r="F1616" s="3"/>
    </row>
    <row r="1617" spans="3:6" x14ac:dyDescent="0.3">
      <c r="C1617" s="3"/>
      <c r="D1617" s="3"/>
      <c r="E1617" s="3"/>
      <c r="F1617" s="3"/>
    </row>
    <row r="1618" spans="3:6" x14ac:dyDescent="0.3">
      <c r="C1618" s="3"/>
      <c r="D1618" s="3"/>
      <c r="E1618" s="3"/>
      <c r="F1618" s="3"/>
    </row>
    <row r="1619" spans="3:6" x14ac:dyDescent="0.3">
      <c r="C1619" s="3"/>
      <c r="D1619" s="3"/>
      <c r="E1619" s="3"/>
      <c r="F1619" s="3"/>
    </row>
    <row r="1620" spans="3:6" x14ac:dyDescent="0.3">
      <c r="C1620" s="3"/>
      <c r="D1620" s="3"/>
      <c r="E1620" s="3"/>
      <c r="F1620" s="3"/>
    </row>
    <row r="1621" spans="3:6" x14ac:dyDescent="0.3">
      <c r="C1621" s="3"/>
      <c r="D1621" s="3"/>
      <c r="E1621" s="3"/>
      <c r="F1621" s="3"/>
    </row>
    <row r="1622" spans="3:6" x14ac:dyDescent="0.3">
      <c r="C1622" s="3"/>
      <c r="D1622" s="3"/>
      <c r="E1622" s="3"/>
      <c r="F1622" s="3"/>
    </row>
    <row r="1623" spans="3:6" x14ac:dyDescent="0.3">
      <c r="C1623" s="3"/>
      <c r="D1623" s="3"/>
      <c r="E1623" s="3"/>
      <c r="F1623" s="3"/>
    </row>
    <row r="1624" spans="3:6" x14ac:dyDescent="0.3">
      <c r="C1624" s="3"/>
      <c r="D1624" s="3"/>
      <c r="E1624" s="3"/>
      <c r="F1624" s="3"/>
    </row>
    <row r="1625" spans="3:6" x14ac:dyDescent="0.3">
      <c r="C1625" s="3"/>
      <c r="D1625" s="3"/>
      <c r="E1625" s="3"/>
      <c r="F1625" s="3"/>
    </row>
    <row r="1626" spans="3:6" x14ac:dyDescent="0.3">
      <c r="C1626" s="3"/>
      <c r="D1626" s="3"/>
      <c r="E1626" s="3"/>
      <c r="F1626" s="3"/>
    </row>
    <row r="1627" spans="3:6" x14ac:dyDescent="0.3">
      <c r="C1627" s="3"/>
      <c r="D1627" s="3"/>
      <c r="E1627" s="3"/>
      <c r="F1627" s="3"/>
    </row>
    <row r="1628" spans="3:6" x14ac:dyDescent="0.3">
      <c r="C1628" s="3"/>
      <c r="D1628" s="3"/>
      <c r="E1628" s="3"/>
      <c r="F1628" s="3"/>
    </row>
    <row r="1629" spans="3:6" x14ac:dyDescent="0.3">
      <c r="C1629" s="3"/>
      <c r="D1629" s="3"/>
      <c r="E1629" s="3"/>
      <c r="F1629" s="3"/>
    </row>
    <row r="1630" spans="3:6" x14ac:dyDescent="0.3">
      <c r="C1630" s="3"/>
      <c r="D1630" s="3"/>
      <c r="E1630" s="3"/>
      <c r="F1630" s="3"/>
    </row>
    <row r="1631" spans="3:6" x14ac:dyDescent="0.3">
      <c r="C1631" s="3"/>
      <c r="D1631" s="3"/>
      <c r="E1631" s="3"/>
      <c r="F1631" s="3"/>
    </row>
    <row r="1632" spans="3:6" x14ac:dyDescent="0.3">
      <c r="C1632" s="3"/>
      <c r="D1632" s="3"/>
      <c r="E1632" s="3"/>
      <c r="F1632" s="3"/>
    </row>
    <row r="1633" spans="3:6" x14ac:dyDescent="0.3">
      <c r="C1633" s="3"/>
      <c r="D1633" s="3"/>
      <c r="E1633" s="3"/>
      <c r="F1633" s="3"/>
    </row>
    <row r="1634" spans="3:6" x14ac:dyDescent="0.3">
      <c r="C1634" s="3"/>
      <c r="D1634" s="3"/>
      <c r="E1634" s="3"/>
      <c r="F1634" s="3"/>
    </row>
    <row r="1635" spans="3:6" x14ac:dyDescent="0.3">
      <c r="C1635" s="3"/>
      <c r="D1635" s="3"/>
      <c r="E1635" s="3"/>
      <c r="F1635" s="3"/>
    </row>
    <row r="1636" spans="3:6" x14ac:dyDescent="0.3">
      <c r="C1636" s="3"/>
      <c r="D1636" s="3"/>
      <c r="E1636" s="3"/>
      <c r="F1636" s="3"/>
    </row>
    <row r="1637" spans="3:6" x14ac:dyDescent="0.3">
      <c r="C1637" s="3"/>
      <c r="D1637" s="3"/>
      <c r="E1637" s="3"/>
      <c r="F1637" s="3"/>
    </row>
    <row r="1638" spans="3:6" x14ac:dyDescent="0.3">
      <c r="C1638" s="3"/>
      <c r="D1638" s="3"/>
      <c r="E1638" s="3"/>
      <c r="F1638" s="3"/>
    </row>
    <row r="1639" spans="3:6" x14ac:dyDescent="0.3">
      <c r="C1639" s="3"/>
      <c r="D1639" s="3"/>
      <c r="E1639" s="3"/>
      <c r="F1639" s="3"/>
    </row>
    <row r="1640" spans="3:6" x14ac:dyDescent="0.3">
      <c r="C1640" s="3"/>
      <c r="D1640" s="3"/>
      <c r="E1640" s="3"/>
      <c r="F1640" s="3"/>
    </row>
    <row r="1641" spans="3:6" x14ac:dyDescent="0.3">
      <c r="C1641" s="3"/>
      <c r="D1641" s="3"/>
      <c r="E1641" s="3"/>
      <c r="F1641" s="3"/>
    </row>
    <row r="1642" spans="3:6" x14ac:dyDescent="0.3">
      <c r="C1642" s="3"/>
      <c r="D1642" s="3"/>
      <c r="E1642" s="3"/>
      <c r="F1642" s="3"/>
    </row>
    <row r="1643" spans="3:6" x14ac:dyDescent="0.3">
      <c r="C1643" s="3"/>
      <c r="D1643" s="3"/>
      <c r="E1643" s="3"/>
      <c r="F1643" s="3"/>
    </row>
    <row r="1644" spans="3:6" x14ac:dyDescent="0.3">
      <c r="C1644" s="3"/>
      <c r="D1644" s="3"/>
      <c r="E1644" s="3"/>
      <c r="F1644" s="3"/>
    </row>
    <row r="1645" spans="3:6" x14ac:dyDescent="0.3">
      <c r="C1645" s="3"/>
      <c r="D1645" s="3"/>
      <c r="E1645" s="3"/>
      <c r="F1645" s="3"/>
    </row>
    <row r="1646" spans="3:6" x14ac:dyDescent="0.3">
      <c r="C1646" s="3"/>
      <c r="D1646" s="3"/>
      <c r="E1646" s="3"/>
      <c r="F1646" s="3"/>
    </row>
    <row r="1647" spans="3:6" x14ac:dyDescent="0.3">
      <c r="C1647" s="3"/>
      <c r="D1647" s="3"/>
      <c r="E1647" s="3"/>
      <c r="F1647" s="3"/>
    </row>
    <row r="1648" spans="3:6" x14ac:dyDescent="0.3">
      <c r="C1648" s="3"/>
      <c r="D1648" s="3"/>
      <c r="E1648" s="3"/>
      <c r="F1648" s="3"/>
    </row>
    <row r="1649" spans="3:6" x14ac:dyDescent="0.3">
      <c r="C1649" s="3"/>
      <c r="D1649" s="3"/>
      <c r="E1649" s="3"/>
      <c r="F1649" s="3"/>
    </row>
    <row r="1650" spans="3:6" x14ac:dyDescent="0.3">
      <c r="C1650" s="3"/>
      <c r="D1650" s="3"/>
      <c r="E1650" s="3"/>
      <c r="F1650" s="3"/>
    </row>
    <row r="1651" spans="3:6" x14ac:dyDescent="0.3">
      <c r="C1651" s="3"/>
      <c r="D1651" s="3"/>
      <c r="E1651" s="3"/>
      <c r="F1651" s="3"/>
    </row>
    <row r="1652" spans="3:6" x14ac:dyDescent="0.3">
      <c r="C1652" s="3"/>
      <c r="D1652" s="3"/>
      <c r="E1652" s="3"/>
      <c r="F1652" s="3"/>
    </row>
    <row r="1653" spans="3:6" x14ac:dyDescent="0.3">
      <c r="C1653" s="3"/>
      <c r="D1653" s="3"/>
      <c r="E1653" s="3"/>
      <c r="F1653" s="3"/>
    </row>
    <row r="1654" spans="3:6" x14ac:dyDescent="0.3">
      <c r="C1654" s="3"/>
      <c r="D1654" s="3"/>
      <c r="E1654" s="3"/>
      <c r="F1654" s="3"/>
    </row>
    <row r="1655" spans="3:6" x14ac:dyDescent="0.3">
      <c r="C1655" s="3"/>
      <c r="D1655" s="3"/>
      <c r="E1655" s="3"/>
      <c r="F1655" s="3"/>
    </row>
    <row r="1656" spans="3:6" x14ac:dyDescent="0.3">
      <c r="C1656" s="3"/>
      <c r="D1656" s="3"/>
      <c r="E1656" s="3"/>
      <c r="F1656" s="3"/>
    </row>
    <row r="1657" spans="3:6" x14ac:dyDescent="0.3">
      <c r="C1657" s="3"/>
      <c r="D1657" s="3"/>
      <c r="E1657" s="3"/>
      <c r="F1657" s="3"/>
    </row>
    <row r="1658" spans="3:6" x14ac:dyDescent="0.3">
      <c r="C1658" s="3"/>
      <c r="D1658" s="3"/>
      <c r="E1658" s="3"/>
      <c r="F1658" s="3"/>
    </row>
    <row r="1659" spans="3:6" x14ac:dyDescent="0.3">
      <c r="C1659" s="3"/>
      <c r="D1659" s="3"/>
      <c r="E1659" s="3"/>
      <c r="F1659" s="3"/>
    </row>
    <row r="1660" spans="3:6" x14ac:dyDescent="0.3">
      <c r="C1660" s="3"/>
      <c r="D1660" s="3"/>
      <c r="E1660" s="3"/>
      <c r="F1660" s="3"/>
    </row>
    <row r="1661" spans="3:6" x14ac:dyDescent="0.3">
      <c r="C1661" s="3"/>
      <c r="D1661" s="3"/>
      <c r="E1661" s="3"/>
      <c r="F1661" s="3"/>
    </row>
    <row r="1662" spans="3:6" x14ac:dyDescent="0.3">
      <c r="C1662" s="3"/>
      <c r="D1662" s="3"/>
      <c r="E1662" s="3"/>
      <c r="F1662" s="3"/>
    </row>
    <row r="1663" spans="3:6" x14ac:dyDescent="0.3">
      <c r="C1663" s="3"/>
      <c r="D1663" s="3"/>
      <c r="E1663" s="3"/>
      <c r="F1663" s="3"/>
    </row>
    <row r="1664" spans="3:6" x14ac:dyDescent="0.3">
      <c r="C1664" s="3"/>
      <c r="D1664" s="3"/>
      <c r="E1664" s="3"/>
      <c r="F1664" s="3"/>
    </row>
    <row r="1665" spans="3:6" x14ac:dyDescent="0.3">
      <c r="C1665" s="3"/>
      <c r="D1665" s="3"/>
      <c r="E1665" s="3"/>
      <c r="F1665" s="3"/>
    </row>
    <row r="1666" spans="3:6" x14ac:dyDescent="0.3">
      <c r="C1666" s="3"/>
      <c r="D1666" s="3"/>
      <c r="E1666" s="3"/>
      <c r="F1666" s="3"/>
    </row>
    <row r="1667" spans="3:6" x14ac:dyDescent="0.3">
      <c r="C1667" s="3"/>
      <c r="D1667" s="3"/>
      <c r="E1667" s="3"/>
      <c r="F1667" s="3"/>
    </row>
    <row r="1668" spans="3:6" x14ac:dyDescent="0.3">
      <c r="C1668" s="3"/>
      <c r="D1668" s="3"/>
      <c r="E1668" s="3"/>
      <c r="F1668" s="3"/>
    </row>
    <row r="1669" spans="3:6" x14ac:dyDescent="0.3">
      <c r="C1669" s="3"/>
      <c r="D1669" s="3"/>
      <c r="E1669" s="3"/>
      <c r="F1669" s="3"/>
    </row>
    <row r="1670" spans="3:6" x14ac:dyDescent="0.3">
      <c r="C1670" s="3"/>
      <c r="D1670" s="3"/>
      <c r="E1670" s="3"/>
      <c r="F1670" s="3"/>
    </row>
    <row r="1671" spans="3:6" x14ac:dyDescent="0.3">
      <c r="C1671" s="3"/>
      <c r="D1671" s="3"/>
      <c r="E1671" s="3"/>
      <c r="F1671" s="3"/>
    </row>
    <row r="1672" spans="3:6" x14ac:dyDescent="0.3">
      <c r="C1672" s="3"/>
      <c r="D1672" s="3"/>
      <c r="E1672" s="3"/>
      <c r="F1672" s="3"/>
    </row>
    <row r="1673" spans="3:6" x14ac:dyDescent="0.3">
      <c r="C1673" s="3"/>
      <c r="D1673" s="3"/>
      <c r="E1673" s="3"/>
      <c r="F1673" s="3"/>
    </row>
    <row r="1674" spans="3:6" x14ac:dyDescent="0.3">
      <c r="C1674" s="3"/>
      <c r="D1674" s="3"/>
      <c r="E1674" s="3"/>
      <c r="F1674" s="3"/>
    </row>
    <row r="1675" spans="3:6" x14ac:dyDescent="0.3">
      <c r="C1675" s="3"/>
      <c r="D1675" s="3"/>
      <c r="E1675" s="3"/>
      <c r="F1675" s="3"/>
    </row>
    <row r="1676" spans="3:6" x14ac:dyDescent="0.3">
      <c r="C1676" s="3"/>
      <c r="D1676" s="3"/>
      <c r="E1676" s="3"/>
      <c r="F1676" s="3"/>
    </row>
    <row r="1677" spans="3:6" x14ac:dyDescent="0.3">
      <c r="C1677" s="3"/>
      <c r="D1677" s="3"/>
      <c r="E1677" s="3"/>
      <c r="F1677" s="3"/>
    </row>
    <row r="1678" spans="3:6" x14ac:dyDescent="0.3">
      <c r="C1678" s="3"/>
      <c r="D1678" s="3"/>
      <c r="E1678" s="3"/>
      <c r="F1678" s="3"/>
    </row>
    <row r="1679" spans="3:6" x14ac:dyDescent="0.3">
      <c r="C1679" s="3"/>
      <c r="D1679" s="3"/>
      <c r="E1679" s="3"/>
      <c r="F1679" s="3"/>
    </row>
    <row r="1680" spans="3:6" x14ac:dyDescent="0.3">
      <c r="C1680" s="3"/>
      <c r="D1680" s="3"/>
      <c r="E1680" s="3"/>
      <c r="F1680" s="3"/>
    </row>
    <row r="1681" spans="3:6" x14ac:dyDescent="0.3">
      <c r="C1681" s="3"/>
      <c r="D1681" s="3"/>
      <c r="E1681" s="3"/>
      <c r="F1681" s="3"/>
    </row>
    <row r="1682" spans="3:6" x14ac:dyDescent="0.3">
      <c r="C1682" s="3"/>
      <c r="D1682" s="3"/>
      <c r="E1682" s="3"/>
      <c r="F1682" s="3"/>
    </row>
    <row r="1683" spans="3:6" x14ac:dyDescent="0.3">
      <c r="C1683" s="3"/>
      <c r="D1683" s="3"/>
      <c r="E1683" s="3"/>
      <c r="F1683" s="3"/>
    </row>
    <row r="1684" spans="3:6" x14ac:dyDescent="0.3">
      <c r="C1684" s="3"/>
      <c r="D1684" s="3"/>
      <c r="E1684" s="3"/>
      <c r="F1684" s="3"/>
    </row>
    <row r="1685" spans="3:6" x14ac:dyDescent="0.3">
      <c r="C1685" s="3"/>
      <c r="D1685" s="3"/>
      <c r="E1685" s="3"/>
      <c r="F1685" s="3"/>
    </row>
    <row r="1686" spans="3:6" x14ac:dyDescent="0.3">
      <c r="C1686" s="3"/>
      <c r="D1686" s="3"/>
      <c r="E1686" s="3"/>
      <c r="F1686" s="3"/>
    </row>
    <row r="1687" spans="3:6" x14ac:dyDescent="0.3">
      <c r="C1687" s="3"/>
      <c r="D1687" s="3"/>
      <c r="E1687" s="3"/>
      <c r="F1687" s="3"/>
    </row>
    <row r="1688" spans="3:6" x14ac:dyDescent="0.3">
      <c r="C1688" s="3"/>
      <c r="D1688" s="3"/>
      <c r="E1688" s="3"/>
      <c r="F1688" s="3"/>
    </row>
    <row r="1689" spans="3:6" x14ac:dyDescent="0.3">
      <c r="C1689" s="3"/>
      <c r="D1689" s="3"/>
      <c r="E1689" s="3"/>
      <c r="F1689" s="3"/>
    </row>
    <row r="1690" spans="3:6" x14ac:dyDescent="0.3">
      <c r="C1690" s="3"/>
      <c r="D1690" s="3"/>
      <c r="E1690" s="3"/>
      <c r="F1690" s="3"/>
    </row>
    <row r="1691" spans="3:6" x14ac:dyDescent="0.3">
      <c r="C1691" s="3"/>
      <c r="D1691" s="3"/>
      <c r="E1691" s="3"/>
      <c r="F1691" s="3"/>
    </row>
    <row r="1692" spans="3:6" x14ac:dyDescent="0.3">
      <c r="C1692" s="3"/>
      <c r="D1692" s="3"/>
      <c r="E1692" s="3"/>
      <c r="F1692" s="3"/>
    </row>
    <row r="1693" spans="3:6" x14ac:dyDescent="0.3">
      <c r="C1693" s="3"/>
      <c r="D1693" s="3"/>
      <c r="E1693" s="3"/>
      <c r="F1693" s="3"/>
    </row>
    <row r="1694" spans="3:6" x14ac:dyDescent="0.3">
      <c r="C1694" s="3"/>
      <c r="D1694" s="3"/>
      <c r="E1694" s="3"/>
      <c r="F1694" s="3"/>
    </row>
    <row r="1695" spans="3:6" x14ac:dyDescent="0.3">
      <c r="C1695" s="3"/>
      <c r="D1695" s="3"/>
      <c r="E1695" s="3"/>
      <c r="F1695" s="3"/>
    </row>
    <row r="1696" spans="3:6" x14ac:dyDescent="0.3">
      <c r="C1696" s="3"/>
      <c r="D1696" s="3"/>
      <c r="E1696" s="3"/>
      <c r="F1696" s="3"/>
    </row>
    <row r="1697" spans="3:6" x14ac:dyDescent="0.3">
      <c r="C1697" s="3"/>
      <c r="D1697" s="3"/>
      <c r="E1697" s="3"/>
      <c r="F1697" s="3"/>
    </row>
    <row r="1698" spans="3:6" x14ac:dyDescent="0.3">
      <c r="C1698" s="3"/>
      <c r="D1698" s="3"/>
      <c r="E1698" s="3"/>
      <c r="F1698" s="3"/>
    </row>
    <row r="1699" spans="3:6" x14ac:dyDescent="0.3">
      <c r="C1699" s="3"/>
      <c r="D1699" s="3"/>
      <c r="E1699" s="3"/>
      <c r="F1699" s="3"/>
    </row>
    <row r="1700" spans="3:6" x14ac:dyDescent="0.3">
      <c r="C1700" s="3"/>
      <c r="D1700" s="3"/>
      <c r="E1700" s="3"/>
      <c r="F1700" s="3"/>
    </row>
    <row r="1701" spans="3:6" x14ac:dyDescent="0.3">
      <c r="C1701" s="3"/>
      <c r="D1701" s="3"/>
      <c r="E1701" s="3"/>
      <c r="F1701" s="3"/>
    </row>
    <row r="1702" spans="3:6" x14ac:dyDescent="0.3">
      <c r="C1702" s="3"/>
      <c r="D1702" s="3"/>
      <c r="E1702" s="3"/>
      <c r="F1702" s="3"/>
    </row>
    <row r="1703" spans="3:6" x14ac:dyDescent="0.3">
      <c r="C1703" s="3"/>
      <c r="D1703" s="3"/>
      <c r="E1703" s="3"/>
      <c r="F1703" s="3"/>
    </row>
    <row r="1704" spans="3:6" x14ac:dyDescent="0.3">
      <c r="C1704" s="3"/>
      <c r="D1704" s="3"/>
      <c r="E1704" s="3"/>
      <c r="F1704" s="3"/>
    </row>
    <row r="1705" spans="3:6" x14ac:dyDescent="0.3">
      <c r="C1705" s="3"/>
      <c r="D1705" s="3"/>
      <c r="E1705" s="3"/>
      <c r="F1705" s="3"/>
    </row>
    <row r="1706" spans="3:6" x14ac:dyDescent="0.3">
      <c r="C1706" s="3"/>
      <c r="D1706" s="3"/>
      <c r="E1706" s="3"/>
      <c r="F1706" s="3"/>
    </row>
    <row r="1707" spans="3:6" x14ac:dyDescent="0.3">
      <c r="C1707" s="3"/>
      <c r="D1707" s="3"/>
      <c r="E1707" s="3"/>
      <c r="F1707" s="3"/>
    </row>
    <row r="1708" spans="3:6" x14ac:dyDescent="0.3">
      <c r="C1708" s="3"/>
      <c r="D1708" s="3"/>
      <c r="E1708" s="3"/>
      <c r="F1708" s="3"/>
    </row>
    <row r="1709" spans="3:6" x14ac:dyDescent="0.3">
      <c r="C1709" s="3"/>
      <c r="D1709" s="3"/>
      <c r="E1709" s="3"/>
      <c r="F1709" s="3"/>
    </row>
    <row r="1710" spans="3:6" x14ac:dyDescent="0.3">
      <c r="C1710" s="3"/>
      <c r="D1710" s="3"/>
      <c r="E1710" s="3"/>
      <c r="F1710" s="3"/>
    </row>
    <row r="1711" spans="3:6" x14ac:dyDescent="0.3">
      <c r="C1711" s="3"/>
      <c r="D1711" s="3"/>
      <c r="E1711" s="3"/>
      <c r="F1711" s="3"/>
    </row>
    <row r="1712" spans="3:6" x14ac:dyDescent="0.3">
      <c r="C1712" s="3"/>
      <c r="D1712" s="3"/>
      <c r="E1712" s="3"/>
      <c r="F1712" s="3"/>
    </row>
    <row r="1713" spans="3:6" x14ac:dyDescent="0.3">
      <c r="C1713" s="3"/>
      <c r="D1713" s="3"/>
      <c r="E1713" s="3"/>
      <c r="F1713" s="3"/>
    </row>
    <row r="1714" spans="3:6" x14ac:dyDescent="0.3">
      <c r="C1714" s="3"/>
      <c r="D1714" s="3"/>
      <c r="E1714" s="3"/>
      <c r="F1714" s="3"/>
    </row>
    <row r="1715" spans="3:6" x14ac:dyDescent="0.3">
      <c r="C1715" s="3"/>
      <c r="D1715" s="3"/>
      <c r="E1715" s="3"/>
      <c r="F1715" s="3"/>
    </row>
    <row r="1716" spans="3:6" x14ac:dyDescent="0.3">
      <c r="C1716" s="3"/>
      <c r="D1716" s="3"/>
      <c r="E1716" s="3"/>
      <c r="F1716" s="3"/>
    </row>
    <row r="1717" spans="3:6" x14ac:dyDescent="0.3">
      <c r="C1717" s="3"/>
      <c r="D1717" s="3"/>
      <c r="E1717" s="3"/>
      <c r="F1717" s="3"/>
    </row>
    <row r="1718" spans="3:6" x14ac:dyDescent="0.3">
      <c r="C1718" s="3"/>
      <c r="D1718" s="3"/>
      <c r="E1718" s="3"/>
      <c r="F1718" s="3"/>
    </row>
    <row r="1719" spans="3:6" x14ac:dyDescent="0.3">
      <c r="C1719" s="3"/>
      <c r="D1719" s="3"/>
      <c r="E1719" s="3"/>
      <c r="F1719" s="3"/>
    </row>
    <row r="1720" spans="3:6" x14ac:dyDescent="0.3">
      <c r="C1720" s="3"/>
      <c r="D1720" s="3"/>
      <c r="E1720" s="3"/>
      <c r="F1720" s="3"/>
    </row>
    <row r="1721" spans="3:6" x14ac:dyDescent="0.3">
      <c r="C1721" s="3"/>
      <c r="D1721" s="3"/>
      <c r="E1721" s="3"/>
      <c r="F1721" s="3"/>
    </row>
    <row r="1722" spans="3:6" x14ac:dyDescent="0.3">
      <c r="C1722" s="3"/>
      <c r="D1722" s="3"/>
      <c r="E1722" s="3"/>
      <c r="F1722" s="3"/>
    </row>
    <row r="1723" spans="3:6" x14ac:dyDescent="0.3">
      <c r="C1723" s="3"/>
      <c r="D1723" s="3"/>
      <c r="E1723" s="3"/>
      <c r="F1723" s="3"/>
    </row>
    <row r="1724" spans="3:6" x14ac:dyDescent="0.3">
      <c r="C1724" s="3"/>
      <c r="D1724" s="3"/>
      <c r="E1724" s="3"/>
      <c r="F1724" s="3"/>
    </row>
    <row r="1725" spans="3:6" x14ac:dyDescent="0.3">
      <c r="C1725" s="3"/>
      <c r="D1725" s="3"/>
      <c r="E1725" s="3"/>
      <c r="F1725" s="3"/>
    </row>
    <row r="1726" spans="3:6" x14ac:dyDescent="0.3">
      <c r="C1726" s="3"/>
      <c r="D1726" s="3"/>
      <c r="E1726" s="3"/>
      <c r="F1726" s="3"/>
    </row>
    <row r="1727" spans="3:6" x14ac:dyDescent="0.3">
      <c r="C1727" s="3"/>
      <c r="D1727" s="3"/>
      <c r="E1727" s="3"/>
      <c r="F1727" s="3"/>
    </row>
    <row r="1728" spans="3:6" x14ac:dyDescent="0.3">
      <c r="C1728" s="3"/>
      <c r="D1728" s="3"/>
      <c r="E1728" s="3"/>
      <c r="F1728" s="3"/>
    </row>
    <row r="1729" spans="3:6" x14ac:dyDescent="0.3">
      <c r="C1729" s="3"/>
      <c r="D1729" s="3"/>
      <c r="E1729" s="3"/>
      <c r="F1729" s="3"/>
    </row>
    <row r="1730" spans="3:6" x14ac:dyDescent="0.3">
      <c r="C1730" s="3"/>
      <c r="D1730" s="3"/>
      <c r="E1730" s="3"/>
      <c r="F1730" s="3"/>
    </row>
    <row r="1731" spans="3:6" x14ac:dyDescent="0.3">
      <c r="C1731" s="3"/>
      <c r="D1731" s="3"/>
      <c r="E1731" s="3"/>
      <c r="F1731" s="3"/>
    </row>
    <row r="1732" spans="3:6" x14ac:dyDescent="0.3">
      <c r="C1732" s="3"/>
      <c r="D1732" s="3"/>
      <c r="E1732" s="3"/>
      <c r="F1732" s="3"/>
    </row>
    <row r="1733" spans="3:6" x14ac:dyDescent="0.3">
      <c r="C1733" s="3"/>
      <c r="D1733" s="3"/>
      <c r="E1733" s="3"/>
      <c r="F1733" s="3"/>
    </row>
    <row r="1734" spans="3:6" x14ac:dyDescent="0.3">
      <c r="C1734" s="3"/>
      <c r="D1734" s="3"/>
      <c r="E1734" s="3"/>
      <c r="F1734" s="3"/>
    </row>
    <row r="1735" spans="3:6" x14ac:dyDescent="0.3">
      <c r="C1735" s="3"/>
      <c r="D1735" s="3"/>
      <c r="E1735" s="3"/>
      <c r="F1735" s="3"/>
    </row>
    <row r="1736" spans="3:6" x14ac:dyDescent="0.3">
      <c r="C1736" s="3"/>
      <c r="D1736" s="3"/>
      <c r="E1736" s="3"/>
      <c r="F1736" s="3"/>
    </row>
    <row r="1737" spans="3:6" x14ac:dyDescent="0.3">
      <c r="C1737" s="3"/>
      <c r="D1737" s="3"/>
      <c r="E1737" s="3"/>
      <c r="F1737" s="3"/>
    </row>
    <row r="1738" spans="3:6" x14ac:dyDescent="0.3">
      <c r="C1738" s="3"/>
      <c r="D1738" s="3"/>
      <c r="E1738" s="3"/>
      <c r="F1738" s="3"/>
    </row>
    <row r="1739" spans="3:6" x14ac:dyDescent="0.3">
      <c r="C1739" s="3"/>
      <c r="D1739" s="3"/>
      <c r="E1739" s="3"/>
      <c r="F1739" s="3"/>
    </row>
    <row r="1740" spans="3:6" x14ac:dyDescent="0.3">
      <c r="C1740" s="3"/>
      <c r="D1740" s="3"/>
      <c r="E1740" s="3"/>
      <c r="F1740" s="3"/>
    </row>
    <row r="1741" spans="3:6" x14ac:dyDescent="0.3">
      <c r="C1741" s="3"/>
      <c r="D1741" s="3"/>
      <c r="E1741" s="3"/>
      <c r="F1741" s="3"/>
    </row>
    <row r="1742" spans="3:6" x14ac:dyDescent="0.3">
      <c r="C1742" s="3"/>
      <c r="D1742" s="3"/>
      <c r="E1742" s="3"/>
      <c r="F1742" s="3"/>
    </row>
    <row r="1743" spans="3:6" x14ac:dyDescent="0.3">
      <c r="C1743" s="3"/>
      <c r="D1743" s="3"/>
      <c r="E1743" s="3"/>
      <c r="F1743" s="3"/>
    </row>
    <row r="1744" spans="3:6" x14ac:dyDescent="0.3">
      <c r="C1744" s="3"/>
      <c r="D1744" s="3"/>
      <c r="E1744" s="3"/>
      <c r="F1744" s="3"/>
    </row>
    <row r="1745" spans="3:6" x14ac:dyDescent="0.3">
      <c r="C1745" s="3"/>
      <c r="D1745" s="3"/>
      <c r="E1745" s="3"/>
      <c r="F1745" s="3"/>
    </row>
    <row r="1746" spans="3:6" x14ac:dyDescent="0.3">
      <c r="C1746" s="3"/>
      <c r="D1746" s="3"/>
      <c r="E1746" s="3"/>
      <c r="F1746" s="3"/>
    </row>
    <row r="1747" spans="3:6" x14ac:dyDescent="0.3">
      <c r="C1747" s="3"/>
      <c r="D1747" s="3"/>
      <c r="E1747" s="3"/>
      <c r="F1747" s="3"/>
    </row>
    <row r="1748" spans="3:6" x14ac:dyDescent="0.3">
      <c r="C1748" s="3"/>
      <c r="D1748" s="3"/>
      <c r="E1748" s="3"/>
      <c r="F1748" s="3"/>
    </row>
    <row r="1749" spans="3:6" x14ac:dyDescent="0.3">
      <c r="C1749" s="3"/>
      <c r="D1749" s="3"/>
      <c r="E1749" s="3"/>
      <c r="F1749" s="3"/>
    </row>
    <row r="1750" spans="3:6" x14ac:dyDescent="0.3">
      <c r="C1750" s="3"/>
      <c r="D1750" s="3"/>
      <c r="E1750" s="3"/>
      <c r="F1750" s="3"/>
    </row>
    <row r="1751" spans="3:6" x14ac:dyDescent="0.3">
      <c r="C1751" s="3"/>
      <c r="D1751" s="3"/>
      <c r="E1751" s="3"/>
      <c r="F1751" s="3"/>
    </row>
    <row r="1752" spans="3:6" x14ac:dyDescent="0.3">
      <c r="C1752" s="3"/>
      <c r="D1752" s="3"/>
      <c r="E1752" s="3"/>
      <c r="F1752" s="3"/>
    </row>
    <row r="1753" spans="3:6" x14ac:dyDescent="0.3">
      <c r="C1753" s="3"/>
      <c r="D1753" s="3"/>
      <c r="E1753" s="3"/>
      <c r="F1753" s="3"/>
    </row>
    <row r="1754" spans="3:6" x14ac:dyDescent="0.3">
      <c r="C1754" s="3"/>
      <c r="D1754" s="3"/>
      <c r="E1754" s="3"/>
      <c r="F1754" s="3"/>
    </row>
    <row r="1755" spans="3:6" x14ac:dyDescent="0.3">
      <c r="C1755" s="3"/>
      <c r="D1755" s="3"/>
      <c r="E1755" s="3"/>
      <c r="F1755" s="3"/>
    </row>
    <row r="1756" spans="3:6" x14ac:dyDescent="0.3">
      <c r="C1756" s="3"/>
      <c r="D1756" s="3"/>
      <c r="E1756" s="3"/>
      <c r="F1756" s="3"/>
    </row>
    <row r="1757" spans="3:6" x14ac:dyDescent="0.3">
      <c r="C1757" s="3"/>
      <c r="D1757" s="3"/>
      <c r="E1757" s="3"/>
      <c r="F1757" s="3"/>
    </row>
    <row r="1758" spans="3:6" x14ac:dyDescent="0.3">
      <c r="C1758" s="3"/>
      <c r="D1758" s="3"/>
      <c r="E1758" s="3"/>
      <c r="F1758" s="3"/>
    </row>
    <row r="1759" spans="3:6" x14ac:dyDescent="0.3">
      <c r="C1759" s="3"/>
      <c r="D1759" s="3"/>
      <c r="E1759" s="3"/>
      <c r="F1759" s="3"/>
    </row>
    <row r="1760" spans="3:6" x14ac:dyDescent="0.3">
      <c r="C1760" s="3"/>
      <c r="D1760" s="3"/>
      <c r="E1760" s="3"/>
      <c r="F1760" s="3"/>
    </row>
    <row r="1761" spans="3:6" x14ac:dyDescent="0.3">
      <c r="C1761" s="3"/>
      <c r="D1761" s="3"/>
      <c r="E1761" s="3"/>
      <c r="F1761" s="3"/>
    </row>
    <row r="1762" spans="3:6" x14ac:dyDescent="0.3">
      <c r="C1762" s="3"/>
      <c r="D1762" s="3"/>
      <c r="E1762" s="3"/>
      <c r="F1762" s="3"/>
    </row>
    <row r="1763" spans="3:6" x14ac:dyDescent="0.3">
      <c r="C1763" s="3"/>
      <c r="D1763" s="3"/>
      <c r="E1763" s="3"/>
      <c r="F1763" s="3"/>
    </row>
    <row r="1764" spans="3:6" x14ac:dyDescent="0.3">
      <c r="C1764" s="3"/>
      <c r="D1764" s="3"/>
      <c r="E1764" s="3"/>
      <c r="F1764" s="3"/>
    </row>
    <row r="1765" spans="3:6" x14ac:dyDescent="0.3">
      <c r="C1765" s="3"/>
      <c r="D1765" s="3"/>
      <c r="E1765" s="3"/>
      <c r="F1765" s="3"/>
    </row>
    <row r="1766" spans="3:6" x14ac:dyDescent="0.3">
      <c r="C1766" s="3"/>
      <c r="D1766" s="3"/>
      <c r="E1766" s="3"/>
      <c r="F1766" s="3"/>
    </row>
    <row r="1767" spans="3:6" x14ac:dyDescent="0.3">
      <c r="C1767" s="3"/>
      <c r="D1767" s="3"/>
      <c r="E1767" s="3"/>
      <c r="F1767" s="3"/>
    </row>
    <row r="1768" spans="3:6" x14ac:dyDescent="0.3">
      <c r="C1768" s="3"/>
      <c r="D1768" s="3"/>
      <c r="E1768" s="3"/>
      <c r="F1768" s="3"/>
    </row>
    <row r="1769" spans="3:6" x14ac:dyDescent="0.3">
      <c r="C1769" s="3"/>
      <c r="D1769" s="3"/>
      <c r="E1769" s="3"/>
      <c r="F1769" s="3"/>
    </row>
    <row r="1770" spans="3:6" x14ac:dyDescent="0.3">
      <c r="C1770" s="3"/>
      <c r="D1770" s="3"/>
      <c r="E1770" s="3"/>
      <c r="F1770" s="3"/>
    </row>
    <row r="1771" spans="3:6" x14ac:dyDescent="0.3">
      <c r="C1771" s="3"/>
      <c r="D1771" s="3"/>
      <c r="E1771" s="3"/>
      <c r="F1771" s="3"/>
    </row>
    <row r="1772" spans="3:6" x14ac:dyDescent="0.3">
      <c r="C1772" s="3"/>
      <c r="D1772" s="3"/>
      <c r="E1772" s="3"/>
      <c r="F1772" s="3"/>
    </row>
    <row r="1773" spans="3:6" x14ac:dyDescent="0.3">
      <c r="C1773" s="3"/>
      <c r="D1773" s="3"/>
      <c r="E1773" s="3"/>
      <c r="F1773" s="3"/>
    </row>
    <row r="1774" spans="3:6" x14ac:dyDescent="0.3">
      <c r="C1774" s="3"/>
      <c r="D1774" s="3"/>
      <c r="E1774" s="3"/>
      <c r="F1774" s="3"/>
    </row>
    <row r="1775" spans="3:6" x14ac:dyDescent="0.3">
      <c r="C1775" s="3"/>
      <c r="D1775" s="3"/>
      <c r="E1775" s="3"/>
      <c r="F1775" s="3"/>
    </row>
    <row r="1776" spans="3:6" x14ac:dyDescent="0.3">
      <c r="C1776" s="3"/>
      <c r="D1776" s="3"/>
      <c r="E1776" s="3"/>
      <c r="F1776" s="3"/>
    </row>
    <row r="1777" spans="3:6" x14ac:dyDescent="0.3">
      <c r="C1777" s="3"/>
      <c r="D1777" s="3"/>
      <c r="E1777" s="3"/>
      <c r="F1777" s="3"/>
    </row>
    <row r="1778" spans="3:6" x14ac:dyDescent="0.3">
      <c r="C1778" s="3"/>
      <c r="D1778" s="3"/>
      <c r="E1778" s="3"/>
      <c r="F1778" s="3"/>
    </row>
    <row r="1779" spans="3:6" x14ac:dyDescent="0.3">
      <c r="C1779" s="3"/>
      <c r="D1779" s="3"/>
      <c r="E1779" s="3"/>
      <c r="F1779" s="3"/>
    </row>
    <row r="1780" spans="3:6" x14ac:dyDescent="0.3">
      <c r="C1780" s="3"/>
      <c r="D1780" s="3"/>
      <c r="E1780" s="3"/>
      <c r="F1780" s="3"/>
    </row>
    <row r="1781" spans="3:6" x14ac:dyDescent="0.3">
      <c r="C1781" s="3"/>
      <c r="D1781" s="3"/>
      <c r="E1781" s="3"/>
      <c r="F1781" s="3"/>
    </row>
    <row r="1782" spans="3:6" x14ac:dyDescent="0.3">
      <c r="C1782" s="3"/>
      <c r="D1782" s="3"/>
      <c r="E1782" s="3"/>
      <c r="F1782" s="3"/>
    </row>
    <row r="1783" spans="3:6" x14ac:dyDescent="0.3">
      <c r="C1783" s="3"/>
      <c r="D1783" s="3"/>
      <c r="E1783" s="3"/>
      <c r="F1783" s="3"/>
    </row>
    <row r="1784" spans="3:6" x14ac:dyDescent="0.3">
      <c r="C1784" s="3"/>
      <c r="D1784" s="3"/>
      <c r="E1784" s="3"/>
      <c r="F1784" s="3"/>
    </row>
    <row r="1785" spans="3:6" x14ac:dyDescent="0.3">
      <c r="C1785" s="3"/>
      <c r="D1785" s="3"/>
      <c r="E1785" s="3"/>
      <c r="F1785" s="3"/>
    </row>
    <row r="1786" spans="3:6" x14ac:dyDescent="0.3">
      <c r="C1786" s="3"/>
      <c r="D1786" s="3"/>
      <c r="E1786" s="3"/>
      <c r="F1786" s="3"/>
    </row>
    <row r="1787" spans="3:6" x14ac:dyDescent="0.3">
      <c r="C1787" s="3"/>
      <c r="D1787" s="3"/>
      <c r="E1787" s="3"/>
      <c r="F1787" s="3"/>
    </row>
    <row r="1788" spans="3:6" x14ac:dyDescent="0.3">
      <c r="C1788" s="3"/>
      <c r="D1788" s="3"/>
      <c r="E1788" s="3"/>
      <c r="F1788" s="3"/>
    </row>
    <row r="1789" spans="3:6" x14ac:dyDescent="0.3">
      <c r="C1789" s="3"/>
      <c r="D1789" s="3"/>
      <c r="E1789" s="3"/>
      <c r="F1789" s="3"/>
    </row>
    <row r="1790" spans="3:6" x14ac:dyDescent="0.3">
      <c r="C1790" s="3"/>
      <c r="D1790" s="3"/>
      <c r="E1790" s="3"/>
      <c r="F1790" s="3"/>
    </row>
    <row r="1791" spans="3:6" x14ac:dyDescent="0.3">
      <c r="C1791" s="3"/>
      <c r="D1791" s="3"/>
      <c r="E1791" s="3"/>
      <c r="F1791" s="3"/>
    </row>
    <row r="1792" spans="3:6" x14ac:dyDescent="0.3">
      <c r="C1792" s="3"/>
      <c r="D1792" s="3"/>
      <c r="E1792" s="3"/>
      <c r="F1792" s="3"/>
    </row>
    <row r="1793" spans="3:6" x14ac:dyDescent="0.3">
      <c r="C1793" s="3"/>
      <c r="D1793" s="3"/>
      <c r="E1793" s="3"/>
      <c r="F1793" s="3"/>
    </row>
    <row r="1794" spans="3:6" x14ac:dyDescent="0.3">
      <c r="C1794" s="3"/>
      <c r="D1794" s="3"/>
      <c r="E1794" s="3"/>
      <c r="F1794" s="3"/>
    </row>
    <row r="1795" spans="3:6" x14ac:dyDescent="0.3">
      <c r="C1795" s="3"/>
      <c r="D1795" s="3"/>
      <c r="E1795" s="3"/>
      <c r="F1795" s="3"/>
    </row>
    <row r="1796" spans="3:6" x14ac:dyDescent="0.3">
      <c r="C1796" s="3"/>
      <c r="D1796" s="3"/>
      <c r="E1796" s="3"/>
      <c r="F1796" s="3"/>
    </row>
    <row r="1797" spans="3:6" x14ac:dyDescent="0.3">
      <c r="C1797" s="3"/>
      <c r="D1797" s="3"/>
      <c r="E1797" s="3"/>
      <c r="F1797" s="3"/>
    </row>
    <row r="1798" spans="3:6" x14ac:dyDescent="0.3">
      <c r="C1798" s="3"/>
      <c r="D1798" s="3"/>
      <c r="E1798" s="3"/>
      <c r="F1798" s="3"/>
    </row>
    <row r="1799" spans="3:6" x14ac:dyDescent="0.3">
      <c r="C1799" s="3"/>
      <c r="D1799" s="3"/>
      <c r="E1799" s="3"/>
      <c r="F1799" s="3"/>
    </row>
    <row r="1800" spans="3:6" x14ac:dyDescent="0.3">
      <c r="C1800" s="3"/>
      <c r="D1800" s="3"/>
      <c r="E1800" s="3"/>
      <c r="F1800" s="3"/>
    </row>
    <row r="1801" spans="3:6" x14ac:dyDescent="0.3">
      <c r="C1801" s="3"/>
      <c r="D1801" s="3"/>
      <c r="E1801" s="3"/>
      <c r="F1801" s="3"/>
    </row>
    <row r="1802" spans="3:6" x14ac:dyDescent="0.3">
      <c r="C1802" s="3"/>
      <c r="D1802" s="3"/>
      <c r="E1802" s="3"/>
      <c r="F1802" s="3"/>
    </row>
    <row r="1803" spans="3:6" x14ac:dyDescent="0.3">
      <c r="C1803" s="3"/>
      <c r="D1803" s="3"/>
      <c r="E1803" s="3"/>
      <c r="F1803" s="3"/>
    </row>
    <row r="1804" spans="3:6" x14ac:dyDescent="0.3">
      <c r="C1804" s="3"/>
      <c r="D1804" s="3"/>
      <c r="E1804" s="3"/>
      <c r="F1804" s="3"/>
    </row>
    <row r="1805" spans="3:6" x14ac:dyDescent="0.3">
      <c r="C1805" s="3"/>
      <c r="D1805" s="3"/>
      <c r="E1805" s="3"/>
      <c r="F1805" s="3"/>
    </row>
    <row r="1806" spans="3:6" x14ac:dyDescent="0.3">
      <c r="C1806" s="3"/>
      <c r="D1806" s="3"/>
      <c r="E1806" s="3"/>
      <c r="F1806" s="3"/>
    </row>
    <row r="1807" spans="3:6" x14ac:dyDescent="0.3">
      <c r="C1807" s="3"/>
      <c r="D1807" s="3"/>
      <c r="E1807" s="3"/>
      <c r="F1807" s="3"/>
    </row>
    <row r="1808" spans="3:6" x14ac:dyDescent="0.3">
      <c r="C1808" s="3"/>
      <c r="D1808" s="3"/>
      <c r="E1808" s="3"/>
      <c r="F1808" s="3"/>
    </row>
    <row r="1809" spans="3:6" x14ac:dyDescent="0.3">
      <c r="C1809" s="3"/>
      <c r="D1809" s="3"/>
      <c r="E1809" s="3"/>
      <c r="F1809" s="3"/>
    </row>
    <row r="1810" spans="3:6" x14ac:dyDescent="0.3">
      <c r="C1810" s="3"/>
      <c r="D1810" s="3"/>
      <c r="E1810" s="3"/>
      <c r="F1810" s="3"/>
    </row>
    <row r="1811" spans="3:6" x14ac:dyDescent="0.3">
      <c r="C1811" s="3"/>
      <c r="D1811" s="3"/>
      <c r="E1811" s="3"/>
      <c r="F1811" s="3"/>
    </row>
    <row r="1812" spans="3:6" x14ac:dyDescent="0.3">
      <c r="C1812" s="3"/>
      <c r="D1812" s="3"/>
      <c r="E1812" s="3"/>
      <c r="F1812" s="3"/>
    </row>
    <row r="1813" spans="3:6" x14ac:dyDescent="0.3">
      <c r="C1813" s="3"/>
      <c r="D1813" s="3"/>
      <c r="E1813" s="3"/>
      <c r="F1813" s="3"/>
    </row>
    <row r="1814" spans="3:6" x14ac:dyDescent="0.3">
      <c r="C1814" s="3"/>
      <c r="D1814" s="3"/>
      <c r="E1814" s="3"/>
      <c r="F1814" s="3"/>
    </row>
    <row r="1815" spans="3:6" x14ac:dyDescent="0.3">
      <c r="C1815" s="3"/>
      <c r="D1815" s="3"/>
      <c r="E1815" s="3"/>
      <c r="F1815" s="3"/>
    </row>
    <row r="1816" spans="3:6" x14ac:dyDescent="0.3">
      <c r="C1816" s="3"/>
      <c r="D1816" s="3"/>
      <c r="E1816" s="3"/>
      <c r="F1816" s="3"/>
    </row>
    <row r="1817" spans="3:6" x14ac:dyDescent="0.3">
      <c r="C1817" s="3"/>
      <c r="D1817" s="3"/>
      <c r="E1817" s="3"/>
      <c r="F1817" s="3"/>
    </row>
    <row r="1818" spans="3:6" x14ac:dyDescent="0.3">
      <c r="C1818" s="3"/>
      <c r="D1818" s="3"/>
      <c r="E1818" s="3"/>
      <c r="F1818" s="3"/>
    </row>
    <row r="1819" spans="3:6" x14ac:dyDescent="0.3">
      <c r="C1819" s="3"/>
      <c r="D1819" s="3"/>
      <c r="E1819" s="3"/>
      <c r="F1819" s="3"/>
    </row>
    <row r="1820" spans="3:6" x14ac:dyDescent="0.3">
      <c r="C1820" s="3"/>
      <c r="D1820" s="3"/>
      <c r="E1820" s="3"/>
      <c r="F1820" s="3"/>
    </row>
    <row r="1821" spans="3:6" x14ac:dyDescent="0.3">
      <c r="C1821" s="3"/>
      <c r="D1821" s="3"/>
      <c r="E1821" s="3"/>
      <c r="F1821" s="3"/>
    </row>
    <row r="1822" spans="3:6" x14ac:dyDescent="0.3">
      <c r="C1822" s="3"/>
      <c r="D1822" s="3"/>
      <c r="E1822" s="3"/>
      <c r="F1822" s="3"/>
    </row>
    <row r="1823" spans="3:6" x14ac:dyDescent="0.3">
      <c r="C1823" s="3"/>
      <c r="D1823" s="3"/>
      <c r="E1823" s="3"/>
      <c r="F1823" s="3"/>
    </row>
    <row r="1824" spans="3:6" x14ac:dyDescent="0.3">
      <c r="C1824" s="3"/>
      <c r="D1824" s="3"/>
      <c r="E1824" s="3"/>
      <c r="F1824" s="3"/>
    </row>
    <row r="1825" spans="3:6" x14ac:dyDescent="0.3">
      <c r="C1825" s="3"/>
      <c r="D1825" s="3"/>
      <c r="E1825" s="3"/>
      <c r="F1825" s="3"/>
    </row>
    <row r="1826" spans="3:6" x14ac:dyDescent="0.3">
      <c r="C1826" s="3"/>
      <c r="D1826" s="3"/>
      <c r="E1826" s="3"/>
      <c r="F1826" s="3"/>
    </row>
    <row r="1827" spans="3:6" x14ac:dyDescent="0.3">
      <c r="C1827" s="3"/>
      <c r="D1827" s="3"/>
      <c r="E1827" s="3"/>
      <c r="F1827" s="3"/>
    </row>
    <row r="1828" spans="3:6" x14ac:dyDescent="0.3">
      <c r="C1828" s="3"/>
      <c r="D1828" s="3"/>
      <c r="E1828" s="3"/>
      <c r="F1828" s="3"/>
    </row>
    <row r="1829" spans="3:6" x14ac:dyDescent="0.3">
      <c r="C1829" s="3"/>
      <c r="D1829" s="3"/>
      <c r="E1829" s="3"/>
      <c r="F1829" s="3"/>
    </row>
    <row r="1830" spans="3:6" x14ac:dyDescent="0.3">
      <c r="C1830" s="3"/>
      <c r="D1830" s="3"/>
      <c r="E1830" s="3"/>
      <c r="F1830" s="3"/>
    </row>
    <row r="1831" spans="3:6" x14ac:dyDescent="0.3">
      <c r="C1831" s="3"/>
      <c r="D1831" s="3"/>
      <c r="E1831" s="3"/>
      <c r="F1831" s="3"/>
    </row>
    <row r="1832" spans="3:6" x14ac:dyDescent="0.3">
      <c r="C1832" s="3"/>
      <c r="D1832" s="3"/>
      <c r="E1832" s="3"/>
      <c r="F1832" s="3"/>
    </row>
    <row r="1833" spans="3:6" x14ac:dyDescent="0.3">
      <c r="C1833" s="3"/>
      <c r="D1833" s="3"/>
      <c r="E1833" s="3"/>
      <c r="F1833" s="3"/>
    </row>
    <row r="1834" spans="3:6" x14ac:dyDescent="0.3">
      <c r="C1834" s="3"/>
      <c r="D1834" s="3"/>
      <c r="E1834" s="3"/>
      <c r="F1834" s="3"/>
    </row>
    <row r="1835" spans="3:6" x14ac:dyDescent="0.3">
      <c r="C1835" s="3"/>
      <c r="D1835" s="3"/>
      <c r="E1835" s="3"/>
      <c r="F1835" s="3"/>
    </row>
    <row r="1836" spans="3:6" x14ac:dyDescent="0.3">
      <c r="C1836" s="3"/>
      <c r="D1836" s="3"/>
      <c r="E1836" s="3"/>
      <c r="F1836" s="3"/>
    </row>
    <row r="1837" spans="3:6" x14ac:dyDescent="0.3">
      <c r="C1837" s="3"/>
      <c r="D1837" s="3"/>
      <c r="E1837" s="3"/>
      <c r="F1837" s="3"/>
    </row>
    <row r="1838" spans="3:6" x14ac:dyDescent="0.3">
      <c r="C1838" s="3"/>
      <c r="D1838" s="3"/>
      <c r="E1838" s="3"/>
      <c r="F1838" s="3"/>
    </row>
    <row r="1839" spans="3:6" x14ac:dyDescent="0.3">
      <c r="C1839" s="3"/>
      <c r="D1839" s="3"/>
      <c r="E1839" s="3"/>
      <c r="F1839" s="3"/>
    </row>
    <row r="1840" spans="3:6" x14ac:dyDescent="0.3">
      <c r="C1840" s="3"/>
      <c r="D1840" s="3"/>
      <c r="E1840" s="3"/>
      <c r="F1840" s="3"/>
    </row>
    <row r="1841" spans="3:6" x14ac:dyDescent="0.3">
      <c r="C1841" s="3"/>
      <c r="D1841" s="3"/>
      <c r="E1841" s="3"/>
      <c r="F1841" s="3"/>
    </row>
    <row r="1842" spans="3:6" x14ac:dyDescent="0.3">
      <c r="C1842" s="3"/>
      <c r="D1842" s="3"/>
      <c r="E1842" s="3"/>
      <c r="F1842" s="3"/>
    </row>
    <row r="1843" spans="3:6" x14ac:dyDescent="0.3">
      <c r="C1843" s="3"/>
      <c r="D1843" s="3"/>
      <c r="E1843" s="3"/>
      <c r="F1843" s="3"/>
    </row>
    <row r="1844" spans="3:6" x14ac:dyDescent="0.3">
      <c r="C1844" s="3"/>
      <c r="D1844" s="3"/>
      <c r="E1844" s="3"/>
      <c r="F1844" s="3"/>
    </row>
    <row r="1845" spans="3:6" x14ac:dyDescent="0.3">
      <c r="C1845" s="3"/>
      <c r="D1845" s="3"/>
      <c r="E1845" s="3"/>
      <c r="F1845" s="3"/>
    </row>
    <row r="1846" spans="3:6" x14ac:dyDescent="0.3">
      <c r="C1846" s="3"/>
      <c r="D1846" s="3"/>
      <c r="E1846" s="3"/>
      <c r="F1846" s="3"/>
    </row>
    <row r="1847" spans="3:6" x14ac:dyDescent="0.3">
      <c r="C1847" s="3"/>
      <c r="D1847" s="3"/>
      <c r="E1847" s="3"/>
      <c r="F1847" s="3"/>
    </row>
    <row r="1848" spans="3:6" x14ac:dyDescent="0.3">
      <c r="C1848" s="3"/>
      <c r="D1848" s="3"/>
      <c r="E1848" s="3"/>
      <c r="F1848" s="3"/>
    </row>
    <row r="1849" spans="3:6" x14ac:dyDescent="0.3">
      <c r="C1849" s="3"/>
      <c r="D1849" s="3"/>
      <c r="E1849" s="3"/>
      <c r="F1849" s="3"/>
    </row>
    <row r="1850" spans="3:6" x14ac:dyDescent="0.3">
      <c r="C1850" s="3"/>
      <c r="D1850" s="3"/>
      <c r="E1850" s="3"/>
      <c r="F1850" s="3"/>
    </row>
    <row r="1851" spans="3:6" x14ac:dyDescent="0.3">
      <c r="C1851" s="3"/>
      <c r="D1851" s="3"/>
      <c r="E1851" s="3"/>
      <c r="F1851" s="3"/>
    </row>
    <row r="1852" spans="3:6" x14ac:dyDescent="0.3">
      <c r="C1852" s="3"/>
      <c r="D1852" s="3"/>
      <c r="E1852" s="3"/>
      <c r="F1852" s="3"/>
    </row>
    <row r="1853" spans="3:6" x14ac:dyDescent="0.3">
      <c r="C1853" s="3"/>
      <c r="D1853" s="3"/>
      <c r="E1853" s="3"/>
      <c r="F1853" s="3"/>
    </row>
    <row r="1854" spans="3:6" x14ac:dyDescent="0.3">
      <c r="C1854" s="3"/>
      <c r="D1854" s="3"/>
      <c r="E1854" s="3"/>
      <c r="F1854" s="3"/>
    </row>
    <row r="1855" spans="3:6" x14ac:dyDescent="0.3">
      <c r="C1855" s="3"/>
      <c r="D1855" s="3"/>
      <c r="E1855" s="3"/>
      <c r="F1855" s="3"/>
    </row>
    <row r="1856" spans="3:6" x14ac:dyDescent="0.3">
      <c r="C1856" s="3"/>
      <c r="D1856" s="3"/>
      <c r="E1856" s="3"/>
      <c r="F1856" s="3"/>
    </row>
    <row r="1857" spans="3:6" x14ac:dyDescent="0.3">
      <c r="C1857" s="3"/>
      <c r="D1857" s="3"/>
      <c r="E1857" s="3"/>
      <c r="F1857" s="3"/>
    </row>
    <row r="1858" spans="3:6" x14ac:dyDescent="0.3">
      <c r="C1858" s="3"/>
      <c r="D1858" s="3"/>
      <c r="E1858" s="3"/>
      <c r="F1858" s="3"/>
    </row>
    <row r="1859" spans="3:6" x14ac:dyDescent="0.3">
      <c r="C1859" s="3"/>
      <c r="D1859" s="3"/>
      <c r="E1859" s="3"/>
      <c r="F1859" s="3"/>
    </row>
    <row r="1860" spans="3:6" x14ac:dyDescent="0.3">
      <c r="C1860" s="3"/>
      <c r="D1860" s="3"/>
      <c r="E1860" s="3"/>
      <c r="F1860" s="3"/>
    </row>
    <row r="1861" spans="3:6" x14ac:dyDescent="0.3">
      <c r="C1861" s="3"/>
      <c r="D1861" s="3"/>
      <c r="E1861" s="3"/>
      <c r="F1861" s="3"/>
    </row>
    <row r="1862" spans="3:6" x14ac:dyDescent="0.3">
      <c r="C1862" s="3"/>
      <c r="D1862" s="3"/>
      <c r="E1862" s="3"/>
      <c r="F1862" s="3"/>
    </row>
    <row r="1863" spans="3:6" x14ac:dyDescent="0.3">
      <c r="C1863" s="3"/>
      <c r="D1863" s="3"/>
      <c r="E1863" s="3"/>
      <c r="F1863" s="3"/>
    </row>
    <row r="1864" spans="3:6" x14ac:dyDescent="0.3">
      <c r="C1864" s="3"/>
      <c r="D1864" s="3"/>
      <c r="E1864" s="3"/>
      <c r="F1864" s="3"/>
    </row>
    <row r="1865" spans="3:6" x14ac:dyDescent="0.3">
      <c r="C1865" s="3"/>
      <c r="D1865" s="3"/>
      <c r="E1865" s="3"/>
      <c r="F1865" s="3"/>
    </row>
    <row r="1866" spans="3:6" x14ac:dyDescent="0.3">
      <c r="C1866" s="3"/>
      <c r="D1866" s="3"/>
      <c r="E1866" s="3"/>
      <c r="F1866" s="3"/>
    </row>
    <row r="1867" spans="3:6" x14ac:dyDescent="0.3">
      <c r="C1867" s="3"/>
      <c r="D1867" s="3"/>
      <c r="E1867" s="3"/>
      <c r="F1867" s="3"/>
    </row>
    <row r="1868" spans="3:6" x14ac:dyDescent="0.3">
      <c r="C1868" s="3"/>
      <c r="D1868" s="3"/>
      <c r="E1868" s="3"/>
      <c r="F1868" s="3"/>
    </row>
    <row r="1869" spans="3:6" x14ac:dyDescent="0.3">
      <c r="C1869" s="3"/>
      <c r="D1869" s="3"/>
      <c r="E1869" s="3"/>
      <c r="F1869" s="3"/>
    </row>
    <row r="1870" spans="3:6" x14ac:dyDescent="0.3">
      <c r="C1870" s="3"/>
      <c r="D1870" s="3"/>
      <c r="E1870" s="3"/>
      <c r="F1870" s="3"/>
    </row>
    <row r="1871" spans="3:6" x14ac:dyDescent="0.3">
      <c r="C1871" s="3"/>
      <c r="D1871" s="3"/>
      <c r="E1871" s="3"/>
      <c r="F1871" s="3"/>
    </row>
    <row r="1872" spans="3:6" x14ac:dyDescent="0.3">
      <c r="C1872" s="3"/>
      <c r="D1872" s="3"/>
      <c r="E1872" s="3"/>
      <c r="F1872" s="3"/>
    </row>
    <row r="1873" spans="3:6" x14ac:dyDescent="0.3">
      <c r="C1873" s="3"/>
      <c r="D1873" s="3"/>
      <c r="E1873" s="3"/>
      <c r="F1873" s="3"/>
    </row>
    <row r="1874" spans="3:6" x14ac:dyDescent="0.3">
      <c r="C1874" s="3"/>
      <c r="D1874" s="3"/>
      <c r="E1874" s="3"/>
      <c r="F1874" s="3"/>
    </row>
    <row r="1875" spans="3:6" x14ac:dyDescent="0.3">
      <c r="C1875" s="3"/>
      <c r="D1875" s="3"/>
      <c r="E1875" s="3"/>
      <c r="F1875" s="3"/>
    </row>
    <row r="1876" spans="3:6" x14ac:dyDescent="0.3">
      <c r="C1876" s="3"/>
      <c r="D1876" s="3"/>
      <c r="E1876" s="3"/>
      <c r="F1876" s="3"/>
    </row>
    <row r="1877" spans="3:6" x14ac:dyDescent="0.3">
      <c r="C1877" s="3"/>
      <c r="D1877" s="3"/>
      <c r="E1877" s="3"/>
      <c r="F1877" s="3"/>
    </row>
    <row r="1878" spans="3:6" x14ac:dyDescent="0.3">
      <c r="C1878" s="3"/>
      <c r="D1878" s="3"/>
      <c r="E1878" s="3"/>
      <c r="F1878" s="3"/>
    </row>
    <row r="1879" spans="3:6" x14ac:dyDescent="0.3">
      <c r="C1879" s="3"/>
      <c r="D1879" s="3"/>
      <c r="E1879" s="3"/>
      <c r="F1879" s="3"/>
    </row>
    <row r="1880" spans="3:6" x14ac:dyDescent="0.3">
      <c r="C1880" s="3"/>
      <c r="D1880" s="3"/>
      <c r="E1880" s="3"/>
      <c r="F1880" s="3"/>
    </row>
    <row r="1881" spans="3:6" x14ac:dyDescent="0.3">
      <c r="C1881" s="3"/>
      <c r="D1881" s="3"/>
      <c r="E1881" s="3"/>
      <c r="F1881" s="3"/>
    </row>
    <row r="1882" spans="3:6" x14ac:dyDescent="0.3">
      <c r="C1882" s="3"/>
      <c r="D1882" s="3"/>
      <c r="E1882" s="3"/>
      <c r="F1882" s="3"/>
    </row>
    <row r="1883" spans="3:6" x14ac:dyDescent="0.3">
      <c r="C1883" s="3"/>
      <c r="D1883" s="3"/>
      <c r="E1883" s="3"/>
      <c r="F1883" s="3"/>
    </row>
    <row r="1884" spans="3:6" x14ac:dyDescent="0.3">
      <c r="C1884" s="3"/>
      <c r="D1884" s="3"/>
      <c r="E1884" s="3"/>
      <c r="F1884" s="3"/>
    </row>
    <row r="1885" spans="3:6" x14ac:dyDescent="0.3">
      <c r="C1885" s="3"/>
      <c r="D1885" s="3"/>
      <c r="E1885" s="3"/>
      <c r="F1885" s="3"/>
    </row>
    <row r="1886" spans="3:6" x14ac:dyDescent="0.3">
      <c r="C1886" s="3"/>
      <c r="D1886" s="3"/>
      <c r="E1886" s="3"/>
      <c r="F1886" s="3"/>
    </row>
    <row r="1887" spans="3:6" x14ac:dyDescent="0.3">
      <c r="C1887" s="3"/>
      <c r="D1887" s="3"/>
      <c r="E1887" s="3"/>
      <c r="F1887" s="3"/>
    </row>
    <row r="1888" spans="3:6" x14ac:dyDescent="0.3">
      <c r="C1888" s="3"/>
      <c r="D1888" s="3"/>
      <c r="E1888" s="3"/>
      <c r="F1888" s="3"/>
    </row>
    <row r="1889" spans="3:6" x14ac:dyDescent="0.3">
      <c r="C1889" s="3"/>
      <c r="D1889" s="3"/>
      <c r="E1889" s="3"/>
      <c r="F1889" s="3"/>
    </row>
    <row r="1890" spans="3:6" x14ac:dyDescent="0.3">
      <c r="C1890" s="3"/>
      <c r="D1890" s="3"/>
      <c r="E1890" s="3"/>
      <c r="F1890" s="3"/>
    </row>
    <row r="1891" spans="3:6" x14ac:dyDescent="0.3">
      <c r="C1891" s="3"/>
      <c r="D1891" s="3"/>
      <c r="E1891" s="3"/>
      <c r="F1891" s="3"/>
    </row>
    <row r="1892" spans="3:6" x14ac:dyDescent="0.3">
      <c r="C1892" s="3"/>
      <c r="D1892" s="3"/>
      <c r="E1892" s="3"/>
      <c r="F1892" s="3"/>
    </row>
    <row r="1893" spans="3:6" x14ac:dyDescent="0.3">
      <c r="C1893" s="3"/>
      <c r="D1893" s="3"/>
      <c r="E1893" s="3"/>
      <c r="F1893" s="3"/>
    </row>
    <row r="1894" spans="3:6" x14ac:dyDescent="0.3">
      <c r="C1894" s="3"/>
      <c r="D1894" s="3"/>
      <c r="E1894" s="3"/>
      <c r="F1894" s="3"/>
    </row>
    <row r="1895" spans="3:6" x14ac:dyDescent="0.3">
      <c r="C1895" s="3"/>
      <c r="D1895" s="3"/>
      <c r="E1895" s="3"/>
      <c r="F1895" s="3"/>
    </row>
    <row r="1896" spans="3:6" x14ac:dyDescent="0.3">
      <c r="C1896" s="3"/>
      <c r="D1896" s="3"/>
      <c r="E1896" s="3"/>
      <c r="F1896" s="3"/>
    </row>
    <row r="1897" spans="3:6" x14ac:dyDescent="0.3">
      <c r="C1897" s="3"/>
      <c r="D1897" s="3"/>
      <c r="E1897" s="3"/>
      <c r="F1897" s="3"/>
    </row>
    <row r="1898" spans="3:6" x14ac:dyDescent="0.3">
      <c r="C1898" s="3"/>
      <c r="D1898" s="3"/>
      <c r="E1898" s="3"/>
      <c r="F1898" s="3"/>
    </row>
    <row r="1899" spans="3:6" x14ac:dyDescent="0.3">
      <c r="C1899" s="3"/>
      <c r="D1899" s="3"/>
      <c r="E1899" s="3"/>
      <c r="F1899" s="3"/>
    </row>
    <row r="1900" spans="3:6" x14ac:dyDescent="0.3">
      <c r="C1900" s="3"/>
      <c r="D1900" s="3"/>
      <c r="E1900" s="3"/>
      <c r="F1900" s="3"/>
    </row>
    <row r="1901" spans="3:6" x14ac:dyDescent="0.3">
      <c r="C1901" s="3"/>
      <c r="D1901" s="3"/>
      <c r="E1901" s="3"/>
      <c r="F1901" s="3"/>
    </row>
    <row r="1902" spans="3:6" x14ac:dyDescent="0.3">
      <c r="C1902" s="3"/>
      <c r="D1902" s="3"/>
      <c r="E1902" s="3"/>
      <c r="F1902" s="3"/>
    </row>
    <row r="1903" spans="3:6" x14ac:dyDescent="0.3">
      <c r="C1903" s="3"/>
      <c r="D1903" s="3"/>
      <c r="E1903" s="3"/>
      <c r="F1903" s="3"/>
    </row>
    <row r="1904" spans="3:6" x14ac:dyDescent="0.3">
      <c r="C1904" s="3"/>
      <c r="D1904" s="3"/>
      <c r="E1904" s="3"/>
      <c r="F1904" s="3"/>
    </row>
    <row r="1905" spans="3:6" x14ac:dyDescent="0.3">
      <c r="C1905" s="3"/>
      <c r="D1905" s="3"/>
      <c r="E1905" s="3"/>
      <c r="F1905" s="3"/>
    </row>
    <row r="1906" spans="3:6" x14ac:dyDescent="0.3">
      <c r="C1906" s="3"/>
      <c r="D1906" s="3"/>
      <c r="E1906" s="3"/>
      <c r="F1906" s="3"/>
    </row>
    <row r="1907" spans="3:6" x14ac:dyDescent="0.3">
      <c r="C1907" s="3"/>
      <c r="D1907" s="3"/>
      <c r="E1907" s="3"/>
      <c r="F1907" s="3"/>
    </row>
    <row r="1908" spans="3:6" x14ac:dyDescent="0.3">
      <c r="C1908" s="3"/>
      <c r="D1908" s="3"/>
      <c r="E1908" s="3"/>
      <c r="F1908" s="3"/>
    </row>
    <row r="1909" spans="3:6" x14ac:dyDescent="0.3">
      <c r="C1909" s="3"/>
      <c r="D1909" s="3"/>
      <c r="E1909" s="3"/>
      <c r="F1909" s="3"/>
    </row>
    <row r="1910" spans="3:6" x14ac:dyDescent="0.3">
      <c r="C1910" s="3"/>
      <c r="D1910" s="3"/>
      <c r="E1910" s="3"/>
      <c r="F1910" s="3"/>
    </row>
    <row r="1911" spans="3:6" x14ac:dyDescent="0.3">
      <c r="C1911" s="3"/>
      <c r="D1911" s="3"/>
      <c r="E1911" s="3"/>
      <c r="F1911" s="3"/>
    </row>
    <row r="1912" spans="3:6" x14ac:dyDescent="0.3">
      <c r="C1912" s="3"/>
      <c r="D1912" s="3"/>
      <c r="E1912" s="3"/>
      <c r="F1912" s="3"/>
    </row>
    <row r="1913" spans="3:6" x14ac:dyDescent="0.3">
      <c r="C1913" s="3"/>
      <c r="D1913" s="3"/>
      <c r="E1913" s="3"/>
      <c r="F1913" s="3"/>
    </row>
    <row r="1914" spans="3:6" x14ac:dyDescent="0.3">
      <c r="C1914" s="3"/>
      <c r="D1914" s="3"/>
      <c r="E1914" s="3"/>
      <c r="F1914" s="3"/>
    </row>
    <row r="1915" spans="3:6" x14ac:dyDescent="0.3">
      <c r="C1915" s="3"/>
      <c r="D1915" s="3"/>
      <c r="E1915" s="3"/>
      <c r="F1915" s="3"/>
    </row>
    <row r="1916" spans="3:6" x14ac:dyDescent="0.3">
      <c r="C1916" s="3"/>
      <c r="D1916" s="3"/>
      <c r="E1916" s="3"/>
      <c r="F1916" s="3"/>
    </row>
    <row r="1917" spans="3:6" x14ac:dyDescent="0.3">
      <c r="C1917" s="3"/>
      <c r="D1917" s="3"/>
      <c r="E1917" s="3"/>
      <c r="F1917" s="3"/>
    </row>
    <row r="1918" spans="3:6" x14ac:dyDescent="0.3">
      <c r="C1918" s="3"/>
      <c r="D1918" s="3"/>
      <c r="E1918" s="3"/>
      <c r="F1918" s="3"/>
    </row>
    <row r="1919" spans="3:6" x14ac:dyDescent="0.3">
      <c r="C1919" s="3"/>
      <c r="D1919" s="3"/>
      <c r="E1919" s="3"/>
      <c r="F1919" s="3"/>
    </row>
    <row r="1920" spans="3:6" x14ac:dyDescent="0.3">
      <c r="C1920" s="3"/>
      <c r="D1920" s="3"/>
      <c r="E1920" s="3"/>
      <c r="F1920" s="3"/>
    </row>
    <row r="1921" spans="3:6" x14ac:dyDescent="0.3">
      <c r="C1921" s="3"/>
      <c r="D1921" s="3"/>
      <c r="E1921" s="3"/>
      <c r="F1921" s="3"/>
    </row>
    <row r="1922" spans="3:6" x14ac:dyDescent="0.3">
      <c r="C1922" s="3"/>
      <c r="D1922" s="3"/>
      <c r="E1922" s="3"/>
      <c r="F1922" s="3"/>
    </row>
    <row r="1923" spans="3:6" x14ac:dyDescent="0.3">
      <c r="C1923" s="3"/>
      <c r="D1923" s="3"/>
      <c r="E1923" s="3"/>
      <c r="F1923" s="3"/>
    </row>
    <row r="1924" spans="3:6" x14ac:dyDescent="0.3">
      <c r="C1924" s="3"/>
      <c r="D1924" s="3"/>
      <c r="E1924" s="3"/>
      <c r="F1924" s="3"/>
    </row>
    <row r="1925" spans="3:6" x14ac:dyDescent="0.3">
      <c r="C1925" s="3"/>
      <c r="D1925" s="3"/>
      <c r="E1925" s="3"/>
      <c r="F1925" s="3"/>
    </row>
    <row r="1926" spans="3:6" x14ac:dyDescent="0.3">
      <c r="C1926" s="3"/>
      <c r="D1926" s="3"/>
      <c r="E1926" s="3"/>
      <c r="F1926" s="3"/>
    </row>
    <row r="1927" spans="3:6" x14ac:dyDescent="0.3">
      <c r="C1927" s="3"/>
      <c r="D1927" s="3"/>
      <c r="E1927" s="3"/>
      <c r="F1927" s="3"/>
    </row>
    <row r="1928" spans="3:6" x14ac:dyDescent="0.3">
      <c r="C1928" s="3"/>
      <c r="D1928" s="3"/>
      <c r="E1928" s="3"/>
      <c r="F1928" s="3"/>
    </row>
    <row r="1929" spans="3:6" x14ac:dyDescent="0.3">
      <c r="C1929" s="3"/>
      <c r="D1929" s="3"/>
      <c r="E1929" s="3"/>
      <c r="F1929" s="3"/>
    </row>
    <row r="1930" spans="3:6" x14ac:dyDescent="0.3">
      <c r="C1930" s="3"/>
      <c r="D1930" s="3"/>
      <c r="E1930" s="3"/>
      <c r="F1930" s="3"/>
    </row>
    <row r="1931" spans="3:6" x14ac:dyDescent="0.3">
      <c r="C1931" s="3"/>
      <c r="D1931" s="3"/>
      <c r="E1931" s="3"/>
      <c r="F1931" s="3"/>
    </row>
    <row r="1932" spans="3:6" x14ac:dyDescent="0.3">
      <c r="C1932" s="3"/>
      <c r="D1932" s="3"/>
      <c r="E1932" s="3"/>
      <c r="F1932" s="3"/>
    </row>
    <row r="1933" spans="3:6" x14ac:dyDescent="0.3">
      <c r="C1933" s="3"/>
      <c r="D1933" s="3"/>
      <c r="E1933" s="3"/>
      <c r="F1933" s="3"/>
    </row>
    <row r="1934" spans="3:6" x14ac:dyDescent="0.3">
      <c r="C1934" s="3"/>
      <c r="D1934" s="3"/>
      <c r="E1934" s="3"/>
      <c r="F1934" s="3"/>
    </row>
    <row r="1935" spans="3:6" x14ac:dyDescent="0.3">
      <c r="C1935" s="3"/>
      <c r="D1935" s="3"/>
      <c r="E1935" s="3"/>
      <c r="F1935" s="3"/>
    </row>
    <row r="1936" spans="3:6" x14ac:dyDescent="0.3">
      <c r="C1936" s="3"/>
      <c r="D1936" s="3"/>
      <c r="E1936" s="3"/>
      <c r="F1936" s="3"/>
    </row>
    <row r="1937" spans="3:6" x14ac:dyDescent="0.3">
      <c r="C1937" s="3"/>
      <c r="D1937" s="3"/>
      <c r="E1937" s="3"/>
      <c r="F1937" s="3"/>
    </row>
    <row r="1938" spans="3:6" x14ac:dyDescent="0.3">
      <c r="C1938" s="3"/>
      <c r="D1938" s="3"/>
      <c r="E1938" s="3"/>
      <c r="F1938" s="3"/>
    </row>
    <row r="1939" spans="3:6" x14ac:dyDescent="0.3">
      <c r="C1939" s="3"/>
      <c r="D1939" s="3"/>
      <c r="E1939" s="3"/>
      <c r="F1939" s="3"/>
    </row>
    <row r="1940" spans="3:6" x14ac:dyDescent="0.3">
      <c r="C1940" s="3"/>
      <c r="D1940" s="3"/>
      <c r="E1940" s="3"/>
      <c r="F1940" s="3"/>
    </row>
    <row r="1941" spans="3:6" x14ac:dyDescent="0.3">
      <c r="C1941" s="3"/>
      <c r="D1941" s="3"/>
      <c r="E1941" s="3"/>
      <c r="F1941" s="3"/>
    </row>
    <row r="1942" spans="3:6" x14ac:dyDescent="0.3">
      <c r="C1942" s="3"/>
      <c r="D1942" s="3"/>
      <c r="E1942" s="3"/>
      <c r="F1942" s="3"/>
    </row>
    <row r="1943" spans="3:6" x14ac:dyDescent="0.3">
      <c r="C1943" s="3"/>
      <c r="D1943" s="3"/>
      <c r="E1943" s="3"/>
      <c r="F1943" s="3"/>
    </row>
    <row r="1944" spans="3:6" x14ac:dyDescent="0.3">
      <c r="C1944" s="3"/>
      <c r="D1944" s="3"/>
      <c r="E1944" s="3"/>
      <c r="F1944" s="3"/>
    </row>
    <row r="1945" spans="3:6" x14ac:dyDescent="0.3">
      <c r="C1945" s="3"/>
      <c r="D1945" s="3"/>
      <c r="E1945" s="3"/>
      <c r="F1945" s="3"/>
    </row>
    <row r="1946" spans="3:6" x14ac:dyDescent="0.3">
      <c r="C1946" s="3"/>
      <c r="D1946" s="3"/>
      <c r="E1946" s="3"/>
      <c r="F1946" s="3"/>
    </row>
    <row r="1947" spans="3:6" x14ac:dyDescent="0.3">
      <c r="C1947" s="3"/>
      <c r="D1947" s="3"/>
      <c r="E1947" s="3"/>
      <c r="F1947" s="3"/>
    </row>
    <row r="1948" spans="3:6" x14ac:dyDescent="0.3">
      <c r="C1948" s="3"/>
      <c r="D1948" s="3"/>
      <c r="E1948" s="3"/>
      <c r="F1948" s="3"/>
    </row>
    <row r="1949" spans="3:6" x14ac:dyDescent="0.3">
      <c r="C1949" s="3"/>
      <c r="D1949" s="3"/>
      <c r="E1949" s="3"/>
      <c r="F1949" s="3"/>
    </row>
    <row r="1950" spans="3:6" x14ac:dyDescent="0.3">
      <c r="C1950" s="3"/>
      <c r="D1950" s="3"/>
      <c r="E1950" s="3"/>
      <c r="F1950" s="3"/>
    </row>
    <row r="1951" spans="3:6" x14ac:dyDescent="0.3">
      <c r="C1951" s="3"/>
      <c r="D1951" s="3"/>
      <c r="E1951" s="3"/>
      <c r="F1951" s="3"/>
    </row>
    <row r="1952" spans="3:6" x14ac:dyDescent="0.3">
      <c r="C1952" s="3"/>
      <c r="D1952" s="3"/>
      <c r="E1952" s="3"/>
      <c r="F1952" s="3"/>
    </row>
    <row r="1953" spans="3:6" x14ac:dyDescent="0.3">
      <c r="C1953" s="3"/>
      <c r="D1953" s="3"/>
      <c r="E1953" s="3"/>
      <c r="F1953" s="3"/>
    </row>
    <row r="1954" spans="3:6" x14ac:dyDescent="0.3">
      <c r="C1954" s="3"/>
      <c r="D1954" s="3"/>
      <c r="E1954" s="3"/>
      <c r="F1954" s="3"/>
    </row>
    <row r="1955" spans="3:6" x14ac:dyDescent="0.3">
      <c r="C1955" s="3"/>
      <c r="D1955" s="3"/>
      <c r="E1955" s="3"/>
      <c r="F1955" s="3"/>
    </row>
    <row r="1956" spans="3:6" x14ac:dyDescent="0.3">
      <c r="C1956" s="3"/>
      <c r="D1956" s="3"/>
      <c r="E1956" s="3"/>
      <c r="F1956" s="3"/>
    </row>
    <row r="1957" spans="3:6" x14ac:dyDescent="0.3">
      <c r="C1957" s="3"/>
      <c r="D1957" s="3"/>
      <c r="E1957" s="3"/>
      <c r="F1957" s="3"/>
    </row>
    <row r="1958" spans="3:6" x14ac:dyDescent="0.3">
      <c r="C1958" s="3"/>
      <c r="D1958" s="3"/>
      <c r="E1958" s="3"/>
      <c r="F1958" s="3"/>
    </row>
    <row r="1959" spans="3:6" x14ac:dyDescent="0.3">
      <c r="C1959" s="3"/>
      <c r="D1959" s="3"/>
      <c r="E1959" s="3"/>
      <c r="F1959" s="3"/>
    </row>
    <row r="1960" spans="3:6" x14ac:dyDescent="0.3">
      <c r="C1960" s="3"/>
      <c r="D1960" s="3"/>
      <c r="E1960" s="3"/>
      <c r="F1960" s="3"/>
    </row>
    <row r="1961" spans="3:6" x14ac:dyDescent="0.3">
      <c r="C1961" s="3"/>
      <c r="D1961" s="3"/>
      <c r="E1961" s="3"/>
      <c r="F1961" s="3"/>
    </row>
    <row r="1962" spans="3:6" x14ac:dyDescent="0.3">
      <c r="C1962" s="3"/>
      <c r="D1962" s="3"/>
      <c r="E1962" s="3"/>
      <c r="F1962" s="3"/>
    </row>
    <row r="1963" spans="3:6" x14ac:dyDescent="0.3">
      <c r="C1963" s="3"/>
      <c r="D1963" s="3"/>
      <c r="E1963" s="3"/>
      <c r="F1963" s="3"/>
    </row>
    <row r="1964" spans="3:6" x14ac:dyDescent="0.3">
      <c r="C1964" s="3"/>
      <c r="D1964" s="3"/>
      <c r="E1964" s="3"/>
      <c r="F1964" s="3"/>
    </row>
    <row r="1965" spans="3:6" x14ac:dyDescent="0.3">
      <c r="C1965" s="3"/>
      <c r="D1965" s="3"/>
      <c r="E1965" s="3"/>
      <c r="F1965" s="3"/>
    </row>
    <row r="1966" spans="3:6" x14ac:dyDescent="0.3">
      <c r="C1966" s="3"/>
      <c r="D1966" s="3"/>
      <c r="E1966" s="3"/>
      <c r="F1966" s="3"/>
    </row>
    <row r="1967" spans="3:6" x14ac:dyDescent="0.3">
      <c r="C1967" s="3"/>
      <c r="D1967" s="3"/>
      <c r="E1967" s="3"/>
      <c r="F1967" s="3"/>
    </row>
    <row r="1968" spans="3:6" x14ac:dyDescent="0.3">
      <c r="C1968" s="3"/>
      <c r="D1968" s="3"/>
      <c r="E1968" s="3"/>
      <c r="F1968" s="3"/>
    </row>
    <row r="1969" spans="3:6" x14ac:dyDescent="0.3">
      <c r="C1969" s="3"/>
      <c r="D1969" s="3"/>
      <c r="E1969" s="3"/>
      <c r="F1969" s="3"/>
    </row>
    <row r="1970" spans="3:6" x14ac:dyDescent="0.3">
      <c r="C1970" s="3"/>
      <c r="D1970" s="3"/>
      <c r="E1970" s="3"/>
      <c r="F1970" s="3"/>
    </row>
    <row r="1971" spans="3:6" x14ac:dyDescent="0.3">
      <c r="C1971" s="3"/>
      <c r="D1971" s="3"/>
      <c r="E1971" s="3"/>
      <c r="F1971" s="3"/>
    </row>
    <row r="1972" spans="3:6" x14ac:dyDescent="0.3">
      <c r="C1972" s="3"/>
      <c r="D1972" s="3"/>
      <c r="E1972" s="3"/>
      <c r="F1972" s="3"/>
    </row>
    <row r="1973" spans="3:6" x14ac:dyDescent="0.3">
      <c r="C1973" s="3"/>
      <c r="D1973" s="3"/>
      <c r="E1973" s="3"/>
      <c r="F1973" s="3"/>
    </row>
    <row r="1974" spans="3:6" x14ac:dyDescent="0.3">
      <c r="C1974" s="3"/>
      <c r="D1974" s="3"/>
      <c r="E1974" s="3"/>
      <c r="F1974" s="3"/>
    </row>
    <row r="1975" spans="3:6" x14ac:dyDescent="0.3">
      <c r="C1975" s="3"/>
      <c r="D1975" s="3"/>
      <c r="E1975" s="3"/>
      <c r="F1975" s="3"/>
    </row>
    <row r="1976" spans="3:6" x14ac:dyDescent="0.3">
      <c r="C1976" s="3"/>
      <c r="D1976" s="3"/>
      <c r="E1976" s="3"/>
      <c r="F1976" s="3"/>
    </row>
    <row r="1977" spans="3:6" x14ac:dyDescent="0.3">
      <c r="C1977" s="3"/>
      <c r="D1977" s="3"/>
      <c r="E1977" s="3"/>
      <c r="F1977" s="3"/>
    </row>
    <row r="1978" spans="3:6" x14ac:dyDescent="0.3">
      <c r="C1978" s="3"/>
      <c r="D1978" s="3"/>
      <c r="E1978" s="3"/>
      <c r="F1978" s="3"/>
    </row>
    <row r="1979" spans="3:6" x14ac:dyDescent="0.3">
      <c r="C1979" s="3"/>
      <c r="D1979" s="3"/>
      <c r="E1979" s="3"/>
      <c r="F1979" s="3"/>
    </row>
    <row r="1980" spans="3:6" x14ac:dyDescent="0.3">
      <c r="C1980" s="3"/>
      <c r="D1980" s="3"/>
      <c r="E1980" s="3"/>
      <c r="F1980" s="3"/>
    </row>
    <row r="1981" spans="3:6" x14ac:dyDescent="0.3">
      <c r="C1981" s="3"/>
      <c r="D1981" s="3"/>
      <c r="E1981" s="3"/>
      <c r="F1981" s="3"/>
    </row>
    <row r="1982" spans="3:6" x14ac:dyDescent="0.3">
      <c r="C1982" s="3"/>
      <c r="D1982" s="3"/>
      <c r="E1982" s="3"/>
      <c r="F1982" s="3"/>
    </row>
    <row r="1983" spans="3:6" x14ac:dyDescent="0.3">
      <c r="C1983" s="3"/>
      <c r="D1983" s="3"/>
      <c r="E1983" s="3"/>
      <c r="F1983" s="3"/>
    </row>
    <row r="1984" spans="3:6" x14ac:dyDescent="0.3">
      <c r="C1984" s="3"/>
      <c r="D1984" s="3"/>
      <c r="E1984" s="3"/>
      <c r="F1984" s="3"/>
    </row>
    <row r="1985" spans="3:6" x14ac:dyDescent="0.3">
      <c r="C1985" s="3"/>
      <c r="D1985" s="3"/>
      <c r="E1985" s="3"/>
      <c r="F1985" s="3"/>
    </row>
    <row r="1986" spans="3:6" x14ac:dyDescent="0.3">
      <c r="C1986" s="3"/>
      <c r="D1986" s="3"/>
      <c r="E1986" s="3"/>
      <c r="F1986" s="3"/>
    </row>
    <row r="1987" spans="3:6" x14ac:dyDescent="0.3">
      <c r="C1987" s="3"/>
      <c r="D1987" s="3"/>
      <c r="E1987" s="3"/>
      <c r="F1987" s="3"/>
    </row>
    <row r="1988" spans="3:6" x14ac:dyDescent="0.3">
      <c r="C1988" s="3"/>
      <c r="D1988" s="3"/>
      <c r="E1988" s="3"/>
      <c r="F1988" s="3"/>
    </row>
    <row r="1989" spans="3:6" x14ac:dyDescent="0.3">
      <c r="C1989" s="3"/>
      <c r="D1989" s="3"/>
      <c r="E1989" s="3"/>
      <c r="F1989" s="3"/>
    </row>
    <row r="1990" spans="3:6" x14ac:dyDescent="0.3">
      <c r="C1990" s="3"/>
      <c r="D1990" s="3"/>
      <c r="E1990" s="3"/>
      <c r="F1990" s="3"/>
    </row>
    <row r="1991" spans="3:6" x14ac:dyDescent="0.3">
      <c r="C1991" s="3"/>
      <c r="D1991" s="3"/>
      <c r="E1991" s="3"/>
      <c r="F1991" s="3"/>
    </row>
    <row r="1992" spans="3:6" x14ac:dyDescent="0.3">
      <c r="C1992" s="3"/>
      <c r="D1992" s="3"/>
      <c r="E1992" s="3"/>
      <c r="F1992" s="3"/>
    </row>
    <row r="1993" spans="3:6" x14ac:dyDescent="0.3">
      <c r="C1993" s="3"/>
      <c r="D1993" s="3"/>
      <c r="E1993" s="3"/>
      <c r="F1993" s="3"/>
    </row>
    <row r="1994" spans="3:6" x14ac:dyDescent="0.3">
      <c r="C1994" s="3"/>
      <c r="D1994" s="3"/>
      <c r="E1994" s="3"/>
      <c r="F1994" s="3"/>
    </row>
    <row r="1995" spans="3:6" x14ac:dyDescent="0.3">
      <c r="C1995" s="3"/>
      <c r="D1995" s="3"/>
      <c r="E1995" s="3"/>
      <c r="F1995" s="3"/>
    </row>
    <row r="1996" spans="3:6" x14ac:dyDescent="0.3">
      <c r="C1996" s="3"/>
      <c r="D1996" s="3"/>
      <c r="E1996" s="3"/>
      <c r="F1996" s="3"/>
    </row>
    <row r="1997" spans="3:6" x14ac:dyDescent="0.3">
      <c r="C1997" s="3"/>
      <c r="D1997" s="3"/>
      <c r="E1997" s="3"/>
      <c r="F1997" s="3"/>
    </row>
    <row r="1998" spans="3:6" x14ac:dyDescent="0.3">
      <c r="C1998" s="3"/>
      <c r="D1998" s="3"/>
      <c r="E1998" s="3"/>
      <c r="F1998" s="3"/>
    </row>
    <row r="1999" spans="3:6" x14ac:dyDescent="0.3">
      <c r="C1999" s="3"/>
      <c r="D1999" s="3"/>
      <c r="E1999" s="3"/>
      <c r="F1999" s="3"/>
    </row>
    <row r="2000" spans="3:6" x14ac:dyDescent="0.3">
      <c r="C2000" s="3"/>
      <c r="D2000" s="3"/>
      <c r="E2000" s="3"/>
      <c r="F2000" s="3"/>
    </row>
    <row r="2001" spans="3:6" x14ac:dyDescent="0.3">
      <c r="C2001" s="3"/>
      <c r="D2001" s="3"/>
      <c r="E2001" s="3"/>
      <c r="F2001" s="3"/>
    </row>
    <row r="2002" spans="3:6" x14ac:dyDescent="0.3">
      <c r="C2002" s="3"/>
      <c r="D2002" s="3"/>
      <c r="E2002" s="3"/>
      <c r="F2002" s="3"/>
    </row>
    <row r="2003" spans="3:6" x14ac:dyDescent="0.3">
      <c r="C2003" s="3"/>
      <c r="D2003" s="3"/>
      <c r="E2003" s="3"/>
      <c r="F2003" s="3"/>
    </row>
    <row r="2004" spans="3:6" x14ac:dyDescent="0.3">
      <c r="C2004" s="3"/>
      <c r="D2004" s="3"/>
      <c r="E2004" s="3"/>
      <c r="F2004" s="3"/>
    </row>
    <row r="2005" spans="3:6" x14ac:dyDescent="0.3">
      <c r="C2005" s="3"/>
      <c r="D2005" s="3"/>
      <c r="E2005" s="3"/>
      <c r="F2005" s="3"/>
    </row>
    <row r="2006" spans="3:6" x14ac:dyDescent="0.3">
      <c r="C2006" s="3"/>
      <c r="D2006" s="3"/>
      <c r="E2006" s="3"/>
      <c r="F2006" s="3"/>
    </row>
    <row r="2007" spans="3:6" x14ac:dyDescent="0.3">
      <c r="C2007" s="3"/>
      <c r="D2007" s="3"/>
      <c r="E2007" s="3"/>
      <c r="F2007" s="3"/>
    </row>
    <row r="2008" spans="3:6" x14ac:dyDescent="0.3">
      <c r="C2008" s="3"/>
      <c r="D2008" s="3"/>
      <c r="E2008" s="3"/>
      <c r="F2008" s="3"/>
    </row>
    <row r="2009" spans="3:6" x14ac:dyDescent="0.3">
      <c r="C2009" s="3"/>
      <c r="D2009" s="3"/>
      <c r="E2009" s="3"/>
      <c r="F2009" s="3"/>
    </row>
    <row r="2010" spans="3:6" x14ac:dyDescent="0.3">
      <c r="C2010" s="3"/>
      <c r="D2010" s="3"/>
      <c r="E2010" s="3"/>
      <c r="F2010" s="3"/>
    </row>
    <row r="2011" spans="3:6" x14ac:dyDescent="0.3">
      <c r="C2011" s="3"/>
      <c r="D2011" s="3"/>
      <c r="E2011" s="3"/>
      <c r="F2011" s="3"/>
    </row>
    <row r="2012" spans="3:6" x14ac:dyDescent="0.3">
      <c r="C2012" s="3"/>
      <c r="D2012" s="3"/>
      <c r="E2012" s="3"/>
      <c r="F2012" s="3"/>
    </row>
    <row r="2013" spans="3:6" x14ac:dyDescent="0.3">
      <c r="C2013" s="3"/>
      <c r="D2013" s="3"/>
      <c r="E2013" s="3"/>
      <c r="F2013" s="3"/>
    </row>
    <row r="2014" spans="3:6" x14ac:dyDescent="0.3">
      <c r="C2014" s="3"/>
      <c r="D2014" s="3"/>
      <c r="E2014" s="3"/>
      <c r="F2014" s="3"/>
    </row>
    <row r="2015" spans="3:6" x14ac:dyDescent="0.3">
      <c r="C2015" s="3"/>
      <c r="D2015" s="3"/>
      <c r="E2015" s="3"/>
      <c r="F2015" s="3"/>
    </row>
    <row r="2016" spans="3:6" x14ac:dyDescent="0.3">
      <c r="C2016" s="3"/>
      <c r="D2016" s="3"/>
      <c r="E2016" s="3"/>
      <c r="F2016" s="3"/>
    </row>
    <row r="2017" spans="3:6" x14ac:dyDescent="0.3">
      <c r="C2017" s="3"/>
      <c r="D2017" s="3"/>
      <c r="E2017" s="3"/>
      <c r="F2017" s="3"/>
    </row>
    <row r="2018" spans="3:6" x14ac:dyDescent="0.3">
      <c r="C2018" s="3"/>
      <c r="D2018" s="3"/>
      <c r="E2018" s="3"/>
      <c r="F2018" s="3"/>
    </row>
    <row r="2019" spans="3:6" x14ac:dyDescent="0.3">
      <c r="C2019" s="3"/>
      <c r="D2019" s="3"/>
      <c r="E2019" s="3"/>
      <c r="F2019" s="3"/>
    </row>
    <row r="2020" spans="3:6" x14ac:dyDescent="0.3">
      <c r="C2020" s="3"/>
      <c r="D2020" s="3"/>
      <c r="E2020" s="3"/>
      <c r="F2020" s="3"/>
    </row>
    <row r="2021" spans="3:6" x14ac:dyDescent="0.3">
      <c r="C2021" s="3"/>
      <c r="D2021" s="3"/>
      <c r="E2021" s="3"/>
      <c r="F2021" s="3"/>
    </row>
    <row r="2022" spans="3:6" x14ac:dyDescent="0.3">
      <c r="C2022" s="3"/>
      <c r="D2022" s="3"/>
      <c r="E2022" s="3"/>
      <c r="F2022" s="3"/>
    </row>
    <row r="2023" spans="3:6" x14ac:dyDescent="0.3">
      <c r="C2023" s="3"/>
      <c r="D2023" s="3"/>
      <c r="E2023" s="3"/>
      <c r="F2023" s="3"/>
    </row>
    <row r="2024" spans="3:6" x14ac:dyDescent="0.3">
      <c r="C2024" s="3"/>
      <c r="D2024" s="3"/>
      <c r="E2024" s="3"/>
      <c r="F2024" s="3"/>
    </row>
    <row r="2025" spans="3:6" x14ac:dyDescent="0.3">
      <c r="C2025" s="3"/>
      <c r="D2025" s="3"/>
      <c r="E2025" s="3"/>
      <c r="F2025" s="3"/>
    </row>
    <row r="2026" spans="3:6" x14ac:dyDescent="0.3">
      <c r="C2026" s="3"/>
      <c r="D2026" s="3"/>
      <c r="E2026" s="3"/>
      <c r="F2026" s="3"/>
    </row>
    <row r="2027" spans="3:6" x14ac:dyDescent="0.3">
      <c r="C2027" s="3"/>
      <c r="D2027" s="3"/>
      <c r="E2027" s="3"/>
      <c r="F2027" s="3"/>
    </row>
    <row r="2028" spans="3:6" x14ac:dyDescent="0.3">
      <c r="C2028" s="3"/>
      <c r="D2028" s="3"/>
      <c r="E2028" s="3"/>
      <c r="F2028" s="3"/>
    </row>
    <row r="2029" spans="3:6" x14ac:dyDescent="0.3">
      <c r="C2029" s="3"/>
      <c r="D2029" s="3"/>
      <c r="E2029" s="3"/>
      <c r="F2029" s="3"/>
    </row>
    <row r="2030" spans="3:6" x14ac:dyDescent="0.3">
      <c r="C2030" s="3"/>
      <c r="D2030" s="3"/>
      <c r="E2030" s="3"/>
      <c r="F2030" s="3"/>
    </row>
    <row r="2031" spans="3:6" x14ac:dyDescent="0.3">
      <c r="C2031" s="3"/>
      <c r="D2031" s="3"/>
      <c r="E2031" s="3"/>
      <c r="F2031" s="3"/>
    </row>
    <row r="2032" spans="3:6" x14ac:dyDescent="0.3">
      <c r="C2032" s="3"/>
      <c r="D2032" s="3"/>
      <c r="E2032" s="3"/>
      <c r="F2032" s="3"/>
    </row>
    <row r="2033" spans="3:6" x14ac:dyDescent="0.3">
      <c r="C2033" s="3"/>
      <c r="D2033" s="3"/>
      <c r="E2033" s="3"/>
      <c r="F2033" s="3"/>
    </row>
    <row r="2034" spans="3:6" x14ac:dyDescent="0.3">
      <c r="C2034" s="3"/>
      <c r="D2034" s="3"/>
      <c r="E2034" s="3"/>
      <c r="F2034" s="3"/>
    </row>
    <row r="2035" spans="3:6" x14ac:dyDescent="0.3">
      <c r="C2035" s="3"/>
      <c r="D2035" s="3"/>
      <c r="E2035" s="3"/>
      <c r="F2035" s="3"/>
    </row>
    <row r="2036" spans="3:6" x14ac:dyDescent="0.3">
      <c r="C2036" s="3"/>
      <c r="D2036" s="3"/>
      <c r="E2036" s="3"/>
      <c r="F2036" s="3"/>
    </row>
    <row r="2037" spans="3:6" x14ac:dyDescent="0.3">
      <c r="C2037" s="3"/>
      <c r="D2037" s="3"/>
      <c r="E2037" s="3"/>
      <c r="F2037" s="3"/>
    </row>
    <row r="2038" spans="3:6" x14ac:dyDescent="0.3">
      <c r="C2038" s="3"/>
      <c r="D2038" s="3"/>
      <c r="E2038" s="3"/>
      <c r="F2038" s="3"/>
    </row>
    <row r="2039" spans="3:6" x14ac:dyDescent="0.3">
      <c r="C2039" s="3"/>
      <c r="D2039" s="3"/>
      <c r="E2039" s="3"/>
      <c r="F2039" s="3"/>
    </row>
    <row r="2040" spans="3:6" x14ac:dyDescent="0.3">
      <c r="C2040" s="3"/>
      <c r="D2040" s="3"/>
      <c r="E2040" s="3"/>
      <c r="F2040" s="3"/>
    </row>
    <row r="2041" spans="3:6" x14ac:dyDescent="0.3">
      <c r="C2041" s="3"/>
      <c r="D2041" s="3"/>
      <c r="E2041" s="3"/>
      <c r="F2041" s="3"/>
    </row>
    <row r="2042" spans="3:6" x14ac:dyDescent="0.3">
      <c r="C2042" s="3"/>
      <c r="D2042" s="3"/>
      <c r="E2042" s="3"/>
      <c r="F2042" s="3"/>
    </row>
    <row r="2043" spans="3:6" x14ac:dyDescent="0.3">
      <c r="C2043" s="3"/>
      <c r="D2043" s="3"/>
      <c r="E2043" s="3"/>
      <c r="F2043" s="3"/>
    </row>
    <row r="2044" spans="3:6" x14ac:dyDescent="0.3">
      <c r="C2044" s="3"/>
      <c r="D2044" s="3"/>
      <c r="E2044" s="3"/>
      <c r="F2044" s="3"/>
    </row>
    <row r="2045" spans="3:6" x14ac:dyDescent="0.3">
      <c r="C2045" s="3"/>
      <c r="D2045" s="3"/>
      <c r="E2045" s="3"/>
      <c r="F2045" s="3"/>
    </row>
    <row r="2046" spans="3:6" x14ac:dyDescent="0.3">
      <c r="C2046" s="3"/>
      <c r="D2046" s="3"/>
      <c r="E2046" s="3"/>
      <c r="F2046" s="3"/>
    </row>
    <row r="2047" spans="3:6" x14ac:dyDescent="0.3">
      <c r="C2047" s="3"/>
      <c r="D2047" s="3"/>
      <c r="E2047" s="3"/>
      <c r="F2047" s="3"/>
    </row>
    <row r="2048" spans="3:6" x14ac:dyDescent="0.3">
      <c r="C2048" s="3"/>
      <c r="D2048" s="3"/>
      <c r="E2048" s="3"/>
      <c r="F2048" s="3"/>
    </row>
    <row r="2049" spans="3:6" x14ac:dyDescent="0.3">
      <c r="C2049" s="3"/>
      <c r="D2049" s="3"/>
      <c r="E2049" s="3"/>
      <c r="F2049" s="3"/>
    </row>
    <row r="2050" spans="3:6" x14ac:dyDescent="0.3">
      <c r="C2050" s="3"/>
      <c r="D2050" s="3"/>
      <c r="E2050" s="3"/>
      <c r="F2050" s="3"/>
    </row>
    <row r="2051" spans="3:6" x14ac:dyDescent="0.3">
      <c r="C2051" s="3"/>
      <c r="D2051" s="3"/>
      <c r="E2051" s="3"/>
      <c r="F2051" s="3"/>
    </row>
    <row r="2052" spans="3:6" x14ac:dyDescent="0.3">
      <c r="C2052" s="3"/>
      <c r="D2052" s="3"/>
      <c r="E2052" s="3"/>
      <c r="F2052" s="3"/>
    </row>
    <row r="2053" spans="3:6" x14ac:dyDescent="0.3">
      <c r="C2053" s="3"/>
      <c r="D2053" s="3"/>
      <c r="E2053" s="3"/>
      <c r="F2053" s="3"/>
    </row>
    <row r="2054" spans="3:6" x14ac:dyDescent="0.3">
      <c r="C2054" s="3"/>
      <c r="D2054" s="3"/>
      <c r="E2054" s="3"/>
      <c r="F2054" s="3"/>
    </row>
    <row r="2055" spans="3:6" x14ac:dyDescent="0.3">
      <c r="C2055" s="3"/>
      <c r="D2055" s="3"/>
      <c r="E2055" s="3"/>
      <c r="F2055" s="3"/>
    </row>
    <row r="2056" spans="3:6" x14ac:dyDescent="0.3">
      <c r="C2056" s="3"/>
      <c r="D2056" s="3"/>
      <c r="E2056" s="3"/>
      <c r="F2056" s="3"/>
    </row>
    <row r="2057" spans="3:6" x14ac:dyDescent="0.3">
      <c r="C2057" s="3"/>
      <c r="D2057" s="3"/>
      <c r="E2057" s="3"/>
      <c r="F2057" s="3"/>
    </row>
    <row r="2058" spans="3:6" x14ac:dyDescent="0.3">
      <c r="C2058" s="3"/>
      <c r="D2058" s="3"/>
      <c r="E2058" s="3"/>
      <c r="F2058" s="3"/>
    </row>
    <row r="2059" spans="3:6" x14ac:dyDescent="0.3">
      <c r="C2059" s="3"/>
      <c r="D2059" s="3"/>
      <c r="E2059" s="3"/>
      <c r="F2059" s="3"/>
    </row>
    <row r="2060" spans="3:6" x14ac:dyDescent="0.3">
      <c r="C2060" s="3"/>
      <c r="D2060" s="3"/>
      <c r="E2060" s="3"/>
      <c r="F2060" s="3"/>
    </row>
    <row r="2061" spans="3:6" x14ac:dyDescent="0.3">
      <c r="C2061" s="3"/>
      <c r="D2061" s="3"/>
      <c r="E2061" s="3"/>
      <c r="F2061" s="3"/>
    </row>
    <row r="2062" spans="3:6" x14ac:dyDescent="0.3">
      <c r="C2062" s="3"/>
      <c r="D2062" s="3"/>
      <c r="E2062" s="3"/>
      <c r="F2062" s="3"/>
    </row>
    <row r="2063" spans="3:6" x14ac:dyDescent="0.3">
      <c r="C2063" s="3"/>
      <c r="D2063" s="3"/>
      <c r="E2063" s="3"/>
      <c r="F2063" s="3"/>
    </row>
    <row r="2064" spans="3:6" x14ac:dyDescent="0.3">
      <c r="C2064" s="3"/>
      <c r="D2064" s="3"/>
      <c r="E2064" s="3"/>
      <c r="F2064" s="3"/>
    </row>
    <row r="2065" spans="3:6" x14ac:dyDescent="0.3">
      <c r="C2065" s="3"/>
      <c r="D2065" s="3"/>
      <c r="E2065" s="3"/>
      <c r="F2065" s="3"/>
    </row>
    <row r="2066" spans="3:6" x14ac:dyDescent="0.3">
      <c r="C2066" s="3"/>
      <c r="D2066" s="3"/>
      <c r="E2066" s="3"/>
      <c r="F2066" s="3"/>
    </row>
    <row r="2067" spans="3:6" x14ac:dyDescent="0.3">
      <c r="C2067" s="3"/>
      <c r="D2067" s="3"/>
      <c r="E2067" s="3"/>
      <c r="F2067" s="3"/>
    </row>
    <row r="2068" spans="3:6" x14ac:dyDescent="0.3">
      <c r="C2068" s="3"/>
      <c r="D2068" s="3"/>
      <c r="E2068" s="3"/>
      <c r="F2068" s="3"/>
    </row>
    <row r="2069" spans="3:6" x14ac:dyDescent="0.3">
      <c r="C2069" s="3"/>
      <c r="D2069" s="3"/>
      <c r="E2069" s="3"/>
      <c r="F2069" s="3"/>
    </row>
    <row r="2070" spans="3:6" x14ac:dyDescent="0.3">
      <c r="C2070" s="3"/>
      <c r="D2070" s="3"/>
      <c r="E2070" s="3"/>
      <c r="F2070" s="3"/>
    </row>
    <row r="2071" spans="3:6" x14ac:dyDescent="0.3">
      <c r="C2071" s="3"/>
      <c r="D2071" s="3"/>
      <c r="E2071" s="3"/>
      <c r="F2071" s="3"/>
    </row>
    <row r="2072" spans="3:6" x14ac:dyDescent="0.3">
      <c r="C2072" s="3"/>
      <c r="D2072" s="3"/>
      <c r="E2072" s="3"/>
      <c r="F2072" s="3"/>
    </row>
    <row r="2073" spans="3:6" x14ac:dyDescent="0.3">
      <c r="C2073" s="3"/>
      <c r="D2073" s="3"/>
      <c r="E2073" s="3"/>
      <c r="F2073" s="3"/>
    </row>
    <row r="2074" spans="3:6" x14ac:dyDescent="0.3">
      <c r="C2074" s="3"/>
      <c r="D2074" s="3"/>
      <c r="E2074" s="3"/>
      <c r="F2074" s="3"/>
    </row>
    <row r="2075" spans="3:6" x14ac:dyDescent="0.3">
      <c r="C2075" s="3"/>
      <c r="D2075" s="3"/>
      <c r="E2075" s="3"/>
      <c r="F2075" s="3"/>
    </row>
    <row r="2076" spans="3:6" x14ac:dyDescent="0.3">
      <c r="C2076" s="3"/>
      <c r="D2076" s="3"/>
      <c r="E2076" s="3"/>
      <c r="F2076" s="3"/>
    </row>
    <row r="2077" spans="3:6" x14ac:dyDescent="0.3">
      <c r="C2077" s="3"/>
      <c r="D2077" s="3"/>
      <c r="E2077" s="3"/>
      <c r="F2077" s="3"/>
    </row>
    <row r="2078" spans="3:6" x14ac:dyDescent="0.3">
      <c r="C2078" s="3"/>
      <c r="D2078" s="3"/>
      <c r="E2078" s="3"/>
      <c r="F2078" s="3"/>
    </row>
    <row r="2079" spans="3:6" x14ac:dyDescent="0.3">
      <c r="C2079" s="3"/>
      <c r="D2079" s="3"/>
      <c r="E2079" s="3"/>
      <c r="F2079" s="3"/>
    </row>
    <row r="2080" spans="3:6" x14ac:dyDescent="0.3">
      <c r="C2080" s="3"/>
      <c r="D2080" s="3"/>
      <c r="E2080" s="3"/>
      <c r="F2080" s="3"/>
    </row>
    <row r="2081" spans="3:6" x14ac:dyDescent="0.3">
      <c r="C2081" s="3"/>
      <c r="D2081" s="3"/>
      <c r="E2081" s="3"/>
      <c r="F2081" s="3"/>
    </row>
    <row r="2082" spans="3:6" x14ac:dyDescent="0.3">
      <c r="C2082" s="3"/>
      <c r="D2082" s="3"/>
      <c r="E2082" s="3"/>
      <c r="F2082" s="3"/>
    </row>
    <row r="2083" spans="3:6" x14ac:dyDescent="0.3">
      <c r="C2083" s="3"/>
      <c r="D2083" s="3"/>
      <c r="E2083" s="3"/>
      <c r="F2083" s="3"/>
    </row>
    <row r="2084" spans="3:6" x14ac:dyDescent="0.3">
      <c r="C2084" s="3"/>
      <c r="D2084" s="3"/>
      <c r="E2084" s="3"/>
      <c r="F2084" s="3"/>
    </row>
    <row r="2085" spans="3:6" x14ac:dyDescent="0.3">
      <c r="C2085" s="3"/>
      <c r="D2085" s="3"/>
      <c r="E2085" s="3"/>
      <c r="F2085" s="3"/>
    </row>
    <row r="2086" spans="3:6" x14ac:dyDescent="0.3">
      <c r="C2086" s="3"/>
      <c r="D2086" s="3"/>
      <c r="E2086" s="3"/>
      <c r="F2086" s="3"/>
    </row>
    <row r="2087" spans="3:6" x14ac:dyDescent="0.3">
      <c r="C2087" s="3"/>
      <c r="D2087" s="3"/>
      <c r="E2087" s="3"/>
      <c r="F2087" s="3"/>
    </row>
    <row r="2088" spans="3:6" x14ac:dyDescent="0.3">
      <c r="C2088" s="3"/>
      <c r="D2088" s="3"/>
      <c r="E2088" s="3"/>
      <c r="F2088" s="3"/>
    </row>
    <row r="2089" spans="3:6" x14ac:dyDescent="0.3">
      <c r="C2089" s="3"/>
      <c r="D2089" s="3"/>
      <c r="E2089" s="3"/>
      <c r="F2089" s="3"/>
    </row>
    <row r="2090" spans="3:6" x14ac:dyDescent="0.3">
      <c r="C2090" s="3"/>
      <c r="D2090" s="3"/>
      <c r="E2090" s="3"/>
      <c r="F2090" s="3"/>
    </row>
    <row r="2091" spans="3:6" x14ac:dyDescent="0.3">
      <c r="C2091" s="3"/>
      <c r="D2091" s="3"/>
      <c r="E2091" s="3"/>
      <c r="F2091" s="3"/>
    </row>
    <row r="2092" spans="3:6" x14ac:dyDescent="0.3">
      <c r="C2092" s="3"/>
      <c r="D2092" s="3"/>
      <c r="E2092" s="3"/>
      <c r="F2092" s="3"/>
    </row>
    <row r="2093" spans="3:6" x14ac:dyDescent="0.3">
      <c r="C2093" s="3"/>
      <c r="D2093" s="3"/>
      <c r="E2093" s="3"/>
      <c r="F2093" s="3"/>
    </row>
    <row r="2094" spans="3:6" x14ac:dyDescent="0.3">
      <c r="C2094" s="3"/>
      <c r="D2094" s="3"/>
      <c r="E2094" s="3"/>
      <c r="F2094" s="3"/>
    </row>
    <row r="2095" spans="3:6" x14ac:dyDescent="0.3">
      <c r="C2095" s="3"/>
      <c r="D2095" s="3"/>
      <c r="E2095" s="3"/>
      <c r="F2095" s="3"/>
    </row>
    <row r="2096" spans="3:6" x14ac:dyDescent="0.3">
      <c r="C2096" s="3"/>
      <c r="D2096" s="3"/>
      <c r="E2096" s="3"/>
      <c r="F2096" s="3"/>
    </row>
    <row r="2097" spans="3:6" x14ac:dyDescent="0.3">
      <c r="C2097" s="3"/>
      <c r="D2097" s="3"/>
      <c r="E2097" s="3"/>
      <c r="F2097" s="3"/>
    </row>
    <row r="2098" spans="3:6" x14ac:dyDescent="0.3">
      <c r="C2098" s="3"/>
      <c r="D2098" s="3"/>
      <c r="E2098" s="3"/>
      <c r="F2098" s="3"/>
    </row>
    <row r="2099" spans="3:6" x14ac:dyDescent="0.3">
      <c r="C2099" s="3"/>
      <c r="D2099" s="3"/>
      <c r="E2099" s="3"/>
      <c r="F2099" s="3"/>
    </row>
    <row r="2100" spans="3:6" x14ac:dyDescent="0.3">
      <c r="C2100" s="3"/>
      <c r="D2100" s="3"/>
      <c r="E2100" s="3"/>
      <c r="F2100" s="3"/>
    </row>
    <row r="2101" spans="3:6" x14ac:dyDescent="0.3">
      <c r="C2101" s="3"/>
      <c r="D2101" s="3"/>
      <c r="E2101" s="3"/>
      <c r="F2101" s="3"/>
    </row>
    <row r="2102" spans="3:6" x14ac:dyDescent="0.3">
      <c r="C2102" s="3"/>
      <c r="D2102" s="3"/>
      <c r="E2102" s="3"/>
      <c r="F2102" s="3"/>
    </row>
    <row r="2103" spans="3:6" x14ac:dyDescent="0.3">
      <c r="C2103" s="3"/>
      <c r="D2103" s="3"/>
      <c r="E2103" s="3"/>
      <c r="F2103" s="3"/>
    </row>
    <row r="2104" spans="3:6" x14ac:dyDescent="0.3">
      <c r="C2104" s="3"/>
      <c r="D2104" s="3"/>
      <c r="E2104" s="3"/>
      <c r="F2104" s="3"/>
    </row>
    <row r="2105" spans="3:6" x14ac:dyDescent="0.3">
      <c r="C2105" s="3"/>
      <c r="D2105" s="3"/>
      <c r="E2105" s="3"/>
      <c r="F2105" s="3"/>
    </row>
    <row r="2106" spans="3:6" x14ac:dyDescent="0.3">
      <c r="C2106" s="3"/>
      <c r="D2106" s="3"/>
      <c r="E2106" s="3"/>
      <c r="F2106" s="3"/>
    </row>
    <row r="2107" spans="3:6" x14ac:dyDescent="0.3">
      <c r="C2107" s="3"/>
      <c r="D2107" s="3"/>
      <c r="E2107" s="3"/>
      <c r="F2107" s="3"/>
    </row>
    <row r="2108" spans="3:6" x14ac:dyDescent="0.3">
      <c r="C2108" s="3"/>
      <c r="D2108" s="3"/>
      <c r="E2108" s="3"/>
      <c r="F2108" s="3"/>
    </row>
    <row r="2109" spans="3:6" x14ac:dyDescent="0.3">
      <c r="C2109" s="3"/>
      <c r="D2109" s="3"/>
      <c r="E2109" s="3"/>
      <c r="F2109" s="3"/>
    </row>
    <row r="2110" spans="3:6" x14ac:dyDescent="0.3">
      <c r="C2110" s="3"/>
      <c r="D2110" s="3"/>
      <c r="E2110" s="3"/>
      <c r="F2110" s="3"/>
    </row>
    <row r="2111" spans="3:6" x14ac:dyDescent="0.3">
      <c r="C2111" s="3"/>
      <c r="D2111" s="3"/>
      <c r="E2111" s="3"/>
      <c r="F2111" s="3"/>
    </row>
    <row r="2112" spans="3:6" x14ac:dyDescent="0.3">
      <c r="C2112" s="3"/>
      <c r="D2112" s="3"/>
      <c r="E2112" s="3"/>
      <c r="F2112" s="3"/>
    </row>
    <row r="2113" spans="3:6" x14ac:dyDescent="0.3">
      <c r="C2113" s="3"/>
      <c r="D2113" s="3"/>
      <c r="E2113" s="3"/>
      <c r="F2113" s="3"/>
    </row>
    <row r="2114" spans="3:6" x14ac:dyDescent="0.3">
      <c r="C2114" s="3"/>
      <c r="D2114" s="3"/>
      <c r="E2114" s="3"/>
      <c r="F2114" s="3"/>
    </row>
    <row r="2115" spans="3:6" x14ac:dyDescent="0.3">
      <c r="C2115" s="3"/>
      <c r="D2115" s="3"/>
      <c r="E2115" s="3"/>
      <c r="F2115" s="3"/>
    </row>
    <row r="2116" spans="3:6" x14ac:dyDescent="0.3">
      <c r="C2116" s="3"/>
      <c r="D2116" s="3"/>
      <c r="E2116" s="3"/>
      <c r="F2116" s="3"/>
    </row>
    <row r="2117" spans="3:6" x14ac:dyDescent="0.3">
      <c r="C2117" s="3"/>
      <c r="D2117" s="3"/>
      <c r="E2117" s="3"/>
      <c r="F2117" s="3"/>
    </row>
    <row r="2118" spans="3:6" x14ac:dyDescent="0.3">
      <c r="C2118" s="3"/>
      <c r="D2118" s="3"/>
      <c r="E2118" s="3"/>
      <c r="F2118" s="3"/>
    </row>
    <row r="2119" spans="3:6" x14ac:dyDescent="0.3">
      <c r="C2119" s="3"/>
      <c r="D2119" s="3"/>
      <c r="E2119" s="3"/>
      <c r="F2119" s="3"/>
    </row>
    <row r="2120" spans="3:6" x14ac:dyDescent="0.3">
      <c r="C2120" s="3"/>
      <c r="D2120" s="3"/>
      <c r="E2120" s="3"/>
      <c r="F2120" s="3"/>
    </row>
    <row r="2121" spans="3:6" x14ac:dyDescent="0.3">
      <c r="C2121" s="3"/>
      <c r="D2121" s="3"/>
      <c r="E2121" s="3"/>
      <c r="F2121" s="3"/>
    </row>
    <row r="2122" spans="3:6" x14ac:dyDescent="0.3">
      <c r="C2122" s="3"/>
      <c r="D2122" s="3"/>
      <c r="E2122" s="3"/>
      <c r="F2122" s="3"/>
    </row>
    <row r="2123" spans="3:6" x14ac:dyDescent="0.3">
      <c r="C2123" s="3"/>
      <c r="D2123" s="3"/>
      <c r="E2123" s="3"/>
      <c r="F2123" s="3"/>
    </row>
    <row r="2124" spans="3:6" x14ac:dyDescent="0.3">
      <c r="C2124" s="3"/>
      <c r="D2124" s="3"/>
      <c r="E2124" s="3"/>
      <c r="F2124" s="3"/>
    </row>
    <row r="2125" spans="3:6" x14ac:dyDescent="0.3">
      <c r="C2125" s="3"/>
      <c r="D2125" s="3"/>
      <c r="E2125" s="3"/>
      <c r="F2125" s="3"/>
    </row>
    <row r="2126" spans="3:6" x14ac:dyDescent="0.3">
      <c r="C2126" s="3"/>
      <c r="D2126" s="3"/>
      <c r="E2126" s="3"/>
      <c r="F2126" s="3"/>
    </row>
    <row r="2127" spans="3:6" x14ac:dyDescent="0.3">
      <c r="C2127" s="3"/>
      <c r="D2127" s="3"/>
      <c r="E2127" s="3"/>
      <c r="F2127" s="3"/>
    </row>
    <row r="2128" spans="3:6" x14ac:dyDescent="0.3">
      <c r="C2128" s="3"/>
      <c r="D2128" s="3"/>
      <c r="E2128" s="3"/>
      <c r="F2128" s="3"/>
    </row>
    <row r="2129" spans="3:6" x14ac:dyDescent="0.3">
      <c r="C2129" s="3"/>
      <c r="D2129" s="3"/>
      <c r="E2129" s="3"/>
      <c r="F2129" s="3"/>
    </row>
    <row r="2130" spans="3:6" x14ac:dyDescent="0.3">
      <c r="C2130" s="3"/>
      <c r="D2130" s="3"/>
      <c r="E2130" s="3"/>
      <c r="F2130" s="3"/>
    </row>
    <row r="2131" spans="3:6" x14ac:dyDescent="0.3">
      <c r="C2131" s="3"/>
      <c r="D2131" s="3"/>
      <c r="E2131" s="3"/>
      <c r="F2131" s="3"/>
    </row>
    <row r="2132" spans="3:6" x14ac:dyDescent="0.3">
      <c r="C2132" s="3"/>
      <c r="D2132" s="3"/>
      <c r="E2132" s="3"/>
      <c r="F2132" s="3"/>
    </row>
    <row r="2133" spans="3:6" x14ac:dyDescent="0.3">
      <c r="C2133" s="3"/>
      <c r="D2133" s="3"/>
      <c r="E2133" s="3"/>
      <c r="F2133" s="3"/>
    </row>
    <row r="2134" spans="3:6" x14ac:dyDescent="0.3">
      <c r="C2134" s="3"/>
      <c r="D2134" s="3"/>
      <c r="E2134" s="3"/>
      <c r="F2134" s="3"/>
    </row>
    <row r="2135" spans="3:6" x14ac:dyDescent="0.3">
      <c r="C2135" s="3"/>
      <c r="D2135" s="3"/>
      <c r="E2135" s="3"/>
      <c r="F2135" s="3"/>
    </row>
    <row r="2136" spans="3:6" x14ac:dyDescent="0.3">
      <c r="C2136" s="3"/>
      <c r="D2136" s="3"/>
      <c r="E2136" s="3"/>
      <c r="F2136" s="3"/>
    </row>
    <row r="2137" spans="3:6" x14ac:dyDescent="0.3">
      <c r="C2137" s="3"/>
      <c r="D2137" s="3"/>
      <c r="E2137" s="3"/>
      <c r="F2137" s="3"/>
    </row>
    <row r="2138" spans="3:6" x14ac:dyDescent="0.3">
      <c r="C2138" s="3"/>
      <c r="D2138" s="3"/>
      <c r="E2138" s="3"/>
      <c r="F2138" s="3"/>
    </row>
    <row r="2139" spans="3:6" x14ac:dyDescent="0.3">
      <c r="C2139" s="3"/>
      <c r="D2139" s="3"/>
      <c r="E2139" s="3"/>
      <c r="F2139" s="3"/>
    </row>
    <row r="2140" spans="3:6" x14ac:dyDescent="0.3">
      <c r="C2140" s="3"/>
      <c r="D2140" s="3"/>
      <c r="E2140" s="3"/>
      <c r="F2140" s="3"/>
    </row>
    <row r="2141" spans="3:6" x14ac:dyDescent="0.3">
      <c r="C2141" s="3"/>
      <c r="D2141" s="3"/>
      <c r="E2141" s="3"/>
      <c r="F2141" s="3"/>
    </row>
    <row r="2142" spans="3:6" x14ac:dyDescent="0.3">
      <c r="C2142" s="3"/>
      <c r="D2142" s="3"/>
      <c r="E2142" s="3"/>
      <c r="F2142" s="3"/>
    </row>
    <row r="2143" spans="3:6" x14ac:dyDescent="0.3">
      <c r="C2143" s="3"/>
      <c r="D2143" s="3"/>
      <c r="E2143" s="3"/>
      <c r="F2143" s="3"/>
    </row>
    <row r="2144" spans="3:6" x14ac:dyDescent="0.3">
      <c r="C2144" s="3"/>
      <c r="D2144" s="3"/>
      <c r="E2144" s="3"/>
      <c r="F2144" s="3"/>
    </row>
    <row r="2145" spans="3:6" x14ac:dyDescent="0.3">
      <c r="C2145" s="3"/>
      <c r="D2145" s="3"/>
      <c r="E2145" s="3"/>
      <c r="F2145" s="3"/>
    </row>
    <row r="2146" spans="3:6" x14ac:dyDescent="0.3">
      <c r="C2146" s="3"/>
      <c r="D2146" s="3"/>
      <c r="E2146" s="3"/>
      <c r="F2146" s="3"/>
    </row>
    <row r="2147" spans="3:6" x14ac:dyDescent="0.3">
      <c r="C2147" s="3"/>
      <c r="D2147" s="3"/>
      <c r="E2147" s="3"/>
      <c r="F2147" s="3"/>
    </row>
    <row r="2148" spans="3:6" x14ac:dyDescent="0.3">
      <c r="C2148" s="3"/>
      <c r="D2148" s="3"/>
      <c r="E2148" s="3"/>
      <c r="F2148" s="3"/>
    </row>
    <row r="2149" spans="3:6" x14ac:dyDescent="0.3">
      <c r="C2149" s="3"/>
      <c r="D2149" s="3"/>
      <c r="E2149" s="3"/>
      <c r="F2149" s="3"/>
    </row>
    <row r="2150" spans="3:6" x14ac:dyDescent="0.3">
      <c r="C2150" s="3"/>
      <c r="D2150" s="3"/>
      <c r="E2150" s="3"/>
      <c r="F2150" s="3"/>
    </row>
    <row r="2151" spans="3:6" x14ac:dyDescent="0.3">
      <c r="C2151" s="3"/>
      <c r="D2151" s="3"/>
      <c r="E2151" s="3"/>
      <c r="F2151" s="3"/>
    </row>
    <row r="2152" spans="3:6" x14ac:dyDescent="0.3">
      <c r="C2152" s="3"/>
      <c r="D2152" s="3"/>
      <c r="E2152" s="3"/>
      <c r="F2152" s="3"/>
    </row>
    <row r="2153" spans="3:6" x14ac:dyDescent="0.3">
      <c r="C2153" s="3"/>
      <c r="D2153" s="3"/>
      <c r="E2153" s="3"/>
      <c r="F2153" s="3"/>
    </row>
    <row r="2154" spans="3:6" x14ac:dyDescent="0.3">
      <c r="C2154" s="3"/>
      <c r="D2154" s="3"/>
      <c r="E2154" s="3"/>
      <c r="F2154" s="3"/>
    </row>
    <row r="2155" spans="3:6" x14ac:dyDescent="0.3">
      <c r="C2155" s="3"/>
      <c r="D2155" s="3"/>
      <c r="E2155" s="3"/>
      <c r="F2155" s="3"/>
    </row>
    <row r="2156" spans="3:6" x14ac:dyDescent="0.3">
      <c r="C2156" s="3"/>
      <c r="D2156" s="3"/>
      <c r="E2156" s="3"/>
      <c r="F2156" s="3"/>
    </row>
    <row r="2157" spans="3:6" x14ac:dyDescent="0.3">
      <c r="C2157" s="3"/>
      <c r="D2157" s="3"/>
      <c r="E2157" s="3"/>
      <c r="F2157" s="3"/>
    </row>
    <row r="2158" spans="3:6" x14ac:dyDescent="0.3">
      <c r="C2158" s="3"/>
      <c r="D2158" s="3"/>
      <c r="E2158" s="3"/>
      <c r="F2158" s="3"/>
    </row>
    <row r="2159" spans="3:6" x14ac:dyDescent="0.3">
      <c r="C2159" s="3"/>
      <c r="D2159" s="3"/>
      <c r="E2159" s="3"/>
      <c r="F2159" s="3"/>
    </row>
    <row r="2160" spans="3:6" x14ac:dyDescent="0.3">
      <c r="C2160" s="3"/>
      <c r="D2160" s="3"/>
      <c r="E2160" s="3"/>
      <c r="F2160" s="3"/>
    </row>
    <row r="2161" spans="3:6" x14ac:dyDescent="0.3">
      <c r="C2161" s="3"/>
      <c r="D2161" s="3"/>
      <c r="E2161" s="3"/>
      <c r="F2161" s="3"/>
    </row>
    <row r="2162" spans="3:6" x14ac:dyDescent="0.3">
      <c r="C2162" s="3"/>
      <c r="D2162" s="3"/>
      <c r="E2162" s="3"/>
      <c r="F2162" s="3"/>
    </row>
    <row r="2163" spans="3:6" x14ac:dyDescent="0.3">
      <c r="C2163" s="3"/>
      <c r="D2163" s="3"/>
      <c r="E2163" s="3"/>
      <c r="F2163" s="3"/>
    </row>
    <row r="2164" spans="3:6" x14ac:dyDescent="0.3">
      <c r="C2164" s="3"/>
      <c r="D2164" s="3"/>
      <c r="E2164" s="3"/>
      <c r="F2164" s="3"/>
    </row>
    <row r="2165" spans="3:6" x14ac:dyDescent="0.3">
      <c r="C2165" s="3"/>
      <c r="D2165" s="3"/>
      <c r="E2165" s="3"/>
      <c r="F2165" s="3"/>
    </row>
    <row r="2166" spans="3:6" x14ac:dyDescent="0.3">
      <c r="C2166" s="3"/>
      <c r="D2166" s="3"/>
      <c r="E2166" s="3"/>
      <c r="F2166" s="3"/>
    </row>
    <row r="2167" spans="3:6" x14ac:dyDescent="0.3">
      <c r="C2167" s="3"/>
      <c r="D2167" s="3"/>
      <c r="E2167" s="3"/>
      <c r="F2167" s="3"/>
    </row>
    <row r="2168" spans="3:6" x14ac:dyDescent="0.3">
      <c r="C2168" s="3"/>
      <c r="D2168" s="3"/>
      <c r="E2168" s="3"/>
      <c r="F2168" s="3"/>
    </row>
    <row r="2169" spans="3:6" x14ac:dyDescent="0.3">
      <c r="C2169" s="3"/>
      <c r="D2169" s="3"/>
      <c r="E2169" s="3"/>
      <c r="F2169" s="3"/>
    </row>
    <row r="2170" spans="3:6" x14ac:dyDescent="0.3">
      <c r="C2170" s="3"/>
      <c r="D2170" s="3"/>
      <c r="E2170" s="3"/>
      <c r="F2170" s="3"/>
    </row>
    <row r="2171" spans="3:6" x14ac:dyDescent="0.3">
      <c r="C2171" s="3"/>
      <c r="D2171" s="3"/>
      <c r="E2171" s="3"/>
      <c r="F2171" s="3"/>
    </row>
    <row r="2172" spans="3:6" x14ac:dyDescent="0.3">
      <c r="C2172" s="3"/>
      <c r="D2172" s="3"/>
      <c r="E2172" s="3"/>
      <c r="F2172" s="3"/>
    </row>
    <row r="2173" spans="3:6" x14ac:dyDescent="0.3">
      <c r="C2173" s="3"/>
      <c r="D2173" s="3"/>
      <c r="E2173" s="3"/>
      <c r="F2173" s="3"/>
    </row>
    <row r="2174" spans="3:6" x14ac:dyDescent="0.3">
      <c r="C2174" s="3"/>
      <c r="D2174" s="3"/>
      <c r="E2174" s="3"/>
      <c r="F2174" s="3"/>
    </row>
    <row r="2175" spans="3:6" x14ac:dyDescent="0.3">
      <c r="C2175" s="3"/>
      <c r="D2175" s="3"/>
      <c r="E2175" s="3"/>
      <c r="F2175" s="3"/>
    </row>
    <row r="2176" spans="3:6" x14ac:dyDescent="0.3">
      <c r="C2176" s="3"/>
      <c r="D2176" s="3"/>
      <c r="E2176" s="3"/>
      <c r="F2176" s="3"/>
    </row>
    <row r="2177" spans="3:6" x14ac:dyDescent="0.3">
      <c r="C2177" s="3"/>
      <c r="D2177" s="3"/>
      <c r="E2177" s="3"/>
      <c r="F2177" s="3"/>
    </row>
    <row r="2178" spans="3:6" x14ac:dyDescent="0.3">
      <c r="C2178" s="3"/>
      <c r="D2178" s="3"/>
      <c r="E2178" s="3"/>
      <c r="F2178" s="3"/>
    </row>
    <row r="2179" spans="3:6" x14ac:dyDescent="0.3">
      <c r="C2179" s="3"/>
      <c r="D2179" s="3"/>
      <c r="E2179" s="3"/>
      <c r="F2179" s="3"/>
    </row>
    <row r="2180" spans="3:6" x14ac:dyDescent="0.3">
      <c r="C2180" s="3"/>
      <c r="D2180" s="3"/>
      <c r="E2180" s="3"/>
      <c r="F2180" s="3"/>
    </row>
    <row r="2181" spans="3:6" x14ac:dyDescent="0.3">
      <c r="C2181" s="3"/>
      <c r="D2181" s="3"/>
      <c r="E2181" s="3"/>
      <c r="F2181" s="3"/>
    </row>
    <row r="2182" spans="3:6" x14ac:dyDescent="0.3">
      <c r="C2182" s="3"/>
      <c r="D2182" s="3"/>
      <c r="E2182" s="3"/>
      <c r="F2182" s="3"/>
    </row>
    <row r="2183" spans="3:6" x14ac:dyDescent="0.3">
      <c r="C2183" s="3"/>
      <c r="D2183" s="3"/>
      <c r="E2183" s="3"/>
      <c r="F2183" s="3"/>
    </row>
    <row r="2184" spans="3:6" x14ac:dyDescent="0.3">
      <c r="C2184" s="3"/>
      <c r="D2184" s="3"/>
      <c r="E2184" s="3"/>
      <c r="F2184" s="3"/>
    </row>
    <row r="2185" spans="3:6" x14ac:dyDescent="0.3">
      <c r="C2185" s="3"/>
      <c r="D2185" s="3"/>
      <c r="E2185" s="3"/>
      <c r="F2185" s="3"/>
    </row>
    <row r="2186" spans="3:6" x14ac:dyDescent="0.3">
      <c r="C2186" s="3"/>
      <c r="D2186" s="3"/>
      <c r="E2186" s="3"/>
      <c r="F2186" s="3"/>
    </row>
    <row r="2187" spans="3:6" x14ac:dyDescent="0.3">
      <c r="C2187" s="3"/>
      <c r="D2187" s="3"/>
      <c r="E2187" s="3"/>
      <c r="F2187" s="3"/>
    </row>
    <row r="2188" spans="3:6" x14ac:dyDescent="0.3">
      <c r="C2188" s="3"/>
      <c r="D2188" s="3"/>
      <c r="E2188" s="3"/>
      <c r="F2188" s="3"/>
    </row>
    <row r="2189" spans="3:6" x14ac:dyDescent="0.3">
      <c r="C2189" s="3"/>
      <c r="D2189" s="3"/>
      <c r="E2189" s="3"/>
      <c r="F2189" s="3"/>
    </row>
    <row r="2190" spans="3:6" x14ac:dyDescent="0.3">
      <c r="C2190" s="3"/>
      <c r="D2190" s="3"/>
      <c r="E2190" s="3"/>
      <c r="F2190" s="3"/>
    </row>
    <row r="2191" spans="3:6" x14ac:dyDescent="0.3">
      <c r="C2191" s="3"/>
      <c r="D2191" s="3"/>
      <c r="E2191" s="3"/>
      <c r="F2191" s="3"/>
    </row>
    <row r="2192" spans="3:6" x14ac:dyDescent="0.3">
      <c r="C2192" s="3"/>
      <c r="D2192" s="3"/>
      <c r="E2192" s="3"/>
      <c r="F2192" s="3"/>
    </row>
    <row r="2193" spans="3:6" x14ac:dyDescent="0.3">
      <c r="C2193" s="3"/>
      <c r="D2193" s="3"/>
      <c r="E2193" s="3"/>
      <c r="F2193" s="3"/>
    </row>
    <row r="2194" spans="3:6" x14ac:dyDescent="0.3">
      <c r="C2194" s="3"/>
      <c r="D2194" s="3"/>
      <c r="E2194" s="3"/>
      <c r="F2194" s="3"/>
    </row>
    <row r="2195" spans="3:6" x14ac:dyDescent="0.3">
      <c r="C2195" s="3"/>
      <c r="D2195" s="3"/>
      <c r="E2195" s="3"/>
      <c r="F2195" s="3"/>
    </row>
    <row r="2196" spans="3:6" x14ac:dyDescent="0.3">
      <c r="C2196" s="3"/>
      <c r="D2196" s="3"/>
      <c r="E2196" s="3"/>
      <c r="F2196" s="3"/>
    </row>
    <row r="2197" spans="3:6" x14ac:dyDescent="0.3">
      <c r="C2197" s="3"/>
      <c r="D2197" s="3"/>
      <c r="E2197" s="3"/>
      <c r="F2197" s="3"/>
    </row>
    <row r="2198" spans="3:6" x14ac:dyDescent="0.3">
      <c r="C2198" s="3"/>
      <c r="D2198" s="3"/>
      <c r="E2198" s="3"/>
      <c r="F2198" s="3"/>
    </row>
    <row r="2199" spans="3:6" x14ac:dyDescent="0.3">
      <c r="C2199" s="3"/>
      <c r="D2199" s="3"/>
      <c r="E2199" s="3"/>
      <c r="F2199" s="3"/>
    </row>
    <row r="2200" spans="3:6" x14ac:dyDescent="0.3">
      <c r="C2200" s="3"/>
      <c r="D2200" s="3"/>
      <c r="E2200" s="3"/>
      <c r="F2200" s="3"/>
    </row>
    <row r="2201" spans="3:6" x14ac:dyDescent="0.3">
      <c r="C2201" s="3"/>
      <c r="D2201" s="3"/>
      <c r="E2201" s="3"/>
      <c r="F2201" s="3"/>
    </row>
    <row r="2202" spans="3:6" x14ac:dyDescent="0.3">
      <c r="C2202" s="3"/>
      <c r="D2202" s="3"/>
      <c r="E2202" s="3"/>
      <c r="F2202" s="3"/>
    </row>
    <row r="2203" spans="3:6" x14ac:dyDescent="0.3">
      <c r="C2203" s="3"/>
      <c r="D2203" s="3"/>
      <c r="E2203" s="3"/>
      <c r="F2203" s="3"/>
    </row>
    <row r="2204" spans="3:6" x14ac:dyDescent="0.3">
      <c r="C2204" s="3"/>
      <c r="D2204" s="3"/>
      <c r="E2204" s="3"/>
      <c r="F2204" s="3"/>
    </row>
    <row r="2205" spans="3:6" x14ac:dyDescent="0.3">
      <c r="C2205" s="3"/>
      <c r="D2205" s="3"/>
      <c r="E2205" s="3"/>
      <c r="F2205" s="3"/>
    </row>
    <row r="2206" spans="3:6" x14ac:dyDescent="0.3">
      <c r="C2206" s="3"/>
      <c r="D2206" s="3"/>
      <c r="E2206" s="3"/>
      <c r="F2206" s="3"/>
    </row>
    <row r="2207" spans="3:6" x14ac:dyDescent="0.3">
      <c r="C2207" s="3"/>
      <c r="D2207" s="3"/>
      <c r="E2207" s="3"/>
      <c r="F2207" s="3"/>
    </row>
    <row r="2208" spans="3:6" x14ac:dyDescent="0.3">
      <c r="C2208" s="3"/>
      <c r="D2208" s="3"/>
      <c r="E2208" s="3"/>
      <c r="F2208" s="3"/>
    </row>
    <row r="2209" spans="3:6" x14ac:dyDescent="0.3">
      <c r="C2209" s="3"/>
      <c r="D2209" s="3"/>
      <c r="E2209" s="3"/>
      <c r="F2209" s="3"/>
    </row>
    <row r="2210" spans="3:6" x14ac:dyDescent="0.3">
      <c r="C2210" s="3"/>
      <c r="D2210" s="3"/>
      <c r="E2210" s="3"/>
      <c r="F2210" s="3"/>
    </row>
    <row r="2211" spans="3:6" x14ac:dyDescent="0.3">
      <c r="C2211" s="3"/>
      <c r="D2211" s="3"/>
      <c r="E2211" s="3"/>
      <c r="F2211" s="3"/>
    </row>
    <row r="2212" spans="3:6" x14ac:dyDescent="0.3">
      <c r="C2212" s="3"/>
      <c r="D2212" s="3"/>
      <c r="E2212" s="3"/>
      <c r="F2212" s="3"/>
    </row>
    <row r="2213" spans="3:6" x14ac:dyDescent="0.3">
      <c r="C2213" s="3"/>
      <c r="D2213" s="3"/>
      <c r="E2213" s="3"/>
      <c r="F2213" s="3"/>
    </row>
    <row r="2214" spans="3:6" x14ac:dyDescent="0.3">
      <c r="C2214" s="3"/>
      <c r="D2214" s="3"/>
      <c r="E2214" s="3"/>
      <c r="F2214" s="3"/>
    </row>
    <row r="2215" spans="3:6" x14ac:dyDescent="0.3">
      <c r="C2215" s="3"/>
      <c r="D2215" s="3"/>
      <c r="E2215" s="3"/>
      <c r="F2215" s="3"/>
    </row>
    <row r="2216" spans="3:6" x14ac:dyDescent="0.3">
      <c r="C2216" s="3"/>
      <c r="D2216" s="3"/>
      <c r="E2216" s="3"/>
      <c r="F2216" s="3"/>
    </row>
    <row r="2217" spans="3:6" x14ac:dyDescent="0.3">
      <c r="C2217" s="3"/>
      <c r="D2217" s="3"/>
      <c r="E2217" s="3"/>
      <c r="F2217" s="3"/>
    </row>
    <row r="2218" spans="3:6" x14ac:dyDescent="0.3">
      <c r="C2218" s="3"/>
      <c r="D2218" s="3"/>
      <c r="E2218" s="3"/>
      <c r="F2218" s="3"/>
    </row>
    <row r="2219" spans="3:6" x14ac:dyDescent="0.3">
      <c r="C2219" s="3"/>
      <c r="D2219" s="3"/>
      <c r="E2219" s="3"/>
      <c r="F2219" s="3"/>
    </row>
    <row r="2220" spans="3:6" x14ac:dyDescent="0.3">
      <c r="C2220" s="3"/>
      <c r="D2220" s="3"/>
      <c r="E2220" s="3"/>
      <c r="F2220" s="3"/>
    </row>
    <row r="2221" spans="3:6" x14ac:dyDescent="0.3">
      <c r="C2221" s="3"/>
      <c r="D2221" s="3"/>
      <c r="E2221" s="3"/>
      <c r="F2221" s="3"/>
    </row>
    <row r="2222" spans="3:6" x14ac:dyDescent="0.3">
      <c r="C2222" s="3"/>
      <c r="D2222" s="3"/>
      <c r="E2222" s="3"/>
      <c r="F2222" s="3"/>
    </row>
    <row r="2223" spans="3:6" x14ac:dyDescent="0.3">
      <c r="C2223" s="3"/>
      <c r="D2223" s="3"/>
      <c r="E2223" s="3"/>
      <c r="F2223" s="3"/>
    </row>
    <row r="2224" spans="3:6" x14ac:dyDescent="0.3">
      <c r="C2224" s="3"/>
      <c r="D2224" s="3"/>
      <c r="E2224" s="3"/>
      <c r="F2224" s="3"/>
    </row>
    <row r="2225" spans="3:6" x14ac:dyDescent="0.3">
      <c r="C2225" s="3"/>
      <c r="D2225" s="3"/>
      <c r="E2225" s="3"/>
      <c r="F2225" s="3"/>
    </row>
    <row r="2226" spans="3:6" x14ac:dyDescent="0.3">
      <c r="C2226" s="3"/>
      <c r="D2226" s="3"/>
      <c r="E2226" s="3"/>
      <c r="F2226" s="3"/>
    </row>
    <row r="2227" spans="3:6" x14ac:dyDescent="0.3">
      <c r="C2227" s="3"/>
      <c r="D2227" s="3"/>
      <c r="E2227" s="3"/>
      <c r="F2227" s="3"/>
    </row>
    <row r="2228" spans="3:6" x14ac:dyDescent="0.3">
      <c r="C2228" s="3"/>
      <c r="D2228" s="3"/>
      <c r="E2228" s="3"/>
      <c r="F2228" s="3"/>
    </row>
    <row r="2229" spans="3:6" x14ac:dyDescent="0.3">
      <c r="C2229" s="3"/>
      <c r="D2229" s="3"/>
      <c r="E2229" s="3"/>
      <c r="F2229" s="3"/>
    </row>
    <row r="2230" spans="3:6" x14ac:dyDescent="0.3">
      <c r="C2230" s="3"/>
      <c r="D2230" s="3"/>
      <c r="E2230" s="3"/>
      <c r="F2230" s="3"/>
    </row>
    <row r="2231" spans="3:6" x14ac:dyDescent="0.3">
      <c r="C2231" s="3"/>
      <c r="D2231" s="3"/>
      <c r="E2231" s="3"/>
      <c r="F2231" s="3"/>
    </row>
    <row r="2232" spans="3:6" x14ac:dyDescent="0.3">
      <c r="C2232" s="3"/>
      <c r="D2232" s="3"/>
      <c r="E2232" s="3"/>
      <c r="F2232" s="3"/>
    </row>
    <row r="2233" spans="3:6" x14ac:dyDescent="0.3">
      <c r="C2233" s="3"/>
      <c r="D2233" s="3"/>
      <c r="E2233" s="3"/>
      <c r="F2233" s="3"/>
    </row>
    <row r="2234" spans="3:6" x14ac:dyDescent="0.3">
      <c r="C2234" s="3"/>
      <c r="D2234" s="3"/>
      <c r="E2234" s="3"/>
      <c r="F2234" s="3"/>
    </row>
    <row r="2235" spans="3:6" x14ac:dyDescent="0.3">
      <c r="C2235" s="3"/>
      <c r="D2235" s="3"/>
      <c r="E2235" s="3"/>
      <c r="F2235" s="3"/>
    </row>
    <row r="2236" spans="3:6" x14ac:dyDescent="0.3">
      <c r="C2236" s="3"/>
      <c r="D2236" s="3"/>
      <c r="E2236" s="3"/>
      <c r="F2236" s="3"/>
    </row>
    <row r="2237" spans="3:6" x14ac:dyDescent="0.3">
      <c r="C2237" s="3"/>
      <c r="D2237" s="3"/>
      <c r="E2237" s="3"/>
      <c r="F2237" s="3"/>
    </row>
    <row r="2238" spans="3:6" x14ac:dyDescent="0.3">
      <c r="C2238" s="3"/>
      <c r="D2238" s="3"/>
      <c r="E2238" s="3"/>
      <c r="F2238" s="3"/>
    </row>
    <row r="2239" spans="3:6" x14ac:dyDescent="0.3">
      <c r="C2239" s="3"/>
      <c r="D2239" s="3"/>
      <c r="E2239" s="3"/>
      <c r="F2239" s="3"/>
    </row>
    <row r="2240" spans="3:6" x14ac:dyDescent="0.3">
      <c r="C2240" s="3"/>
      <c r="D2240" s="3"/>
      <c r="E2240" s="3"/>
      <c r="F2240" s="3"/>
    </row>
    <row r="2241" spans="3:6" x14ac:dyDescent="0.3">
      <c r="C2241" s="3"/>
      <c r="D2241" s="3"/>
      <c r="E2241" s="3"/>
      <c r="F2241" s="3"/>
    </row>
    <row r="2242" spans="3:6" x14ac:dyDescent="0.3">
      <c r="C2242" s="3"/>
      <c r="D2242" s="3"/>
      <c r="E2242" s="3"/>
      <c r="F2242" s="3"/>
    </row>
    <row r="2243" spans="3:6" x14ac:dyDescent="0.3">
      <c r="C2243" s="3"/>
      <c r="D2243" s="3"/>
      <c r="E2243" s="3"/>
      <c r="F2243" s="3"/>
    </row>
    <row r="2244" spans="3:6" x14ac:dyDescent="0.3">
      <c r="C2244" s="3"/>
      <c r="D2244" s="3"/>
      <c r="E2244" s="3"/>
      <c r="F2244" s="3"/>
    </row>
    <row r="2245" spans="3:6" x14ac:dyDescent="0.3">
      <c r="C2245" s="3"/>
      <c r="D2245" s="3"/>
      <c r="E2245" s="3"/>
      <c r="F2245" s="3"/>
    </row>
    <row r="2246" spans="3:6" x14ac:dyDescent="0.3">
      <c r="C2246" s="3"/>
      <c r="D2246" s="3"/>
      <c r="E2246" s="3"/>
      <c r="F2246" s="3"/>
    </row>
    <row r="2247" spans="3:6" x14ac:dyDescent="0.3">
      <c r="C2247" s="3"/>
      <c r="D2247" s="3"/>
      <c r="E2247" s="3"/>
      <c r="F2247" s="3"/>
    </row>
    <row r="2248" spans="3:6" x14ac:dyDescent="0.3">
      <c r="C2248" s="3"/>
      <c r="D2248" s="3"/>
      <c r="E2248" s="3"/>
      <c r="F2248" s="3"/>
    </row>
    <row r="2249" spans="3:6" x14ac:dyDescent="0.3">
      <c r="C2249" s="3"/>
      <c r="D2249" s="3"/>
      <c r="E2249" s="3"/>
      <c r="F2249" s="3"/>
    </row>
    <row r="2250" spans="3:6" x14ac:dyDescent="0.3">
      <c r="C2250" s="3"/>
      <c r="D2250" s="3"/>
      <c r="E2250" s="3"/>
      <c r="F2250" s="3"/>
    </row>
    <row r="2251" spans="3:6" x14ac:dyDescent="0.3">
      <c r="C2251" s="3"/>
      <c r="D2251" s="3"/>
      <c r="E2251" s="3"/>
      <c r="F2251" s="3"/>
    </row>
    <row r="2252" spans="3:6" x14ac:dyDescent="0.3">
      <c r="C2252" s="3"/>
      <c r="D2252" s="3"/>
      <c r="E2252" s="3"/>
      <c r="F2252" s="3"/>
    </row>
    <row r="2253" spans="3:6" x14ac:dyDescent="0.3">
      <c r="C2253" s="3"/>
      <c r="D2253" s="3"/>
      <c r="E2253" s="3"/>
      <c r="F2253" s="3"/>
    </row>
    <row r="2254" spans="3:6" x14ac:dyDescent="0.3">
      <c r="C2254" s="3"/>
      <c r="D2254" s="3"/>
      <c r="E2254" s="3"/>
      <c r="F2254" s="3"/>
    </row>
    <row r="2255" spans="3:6" x14ac:dyDescent="0.3">
      <c r="C2255" s="3"/>
      <c r="D2255" s="3"/>
      <c r="E2255" s="3"/>
      <c r="F2255" s="3"/>
    </row>
    <row r="2256" spans="3:6" x14ac:dyDescent="0.3">
      <c r="C2256" s="3"/>
      <c r="D2256" s="3"/>
      <c r="E2256" s="3"/>
      <c r="F2256" s="3"/>
    </row>
    <row r="2257" spans="3:6" x14ac:dyDescent="0.3">
      <c r="C2257" s="3"/>
      <c r="D2257" s="3"/>
      <c r="E2257" s="3"/>
      <c r="F2257" s="3"/>
    </row>
    <row r="2258" spans="3:6" x14ac:dyDescent="0.3">
      <c r="C2258" s="3"/>
      <c r="D2258" s="3"/>
      <c r="E2258" s="3"/>
      <c r="F2258" s="3"/>
    </row>
    <row r="2259" spans="3:6" x14ac:dyDescent="0.3">
      <c r="C2259" s="3"/>
      <c r="D2259" s="3"/>
      <c r="E2259" s="3"/>
      <c r="F2259" s="3"/>
    </row>
    <row r="2260" spans="3:6" x14ac:dyDescent="0.3">
      <c r="C2260" s="3"/>
      <c r="D2260" s="3"/>
      <c r="E2260" s="3"/>
      <c r="F2260" s="3"/>
    </row>
    <row r="2261" spans="3:6" x14ac:dyDescent="0.3">
      <c r="C2261" s="3"/>
      <c r="D2261" s="3"/>
      <c r="E2261" s="3"/>
      <c r="F2261" s="3"/>
    </row>
    <row r="2262" spans="3:6" x14ac:dyDescent="0.3">
      <c r="C2262" s="3"/>
      <c r="D2262" s="3"/>
      <c r="E2262" s="3"/>
      <c r="F2262" s="3"/>
    </row>
    <row r="2263" spans="3:6" x14ac:dyDescent="0.3">
      <c r="C2263" s="3"/>
      <c r="D2263" s="3"/>
      <c r="E2263" s="3"/>
      <c r="F2263" s="3"/>
    </row>
    <row r="2264" spans="3:6" x14ac:dyDescent="0.3">
      <c r="C2264" s="3"/>
      <c r="D2264" s="3"/>
      <c r="E2264" s="3"/>
      <c r="F2264" s="3"/>
    </row>
    <row r="2265" spans="3:6" x14ac:dyDescent="0.3">
      <c r="C2265" s="3"/>
      <c r="D2265" s="3"/>
      <c r="E2265" s="3"/>
      <c r="F2265" s="3"/>
    </row>
    <row r="2266" spans="3:6" x14ac:dyDescent="0.3">
      <c r="C2266" s="3"/>
      <c r="D2266" s="3"/>
      <c r="E2266" s="3"/>
      <c r="F2266" s="3"/>
    </row>
    <row r="2267" spans="3:6" x14ac:dyDescent="0.3">
      <c r="C2267" s="3"/>
      <c r="D2267" s="3"/>
      <c r="E2267" s="3"/>
      <c r="F2267" s="3"/>
    </row>
    <row r="2268" spans="3:6" x14ac:dyDescent="0.3">
      <c r="C2268" s="3"/>
      <c r="D2268" s="3"/>
      <c r="E2268" s="3"/>
      <c r="F2268" s="3"/>
    </row>
    <row r="2269" spans="3:6" x14ac:dyDescent="0.3">
      <c r="C2269" s="3"/>
      <c r="D2269" s="3"/>
      <c r="E2269" s="3"/>
      <c r="F2269" s="3"/>
    </row>
    <row r="2270" spans="3:6" x14ac:dyDescent="0.3">
      <c r="C2270" s="3"/>
      <c r="D2270" s="3"/>
      <c r="E2270" s="3"/>
      <c r="F2270" s="3"/>
    </row>
    <row r="2271" spans="3:6" x14ac:dyDescent="0.3">
      <c r="C2271" s="3"/>
      <c r="D2271" s="3"/>
      <c r="E2271" s="3"/>
      <c r="F2271" s="3"/>
    </row>
    <row r="2272" spans="3:6" x14ac:dyDescent="0.3">
      <c r="C2272" s="3"/>
      <c r="D2272" s="3"/>
      <c r="E2272" s="3"/>
      <c r="F2272" s="3"/>
    </row>
    <row r="2273" spans="3:6" x14ac:dyDescent="0.3">
      <c r="C2273" s="3"/>
      <c r="D2273" s="3"/>
      <c r="E2273" s="3"/>
      <c r="F2273" s="3"/>
    </row>
    <row r="2274" spans="3:6" x14ac:dyDescent="0.3">
      <c r="C2274" s="3"/>
      <c r="D2274" s="3"/>
      <c r="E2274" s="3"/>
      <c r="F2274" s="3"/>
    </row>
    <row r="2275" spans="3:6" x14ac:dyDescent="0.3">
      <c r="C2275" s="3"/>
      <c r="D2275" s="3"/>
      <c r="E2275" s="3"/>
      <c r="F2275" s="3"/>
    </row>
    <row r="2276" spans="3:6" x14ac:dyDescent="0.3">
      <c r="C2276" s="3"/>
      <c r="D2276" s="3"/>
      <c r="E2276" s="3"/>
      <c r="F2276" s="3"/>
    </row>
    <row r="2277" spans="3:6" x14ac:dyDescent="0.3">
      <c r="C2277" s="3"/>
      <c r="D2277" s="3"/>
      <c r="E2277" s="3"/>
      <c r="F2277" s="3"/>
    </row>
    <row r="2278" spans="3:6" x14ac:dyDescent="0.3">
      <c r="C2278" s="3"/>
      <c r="D2278" s="3"/>
      <c r="E2278" s="3"/>
      <c r="F2278" s="3"/>
    </row>
    <row r="2279" spans="3:6" x14ac:dyDescent="0.3">
      <c r="C2279" s="3"/>
      <c r="D2279" s="3"/>
      <c r="E2279" s="3"/>
      <c r="F2279" s="3"/>
    </row>
    <row r="2280" spans="3:6" x14ac:dyDescent="0.3">
      <c r="C2280" s="3"/>
      <c r="D2280" s="3"/>
      <c r="E2280" s="3"/>
      <c r="F2280" s="3"/>
    </row>
    <row r="2281" spans="3:6" x14ac:dyDescent="0.3">
      <c r="C2281" s="3"/>
      <c r="D2281" s="3"/>
      <c r="E2281" s="3"/>
      <c r="F2281" s="3"/>
    </row>
    <row r="2282" spans="3:6" x14ac:dyDescent="0.3">
      <c r="C2282" s="3"/>
      <c r="D2282" s="3"/>
      <c r="E2282" s="3"/>
      <c r="F2282" s="3"/>
    </row>
    <row r="2283" spans="3:6" x14ac:dyDescent="0.3">
      <c r="C2283" s="3"/>
      <c r="D2283" s="3"/>
      <c r="E2283" s="3"/>
      <c r="F2283" s="3"/>
    </row>
    <row r="2284" spans="3:6" x14ac:dyDescent="0.3">
      <c r="C2284" s="3"/>
      <c r="D2284" s="3"/>
      <c r="E2284" s="3"/>
      <c r="F2284" s="3"/>
    </row>
    <row r="2285" spans="3:6" x14ac:dyDescent="0.3">
      <c r="C2285" s="3"/>
      <c r="D2285" s="3"/>
      <c r="E2285" s="3"/>
      <c r="F2285" s="3"/>
    </row>
    <row r="2286" spans="3:6" x14ac:dyDescent="0.3">
      <c r="C2286" s="3"/>
      <c r="D2286" s="3"/>
      <c r="E2286" s="3"/>
      <c r="F2286" s="3"/>
    </row>
    <row r="2287" spans="3:6" x14ac:dyDescent="0.3">
      <c r="C2287" s="3"/>
      <c r="D2287" s="3"/>
      <c r="E2287" s="3"/>
      <c r="F2287" s="3"/>
    </row>
    <row r="2288" spans="3:6" x14ac:dyDescent="0.3">
      <c r="C2288" s="3"/>
      <c r="D2288" s="3"/>
      <c r="E2288" s="3"/>
      <c r="F2288" s="3"/>
    </row>
    <row r="2289" spans="3:6" x14ac:dyDescent="0.3">
      <c r="C2289" s="3"/>
      <c r="D2289" s="3"/>
      <c r="E2289" s="3"/>
      <c r="F2289" s="3"/>
    </row>
    <row r="2290" spans="3:6" x14ac:dyDescent="0.3">
      <c r="C2290" s="3"/>
      <c r="D2290" s="3"/>
      <c r="E2290" s="3"/>
      <c r="F2290" s="3"/>
    </row>
    <row r="2291" spans="3:6" x14ac:dyDescent="0.3">
      <c r="C2291" s="3"/>
      <c r="D2291" s="3"/>
      <c r="E2291" s="3"/>
      <c r="F2291" s="3"/>
    </row>
    <row r="2292" spans="3:6" x14ac:dyDescent="0.3">
      <c r="C2292" s="3"/>
      <c r="D2292" s="3"/>
      <c r="E2292" s="3"/>
      <c r="F2292" s="3"/>
    </row>
    <row r="2293" spans="3:6" x14ac:dyDescent="0.3">
      <c r="C2293" s="3"/>
      <c r="D2293" s="3"/>
      <c r="E2293" s="3"/>
      <c r="F2293" s="3"/>
    </row>
    <row r="2294" spans="3:6" x14ac:dyDescent="0.3">
      <c r="C2294" s="3"/>
      <c r="D2294" s="3"/>
      <c r="E2294" s="3"/>
      <c r="F2294" s="3"/>
    </row>
    <row r="2295" spans="3:6" x14ac:dyDescent="0.3">
      <c r="C2295" s="3"/>
      <c r="D2295" s="3"/>
      <c r="E2295" s="3"/>
      <c r="F2295" s="3"/>
    </row>
    <row r="2296" spans="3:6" x14ac:dyDescent="0.3">
      <c r="C2296" s="3"/>
      <c r="D2296" s="3"/>
      <c r="E2296" s="3"/>
      <c r="F2296" s="3"/>
    </row>
    <row r="2297" spans="3:6" x14ac:dyDescent="0.3">
      <c r="C2297" s="3"/>
      <c r="D2297" s="3"/>
      <c r="E2297" s="3"/>
      <c r="F2297" s="3"/>
    </row>
    <row r="2298" spans="3:6" x14ac:dyDescent="0.3">
      <c r="C2298" s="3"/>
      <c r="D2298" s="3"/>
      <c r="E2298" s="3"/>
      <c r="F2298" s="3"/>
    </row>
    <row r="2299" spans="3:6" x14ac:dyDescent="0.3">
      <c r="C2299" s="3"/>
      <c r="D2299" s="3"/>
      <c r="E2299" s="3"/>
      <c r="F2299" s="3"/>
    </row>
    <row r="2300" spans="3:6" x14ac:dyDescent="0.3">
      <c r="C2300" s="3"/>
      <c r="D2300" s="3"/>
      <c r="E2300" s="3"/>
      <c r="F2300" s="3"/>
    </row>
    <row r="2301" spans="3:6" x14ac:dyDescent="0.3">
      <c r="C2301" s="3"/>
      <c r="D2301" s="3"/>
      <c r="E2301" s="3"/>
      <c r="F2301" s="3"/>
    </row>
    <row r="2302" spans="3:6" x14ac:dyDescent="0.3">
      <c r="C2302" s="3"/>
      <c r="D2302" s="3"/>
      <c r="E2302" s="3"/>
      <c r="F2302" s="3"/>
    </row>
    <row r="2303" spans="3:6" x14ac:dyDescent="0.3">
      <c r="C2303" s="3"/>
      <c r="D2303" s="3"/>
      <c r="E2303" s="3"/>
      <c r="F2303" s="3"/>
    </row>
    <row r="2304" spans="3:6" x14ac:dyDescent="0.3">
      <c r="C2304" s="3"/>
      <c r="D2304" s="3"/>
      <c r="E2304" s="3"/>
      <c r="F2304" s="3"/>
    </row>
    <row r="2305" spans="3:6" x14ac:dyDescent="0.3">
      <c r="C2305" s="3"/>
      <c r="D2305" s="3"/>
      <c r="E2305" s="3"/>
      <c r="F2305" s="3"/>
    </row>
    <row r="2306" spans="3:6" x14ac:dyDescent="0.3">
      <c r="C2306" s="3"/>
      <c r="D2306" s="3"/>
      <c r="E2306" s="3"/>
      <c r="F2306" s="3"/>
    </row>
    <row r="2307" spans="3:6" x14ac:dyDescent="0.3">
      <c r="C2307" s="3"/>
      <c r="D2307" s="3"/>
      <c r="E2307" s="3"/>
      <c r="F2307" s="3"/>
    </row>
    <row r="2308" spans="3:6" x14ac:dyDescent="0.3">
      <c r="C2308" s="3"/>
      <c r="D2308" s="3"/>
      <c r="E2308" s="3"/>
      <c r="F2308" s="3"/>
    </row>
    <row r="2309" spans="3:6" x14ac:dyDescent="0.3">
      <c r="C2309" s="3"/>
      <c r="D2309" s="3"/>
      <c r="E2309" s="3"/>
      <c r="F2309" s="3"/>
    </row>
    <row r="2310" spans="3:6" x14ac:dyDescent="0.3">
      <c r="C2310" s="3"/>
      <c r="D2310" s="3"/>
      <c r="E2310" s="3"/>
      <c r="F2310" s="3"/>
    </row>
    <row r="2311" spans="3:6" x14ac:dyDescent="0.3">
      <c r="C2311" s="3"/>
      <c r="D2311" s="3"/>
      <c r="E2311" s="3"/>
      <c r="F2311" s="3"/>
    </row>
    <row r="2312" spans="3:6" x14ac:dyDescent="0.3">
      <c r="C2312" s="3"/>
      <c r="D2312" s="3"/>
      <c r="E2312" s="3"/>
      <c r="F2312" s="3"/>
    </row>
    <row r="2313" spans="3:6" x14ac:dyDescent="0.3">
      <c r="C2313" s="3"/>
      <c r="D2313" s="3"/>
      <c r="E2313" s="3"/>
      <c r="F2313" s="3"/>
    </row>
    <row r="2314" spans="3:6" x14ac:dyDescent="0.3">
      <c r="C2314" s="3"/>
      <c r="D2314" s="3"/>
      <c r="E2314" s="3"/>
      <c r="F2314" s="3"/>
    </row>
    <row r="2315" spans="3:6" x14ac:dyDescent="0.3">
      <c r="C2315" s="3"/>
      <c r="D2315" s="3"/>
      <c r="E2315" s="3"/>
      <c r="F2315" s="3"/>
    </row>
    <row r="2316" spans="3:6" x14ac:dyDescent="0.3">
      <c r="C2316" s="3"/>
      <c r="D2316" s="3"/>
      <c r="E2316" s="3"/>
      <c r="F2316" s="3"/>
    </row>
    <row r="2317" spans="3:6" x14ac:dyDescent="0.3">
      <c r="C2317" s="3"/>
      <c r="D2317" s="3"/>
      <c r="E2317" s="3"/>
      <c r="F2317" s="3"/>
    </row>
    <row r="2318" spans="3:6" x14ac:dyDescent="0.3">
      <c r="C2318" s="3"/>
      <c r="D2318" s="3"/>
      <c r="E2318" s="3"/>
      <c r="F2318" s="3"/>
    </row>
    <row r="2319" spans="3:6" x14ac:dyDescent="0.3">
      <c r="C2319" s="3"/>
      <c r="D2319" s="3"/>
      <c r="E2319" s="3"/>
      <c r="F2319" s="3"/>
    </row>
    <row r="2320" spans="3:6" x14ac:dyDescent="0.3">
      <c r="C2320" s="3"/>
      <c r="D2320" s="3"/>
      <c r="E2320" s="3"/>
      <c r="F2320" s="3"/>
    </row>
    <row r="2321" spans="3:6" x14ac:dyDescent="0.3">
      <c r="C2321" s="3"/>
      <c r="D2321" s="3"/>
      <c r="E2321" s="3"/>
      <c r="F2321" s="3"/>
    </row>
    <row r="2322" spans="3:6" x14ac:dyDescent="0.3">
      <c r="C2322" s="3"/>
      <c r="D2322" s="3"/>
      <c r="E2322" s="3"/>
      <c r="F2322" s="3"/>
    </row>
    <row r="2323" spans="3:6" x14ac:dyDescent="0.3">
      <c r="C2323" s="3"/>
      <c r="D2323" s="3"/>
      <c r="E2323" s="3"/>
      <c r="F2323" s="3"/>
    </row>
    <row r="2324" spans="3:6" x14ac:dyDescent="0.3">
      <c r="C2324" s="3"/>
      <c r="D2324" s="3"/>
      <c r="E2324" s="3"/>
      <c r="F2324" s="3"/>
    </row>
    <row r="2325" spans="3:6" x14ac:dyDescent="0.3">
      <c r="C2325" s="3"/>
      <c r="D2325" s="3"/>
      <c r="E2325" s="3"/>
      <c r="F2325" s="3"/>
    </row>
    <row r="2326" spans="3:6" x14ac:dyDescent="0.3">
      <c r="C2326" s="3"/>
      <c r="D2326" s="3"/>
      <c r="E2326" s="3"/>
      <c r="F2326" s="3"/>
    </row>
    <row r="2327" spans="3:6" x14ac:dyDescent="0.3">
      <c r="C2327" s="3"/>
      <c r="D2327" s="3"/>
      <c r="E2327" s="3"/>
      <c r="F2327" s="3"/>
    </row>
    <row r="2328" spans="3:6" x14ac:dyDescent="0.3">
      <c r="C2328" s="3"/>
      <c r="D2328" s="3"/>
      <c r="E2328" s="3"/>
      <c r="F2328" s="3"/>
    </row>
    <row r="2329" spans="3:6" x14ac:dyDescent="0.3">
      <c r="C2329" s="3"/>
      <c r="D2329" s="3"/>
      <c r="E2329" s="3"/>
      <c r="F2329" s="3"/>
    </row>
    <row r="2330" spans="3:6" x14ac:dyDescent="0.3">
      <c r="C2330" s="3"/>
      <c r="D2330" s="3"/>
      <c r="E2330" s="3"/>
      <c r="F2330" s="3"/>
    </row>
    <row r="2331" spans="3:6" x14ac:dyDescent="0.3">
      <c r="C2331" s="3"/>
      <c r="D2331" s="3"/>
      <c r="E2331" s="3"/>
      <c r="F2331" s="3"/>
    </row>
    <row r="2332" spans="3:6" x14ac:dyDescent="0.3">
      <c r="C2332" s="3"/>
      <c r="D2332" s="3"/>
      <c r="E2332" s="3"/>
      <c r="F2332" s="3"/>
    </row>
    <row r="2333" spans="3:6" x14ac:dyDescent="0.3">
      <c r="C2333" s="3"/>
      <c r="D2333" s="3"/>
      <c r="E2333" s="3"/>
      <c r="F2333" s="3"/>
    </row>
    <row r="2334" spans="3:6" x14ac:dyDescent="0.3">
      <c r="C2334" s="3"/>
      <c r="D2334" s="3"/>
      <c r="E2334" s="3"/>
      <c r="F2334" s="3"/>
    </row>
    <row r="2335" spans="3:6" x14ac:dyDescent="0.3">
      <c r="C2335" s="3"/>
      <c r="D2335" s="3"/>
      <c r="E2335" s="3"/>
      <c r="F2335" s="3"/>
    </row>
    <row r="2336" spans="3:6" x14ac:dyDescent="0.3">
      <c r="C2336" s="3"/>
      <c r="D2336" s="3"/>
      <c r="E2336" s="3"/>
      <c r="F2336" s="3"/>
    </row>
    <row r="2337" spans="3:6" x14ac:dyDescent="0.3">
      <c r="C2337" s="3"/>
      <c r="D2337" s="3"/>
      <c r="E2337" s="3"/>
      <c r="F2337" s="3"/>
    </row>
    <row r="2338" spans="3:6" x14ac:dyDescent="0.3">
      <c r="C2338" s="3"/>
      <c r="D2338" s="3"/>
      <c r="E2338" s="3"/>
      <c r="F2338" s="3"/>
    </row>
    <row r="2339" spans="3:6" x14ac:dyDescent="0.3">
      <c r="C2339" s="3"/>
      <c r="D2339" s="3"/>
      <c r="E2339" s="3"/>
      <c r="F2339" s="3"/>
    </row>
    <row r="2340" spans="3:6" x14ac:dyDescent="0.3">
      <c r="C2340" s="3"/>
      <c r="D2340" s="3"/>
      <c r="E2340" s="3"/>
      <c r="F2340" s="3"/>
    </row>
    <row r="2341" spans="3:6" x14ac:dyDescent="0.3">
      <c r="C2341" s="3"/>
      <c r="D2341" s="3"/>
      <c r="E2341" s="3"/>
      <c r="F2341" s="3"/>
    </row>
    <row r="2342" spans="3:6" x14ac:dyDescent="0.3">
      <c r="C2342" s="3"/>
      <c r="D2342" s="3"/>
      <c r="E2342" s="3"/>
      <c r="F2342" s="3"/>
    </row>
    <row r="2343" spans="3:6" x14ac:dyDescent="0.3">
      <c r="C2343" s="3"/>
      <c r="D2343" s="3"/>
      <c r="E2343" s="3"/>
      <c r="F2343" s="3"/>
    </row>
    <row r="2344" spans="3:6" x14ac:dyDescent="0.3">
      <c r="C2344" s="3"/>
      <c r="D2344" s="3"/>
      <c r="E2344" s="3"/>
      <c r="F2344" s="3"/>
    </row>
    <row r="2345" spans="3:6" x14ac:dyDescent="0.3">
      <c r="C2345" s="3"/>
      <c r="D2345" s="3"/>
      <c r="E2345" s="3"/>
      <c r="F2345" s="3"/>
    </row>
    <row r="2346" spans="3:6" x14ac:dyDescent="0.3">
      <c r="C2346" s="3"/>
      <c r="D2346" s="3"/>
      <c r="E2346" s="3"/>
      <c r="F2346" s="3"/>
    </row>
    <row r="2347" spans="3:6" x14ac:dyDescent="0.3">
      <c r="C2347" s="3"/>
      <c r="D2347" s="3"/>
      <c r="E2347" s="3"/>
      <c r="F2347" s="3"/>
    </row>
    <row r="2348" spans="3:6" x14ac:dyDescent="0.3">
      <c r="C2348" s="3"/>
      <c r="D2348" s="3"/>
      <c r="E2348" s="3"/>
      <c r="F2348" s="3"/>
    </row>
    <row r="2349" spans="3:6" x14ac:dyDescent="0.3">
      <c r="C2349" s="3"/>
      <c r="D2349" s="3"/>
      <c r="E2349" s="3"/>
      <c r="F2349" s="3"/>
    </row>
    <row r="2350" spans="3:6" x14ac:dyDescent="0.3">
      <c r="C2350" s="3"/>
      <c r="D2350" s="3"/>
      <c r="E2350" s="3"/>
      <c r="F2350" s="3"/>
    </row>
    <row r="2351" spans="3:6" x14ac:dyDescent="0.3">
      <c r="C2351" s="3"/>
      <c r="D2351" s="3"/>
      <c r="E2351" s="3"/>
      <c r="F2351" s="3"/>
    </row>
    <row r="2352" spans="3:6" x14ac:dyDescent="0.3">
      <c r="C2352" s="3"/>
      <c r="D2352" s="3"/>
      <c r="E2352" s="3"/>
      <c r="F2352" s="3"/>
    </row>
    <row r="2353" spans="3:6" x14ac:dyDescent="0.3">
      <c r="C2353" s="3"/>
      <c r="D2353" s="3"/>
      <c r="E2353" s="3"/>
      <c r="F2353" s="3"/>
    </row>
    <row r="2354" spans="3:6" x14ac:dyDescent="0.3">
      <c r="C2354" s="3"/>
      <c r="D2354" s="3"/>
      <c r="E2354" s="3"/>
      <c r="F2354" s="3"/>
    </row>
    <row r="2355" spans="3:6" x14ac:dyDescent="0.3">
      <c r="C2355" s="3"/>
      <c r="D2355" s="3"/>
      <c r="E2355" s="3"/>
      <c r="F2355" s="3"/>
    </row>
    <row r="2356" spans="3:6" x14ac:dyDescent="0.3">
      <c r="C2356" s="3"/>
      <c r="D2356" s="3"/>
      <c r="E2356" s="3"/>
      <c r="F2356" s="3"/>
    </row>
    <row r="2357" spans="3:6" x14ac:dyDescent="0.3">
      <c r="C2357" s="3"/>
      <c r="D2357" s="3"/>
      <c r="E2357" s="3"/>
      <c r="F2357" s="3"/>
    </row>
    <row r="2358" spans="3:6" x14ac:dyDescent="0.3">
      <c r="C2358" s="3"/>
      <c r="D2358" s="3"/>
      <c r="E2358" s="3"/>
      <c r="F2358" s="3"/>
    </row>
    <row r="2359" spans="3:6" x14ac:dyDescent="0.3">
      <c r="C2359" s="3"/>
      <c r="D2359" s="3"/>
      <c r="E2359" s="3"/>
      <c r="F2359" s="3"/>
    </row>
    <row r="2360" spans="3:6" x14ac:dyDescent="0.3">
      <c r="C2360" s="3"/>
      <c r="D2360" s="3"/>
      <c r="E2360" s="3"/>
      <c r="F2360" s="3"/>
    </row>
    <row r="2361" spans="3:6" x14ac:dyDescent="0.3">
      <c r="C2361" s="3"/>
      <c r="D2361" s="3"/>
      <c r="E2361" s="3"/>
      <c r="F2361" s="3"/>
    </row>
    <row r="2362" spans="3:6" x14ac:dyDescent="0.3">
      <c r="C2362" s="3"/>
      <c r="D2362" s="3"/>
      <c r="E2362" s="3"/>
      <c r="F2362" s="3"/>
    </row>
    <row r="2363" spans="3:6" x14ac:dyDescent="0.3">
      <c r="C2363" s="3"/>
      <c r="D2363" s="3"/>
      <c r="E2363" s="3"/>
      <c r="F2363" s="3"/>
    </row>
    <row r="2364" spans="3:6" x14ac:dyDescent="0.3">
      <c r="C2364" s="3"/>
      <c r="D2364" s="3"/>
      <c r="E2364" s="3"/>
      <c r="F2364" s="3"/>
    </row>
    <row r="2365" spans="3:6" x14ac:dyDescent="0.3">
      <c r="C2365" s="3"/>
      <c r="D2365" s="3"/>
      <c r="E2365" s="3"/>
      <c r="F2365" s="3"/>
    </row>
    <row r="2366" spans="3:6" x14ac:dyDescent="0.3">
      <c r="C2366" s="3"/>
      <c r="D2366" s="3"/>
      <c r="E2366" s="3"/>
      <c r="F2366" s="3"/>
    </row>
    <row r="2367" spans="3:6" x14ac:dyDescent="0.3">
      <c r="C2367" s="3"/>
      <c r="D2367" s="3"/>
      <c r="E2367" s="3"/>
      <c r="F2367" s="3"/>
    </row>
    <row r="2368" spans="3:6" x14ac:dyDescent="0.3">
      <c r="C2368" s="3"/>
      <c r="D2368" s="3"/>
      <c r="E2368" s="3"/>
      <c r="F2368" s="3"/>
    </row>
    <row r="2369" spans="3:6" x14ac:dyDescent="0.3">
      <c r="C2369" s="3"/>
      <c r="D2369" s="3"/>
      <c r="E2369" s="3"/>
      <c r="F2369" s="3"/>
    </row>
    <row r="2370" spans="3:6" x14ac:dyDescent="0.3">
      <c r="C2370" s="3"/>
      <c r="D2370" s="3"/>
      <c r="E2370" s="3"/>
      <c r="F2370" s="3"/>
    </row>
    <row r="2371" spans="3:6" x14ac:dyDescent="0.3">
      <c r="C2371" s="3"/>
      <c r="D2371" s="3"/>
      <c r="E2371" s="3"/>
      <c r="F2371" s="3"/>
    </row>
    <row r="2372" spans="3:6" x14ac:dyDescent="0.3">
      <c r="C2372" s="3"/>
      <c r="D2372" s="3"/>
      <c r="E2372" s="3"/>
      <c r="F2372" s="3"/>
    </row>
    <row r="2373" spans="3:6" x14ac:dyDescent="0.3">
      <c r="C2373" s="3"/>
      <c r="D2373" s="3"/>
      <c r="E2373" s="3"/>
      <c r="F2373" s="3"/>
    </row>
    <row r="2374" spans="3:6" x14ac:dyDescent="0.3">
      <c r="C2374" s="3"/>
      <c r="D2374" s="3"/>
      <c r="E2374" s="3"/>
      <c r="F2374" s="3"/>
    </row>
    <row r="2375" spans="3:6" x14ac:dyDescent="0.3">
      <c r="C2375" s="3"/>
      <c r="D2375" s="3"/>
      <c r="E2375" s="3"/>
      <c r="F2375" s="3"/>
    </row>
    <row r="2376" spans="3:6" x14ac:dyDescent="0.3">
      <c r="C2376" s="3"/>
      <c r="D2376" s="3"/>
      <c r="E2376" s="3"/>
      <c r="F2376" s="3"/>
    </row>
    <row r="2377" spans="3:6" x14ac:dyDescent="0.3">
      <c r="C2377" s="3"/>
      <c r="D2377" s="3"/>
      <c r="E2377" s="3"/>
      <c r="F2377" s="3"/>
    </row>
    <row r="2378" spans="3:6" x14ac:dyDescent="0.3">
      <c r="C2378" s="3"/>
      <c r="D2378" s="3"/>
      <c r="E2378" s="3"/>
      <c r="F2378" s="3"/>
    </row>
    <row r="2379" spans="3:6" x14ac:dyDescent="0.3">
      <c r="C2379" s="3"/>
      <c r="D2379" s="3"/>
      <c r="E2379" s="3"/>
      <c r="F2379" s="3"/>
    </row>
    <row r="2380" spans="3:6" x14ac:dyDescent="0.3">
      <c r="C2380" s="3"/>
      <c r="D2380" s="3"/>
      <c r="E2380" s="3"/>
      <c r="F2380" s="3"/>
    </row>
    <row r="2381" spans="3:6" x14ac:dyDescent="0.3">
      <c r="C2381" s="3"/>
      <c r="D2381" s="3"/>
      <c r="E2381" s="3"/>
      <c r="F2381" s="3"/>
    </row>
    <row r="2382" spans="3:6" x14ac:dyDescent="0.3">
      <c r="C2382" s="3"/>
      <c r="D2382" s="3"/>
      <c r="E2382" s="3"/>
      <c r="F2382" s="3"/>
    </row>
    <row r="2383" spans="3:6" x14ac:dyDescent="0.3">
      <c r="C2383" s="3"/>
      <c r="D2383" s="3"/>
      <c r="E2383" s="3"/>
      <c r="F2383" s="3"/>
    </row>
    <row r="2384" spans="3:6" x14ac:dyDescent="0.3">
      <c r="C2384" s="3"/>
      <c r="D2384" s="3"/>
      <c r="E2384" s="3"/>
      <c r="F2384" s="3"/>
    </row>
    <row r="2385" spans="3:6" x14ac:dyDescent="0.3">
      <c r="C2385" s="3"/>
      <c r="D2385" s="3"/>
      <c r="E2385" s="3"/>
      <c r="F2385" s="3"/>
    </row>
    <row r="2386" spans="3:6" x14ac:dyDescent="0.3">
      <c r="C2386" s="3"/>
      <c r="D2386" s="3"/>
      <c r="E2386" s="3"/>
      <c r="F2386" s="3"/>
    </row>
    <row r="2387" spans="3:6" x14ac:dyDescent="0.3">
      <c r="C2387" s="3"/>
      <c r="D2387" s="3"/>
      <c r="E2387" s="3"/>
      <c r="F2387" s="3"/>
    </row>
    <row r="2388" spans="3:6" x14ac:dyDescent="0.3">
      <c r="C2388" s="3"/>
      <c r="D2388" s="3"/>
      <c r="E2388" s="3"/>
      <c r="F2388" s="3"/>
    </row>
    <row r="2389" spans="3:6" x14ac:dyDescent="0.3">
      <c r="C2389" s="3"/>
      <c r="D2389" s="3"/>
      <c r="E2389" s="3"/>
      <c r="F2389" s="3"/>
    </row>
    <row r="2390" spans="3:6" x14ac:dyDescent="0.3">
      <c r="C2390" s="3"/>
      <c r="D2390" s="3"/>
      <c r="E2390" s="3"/>
      <c r="F2390" s="3"/>
    </row>
    <row r="2391" spans="3:6" x14ac:dyDescent="0.3">
      <c r="C2391" s="3"/>
      <c r="D2391" s="3"/>
      <c r="E2391" s="3"/>
      <c r="F2391" s="3"/>
    </row>
    <row r="2392" spans="3:6" x14ac:dyDescent="0.3">
      <c r="C2392" s="3"/>
      <c r="D2392" s="3"/>
      <c r="E2392" s="3"/>
      <c r="F2392" s="3"/>
    </row>
    <row r="2393" spans="3:6" x14ac:dyDescent="0.3">
      <c r="C2393" s="3"/>
      <c r="D2393" s="3"/>
      <c r="E2393" s="3"/>
      <c r="F2393" s="3"/>
    </row>
    <row r="2394" spans="3:6" x14ac:dyDescent="0.3">
      <c r="C2394" s="3"/>
      <c r="D2394" s="3"/>
      <c r="E2394" s="3"/>
      <c r="F2394" s="3"/>
    </row>
    <row r="2395" spans="3:6" x14ac:dyDescent="0.3">
      <c r="C2395" s="3"/>
      <c r="D2395" s="3"/>
      <c r="E2395" s="3"/>
      <c r="F2395" s="3"/>
    </row>
    <row r="2396" spans="3:6" x14ac:dyDescent="0.3">
      <c r="C2396" s="3"/>
      <c r="D2396" s="3"/>
      <c r="E2396" s="3"/>
      <c r="F2396" s="3"/>
    </row>
    <row r="2397" spans="3:6" x14ac:dyDescent="0.3">
      <c r="C2397" s="3"/>
      <c r="D2397" s="3"/>
      <c r="E2397" s="3"/>
      <c r="F2397" s="3"/>
    </row>
    <row r="2398" spans="3:6" x14ac:dyDescent="0.3">
      <c r="C2398" s="3"/>
      <c r="D2398" s="3"/>
      <c r="E2398" s="3"/>
      <c r="F2398" s="3"/>
    </row>
    <row r="2399" spans="3:6" x14ac:dyDescent="0.3">
      <c r="C2399" s="3"/>
      <c r="D2399" s="3"/>
      <c r="E2399" s="3"/>
      <c r="F2399" s="3"/>
    </row>
    <row r="2400" spans="3:6" x14ac:dyDescent="0.3">
      <c r="C2400" s="3"/>
      <c r="D2400" s="3"/>
      <c r="E2400" s="3"/>
      <c r="F2400" s="3"/>
    </row>
    <row r="2401" spans="3:6" x14ac:dyDescent="0.3">
      <c r="C2401" s="3"/>
      <c r="D2401" s="3"/>
      <c r="E2401" s="3"/>
      <c r="F2401" s="3"/>
    </row>
    <row r="2402" spans="3:6" x14ac:dyDescent="0.3">
      <c r="C2402" s="3"/>
      <c r="D2402" s="3"/>
      <c r="E2402" s="3"/>
      <c r="F2402" s="3"/>
    </row>
    <row r="2403" spans="3:6" x14ac:dyDescent="0.3">
      <c r="C2403" s="3"/>
      <c r="D2403" s="3"/>
      <c r="E2403" s="3"/>
      <c r="F2403" s="3"/>
    </row>
    <row r="2404" spans="3:6" x14ac:dyDescent="0.3">
      <c r="C2404" s="3"/>
      <c r="D2404" s="3"/>
      <c r="E2404" s="3"/>
      <c r="F2404" s="3"/>
    </row>
    <row r="2405" spans="3:6" x14ac:dyDescent="0.3">
      <c r="C2405" s="3"/>
      <c r="D2405" s="3"/>
      <c r="E2405" s="3"/>
      <c r="F2405" s="3"/>
    </row>
    <row r="2406" spans="3:6" x14ac:dyDescent="0.3">
      <c r="C2406" s="3"/>
      <c r="D2406" s="3"/>
      <c r="E2406" s="3"/>
      <c r="F2406" s="3"/>
    </row>
    <row r="2407" spans="3:6" x14ac:dyDescent="0.3">
      <c r="C2407" s="3"/>
      <c r="D2407" s="3"/>
      <c r="E2407" s="3"/>
      <c r="F2407" s="3"/>
    </row>
    <row r="2408" spans="3:6" x14ac:dyDescent="0.3">
      <c r="C2408" s="3"/>
      <c r="D2408" s="3"/>
      <c r="E2408" s="3"/>
      <c r="F2408" s="3"/>
    </row>
    <row r="2409" spans="3:6" x14ac:dyDescent="0.3">
      <c r="C2409" s="3"/>
      <c r="D2409" s="3"/>
      <c r="E2409" s="3"/>
      <c r="F2409" s="3"/>
    </row>
    <row r="2410" spans="3:6" x14ac:dyDescent="0.3">
      <c r="C2410" s="3"/>
      <c r="D2410" s="3"/>
      <c r="E2410" s="3"/>
      <c r="F2410" s="3"/>
    </row>
    <row r="2411" spans="3:6" x14ac:dyDescent="0.3">
      <c r="C2411" s="3"/>
      <c r="D2411" s="3"/>
      <c r="E2411" s="3"/>
      <c r="F2411" s="3"/>
    </row>
    <row r="2412" spans="3:6" x14ac:dyDescent="0.3">
      <c r="C2412" s="3"/>
      <c r="D2412" s="3"/>
      <c r="E2412" s="3"/>
      <c r="F2412" s="3"/>
    </row>
    <row r="2413" spans="3:6" x14ac:dyDescent="0.3">
      <c r="C2413" s="3"/>
      <c r="D2413" s="3"/>
      <c r="E2413" s="3"/>
      <c r="F2413" s="3"/>
    </row>
    <row r="2414" spans="3:6" x14ac:dyDescent="0.3">
      <c r="C2414" s="3"/>
      <c r="D2414" s="3"/>
      <c r="E2414" s="3"/>
      <c r="F2414" s="3"/>
    </row>
    <row r="2415" spans="3:6" x14ac:dyDescent="0.3">
      <c r="C2415" s="3"/>
      <c r="D2415" s="3"/>
      <c r="E2415" s="3"/>
      <c r="F2415" s="3"/>
    </row>
    <row r="2416" spans="3:6" x14ac:dyDescent="0.3">
      <c r="C2416" s="3"/>
      <c r="D2416" s="3"/>
      <c r="E2416" s="3"/>
      <c r="F2416" s="3"/>
    </row>
    <row r="2417" spans="3:6" x14ac:dyDescent="0.3">
      <c r="C2417" s="3"/>
      <c r="D2417" s="3"/>
      <c r="E2417" s="3"/>
      <c r="F2417" s="3"/>
    </row>
    <row r="2418" spans="3:6" x14ac:dyDescent="0.3">
      <c r="C2418" s="3"/>
      <c r="D2418" s="3"/>
      <c r="E2418" s="3"/>
      <c r="F2418" s="3"/>
    </row>
    <row r="2419" spans="3:6" x14ac:dyDescent="0.3">
      <c r="C2419" s="3"/>
      <c r="D2419" s="3"/>
      <c r="E2419" s="3"/>
      <c r="F2419" s="3"/>
    </row>
    <row r="2420" spans="3:6" x14ac:dyDescent="0.3">
      <c r="C2420" s="3"/>
      <c r="D2420" s="3"/>
      <c r="E2420" s="3"/>
      <c r="F2420" s="3"/>
    </row>
    <row r="2421" spans="3:6" x14ac:dyDescent="0.3">
      <c r="C2421" s="3"/>
      <c r="D2421" s="3"/>
      <c r="E2421" s="3"/>
      <c r="F2421" s="3"/>
    </row>
    <row r="2422" spans="3:6" x14ac:dyDescent="0.3">
      <c r="C2422" s="3"/>
      <c r="D2422" s="3"/>
      <c r="E2422" s="3"/>
      <c r="F2422" s="3"/>
    </row>
    <row r="2423" spans="3:6" x14ac:dyDescent="0.3">
      <c r="C2423" s="3"/>
      <c r="D2423" s="3"/>
      <c r="E2423" s="3"/>
      <c r="F2423" s="3"/>
    </row>
    <row r="2424" spans="3:6" x14ac:dyDescent="0.3">
      <c r="C2424" s="3"/>
      <c r="D2424" s="3"/>
      <c r="E2424" s="3"/>
      <c r="F2424" s="3"/>
    </row>
    <row r="2425" spans="3:6" x14ac:dyDescent="0.3">
      <c r="C2425" s="3"/>
      <c r="D2425" s="3"/>
      <c r="E2425" s="3"/>
      <c r="F2425" s="3"/>
    </row>
    <row r="2426" spans="3:6" x14ac:dyDescent="0.3">
      <c r="C2426" s="3"/>
      <c r="D2426" s="3"/>
      <c r="E2426" s="3"/>
      <c r="F2426" s="3"/>
    </row>
    <row r="2427" spans="3:6" x14ac:dyDescent="0.3">
      <c r="C2427" s="3"/>
      <c r="D2427" s="3"/>
      <c r="E2427" s="3"/>
      <c r="F2427" s="3"/>
    </row>
    <row r="2428" spans="3:6" x14ac:dyDescent="0.3">
      <c r="C2428" s="3"/>
      <c r="D2428" s="3"/>
      <c r="E2428" s="3"/>
      <c r="F2428" s="3"/>
    </row>
    <row r="2429" spans="3:6" x14ac:dyDescent="0.3">
      <c r="C2429" s="3"/>
      <c r="D2429" s="3"/>
      <c r="E2429" s="3"/>
      <c r="F2429" s="3"/>
    </row>
    <row r="2430" spans="3:6" x14ac:dyDescent="0.3">
      <c r="C2430" s="3"/>
      <c r="D2430" s="3"/>
      <c r="E2430" s="3"/>
      <c r="F2430" s="3"/>
    </row>
    <row r="2431" spans="3:6" x14ac:dyDescent="0.3">
      <c r="C2431" s="3"/>
      <c r="D2431" s="3"/>
      <c r="E2431" s="3"/>
      <c r="F2431" s="3"/>
    </row>
    <row r="2432" spans="3:6" x14ac:dyDescent="0.3">
      <c r="C2432" s="3"/>
      <c r="D2432" s="3"/>
      <c r="E2432" s="3"/>
      <c r="F2432" s="3"/>
    </row>
    <row r="2433" spans="3:6" x14ac:dyDescent="0.3">
      <c r="C2433" s="3"/>
      <c r="D2433" s="3"/>
      <c r="E2433" s="3"/>
      <c r="F2433" s="3"/>
    </row>
    <row r="2434" spans="3:6" x14ac:dyDescent="0.3">
      <c r="C2434" s="3"/>
      <c r="D2434" s="3"/>
      <c r="E2434" s="3"/>
      <c r="F2434" s="3"/>
    </row>
    <row r="2435" spans="3:6" x14ac:dyDescent="0.3">
      <c r="C2435" s="3"/>
      <c r="D2435" s="3"/>
      <c r="E2435" s="3"/>
      <c r="F2435" s="3"/>
    </row>
    <row r="2436" spans="3:6" x14ac:dyDescent="0.3">
      <c r="C2436" s="3"/>
      <c r="D2436" s="3"/>
      <c r="E2436" s="3"/>
      <c r="F2436" s="3"/>
    </row>
    <row r="2437" spans="3:6" x14ac:dyDescent="0.3">
      <c r="C2437" s="3"/>
      <c r="D2437" s="3"/>
      <c r="E2437" s="3"/>
      <c r="F2437" s="3"/>
    </row>
    <row r="2438" spans="3:6" x14ac:dyDescent="0.3">
      <c r="C2438" s="3"/>
      <c r="D2438" s="3"/>
      <c r="E2438" s="3"/>
      <c r="F2438" s="3"/>
    </row>
    <row r="2439" spans="3:6" x14ac:dyDescent="0.3">
      <c r="C2439" s="3"/>
      <c r="D2439" s="3"/>
      <c r="E2439" s="3"/>
      <c r="F2439" s="3"/>
    </row>
    <row r="2440" spans="3:6" x14ac:dyDescent="0.3">
      <c r="C2440" s="3"/>
      <c r="D2440" s="3"/>
      <c r="E2440" s="3"/>
      <c r="F2440" s="3"/>
    </row>
    <row r="2441" spans="3:6" x14ac:dyDescent="0.3">
      <c r="C2441" s="3"/>
      <c r="D2441" s="3"/>
      <c r="E2441" s="3"/>
      <c r="F2441" s="3"/>
    </row>
    <row r="2442" spans="3:6" x14ac:dyDescent="0.3">
      <c r="C2442" s="3"/>
      <c r="D2442" s="3"/>
      <c r="E2442" s="3"/>
      <c r="F2442" s="3"/>
    </row>
    <row r="2443" spans="3:6" x14ac:dyDescent="0.3">
      <c r="C2443" s="3"/>
      <c r="D2443" s="3"/>
      <c r="E2443" s="3"/>
      <c r="F2443" s="3"/>
    </row>
    <row r="2444" spans="3:6" x14ac:dyDescent="0.3">
      <c r="C2444" s="3"/>
      <c r="D2444" s="3"/>
      <c r="E2444" s="3"/>
      <c r="F2444" s="3"/>
    </row>
    <row r="2445" spans="3:6" x14ac:dyDescent="0.3">
      <c r="C2445" s="3"/>
      <c r="D2445" s="3"/>
      <c r="E2445" s="3"/>
      <c r="F2445" s="3"/>
    </row>
    <row r="2446" spans="3:6" x14ac:dyDescent="0.3">
      <c r="C2446" s="3"/>
      <c r="D2446" s="3"/>
      <c r="E2446" s="3"/>
      <c r="F2446" s="3"/>
    </row>
    <row r="2447" spans="3:6" x14ac:dyDescent="0.3">
      <c r="C2447" s="3"/>
      <c r="D2447" s="3"/>
      <c r="E2447" s="3"/>
      <c r="F2447" s="3"/>
    </row>
    <row r="2448" spans="3:6" x14ac:dyDescent="0.3">
      <c r="C2448" s="3"/>
      <c r="D2448" s="3"/>
      <c r="E2448" s="3"/>
      <c r="F2448" s="3"/>
    </row>
    <row r="2449" spans="3:6" x14ac:dyDescent="0.3">
      <c r="C2449" s="3"/>
      <c r="D2449" s="3"/>
      <c r="E2449" s="3"/>
      <c r="F2449" s="3"/>
    </row>
    <row r="2450" spans="3:6" x14ac:dyDescent="0.3">
      <c r="C2450" s="3"/>
      <c r="D2450" s="3"/>
      <c r="E2450" s="3"/>
      <c r="F2450" s="3"/>
    </row>
    <row r="2451" spans="3:6" x14ac:dyDescent="0.3">
      <c r="C2451" s="3"/>
      <c r="D2451" s="3"/>
      <c r="E2451" s="3"/>
      <c r="F2451" s="3"/>
    </row>
    <row r="2452" spans="3:6" x14ac:dyDescent="0.3">
      <c r="C2452" s="3"/>
      <c r="D2452" s="3"/>
      <c r="E2452" s="3"/>
      <c r="F2452" s="3"/>
    </row>
    <row r="2453" spans="3:6" x14ac:dyDescent="0.3">
      <c r="C2453" s="3"/>
      <c r="D2453" s="3"/>
      <c r="E2453" s="3"/>
      <c r="F2453" s="3"/>
    </row>
    <row r="2454" spans="3:6" x14ac:dyDescent="0.3">
      <c r="C2454" s="3"/>
      <c r="D2454" s="3"/>
      <c r="E2454" s="3"/>
      <c r="F2454" s="3"/>
    </row>
    <row r="2455" spans="3:6" x14ac:dyDescent="0.3">
      <c r="C2455" s="3"/>
      <c r="D2455" s="3"/>
      <c r="E2455" s="3"/>
      <c r="F2455" s="3"/>
    </row>
    <row r="2456" spans="3:6" x14ac:dyDescent="0.3">
      <c r="C2456" s="3"/>
      <c r="D2456" s="3"/>
      <c r="E2456" s="3"/>
      <c r="F2456" s="3"/>
    </row>
    <row r="2457" spans="3:6" x14ac:dyDescent="0.3">
      <c r="C2457" s="3"/>
      <c r="D2457" s="3"/>
      <c r="E2457" s="3"/>
      <c r="F2457" s="3"/>
    </row>
    <row r="2458" spans="3:6" x14ac:dyDescent="0.3">
      <c r="C2458" s="3"/>
      <c r="D2458" s="3"/>
      <c r="E2458" s="3"/>
      <c r="F2458" s="3"/>
    </row>
    <row r="2459" spans="3:6" x14ac:dyDescent="0.3">
      <c r="C2459" s="3"/>
      <c r="D2459" s="3"/>
      <c r="E2459" s="3"/>
      <c r="F2459" s="3"/>
    </row>
    <row r="2460" spans="3:6" x14ac:dyDescent="0.3">
      <c r="C2460" s="3"/>
      <c r="D2460" s="3"/>
      <c r="E2460" s="3"/>
      <c r="F2460" s="3"/>
    </row>
    <row r="2461" spans="3:6" x14ac:dyDescent="0.3">
      <c r="C2461" s="3"/>
      <c r="D2461" s="3"/>
      <c r="E2461" s="3"/>
      <c r="F2461" s="3"/>
    </row>
    <row r="2462" spans="3:6" x14ac:dyDescent="0.3">
      <c r="C2462" s="3"/>
      <c r="D2462" s="3"/>
      <c r="E2462" s="3"/>
      <c r="F2462" s="3"/>
    </row>
    <row r="2463" spans="3:6" x14ac:dyDescent="0.3">
      <c r="C2463" s="3"/>
      <c r="D2463" s="3"/>
      <c r="E2463" s="3"/>
      <c r="F2463" s="3"/>
    </row>
    <row r="2464" spans="3:6" x14ac:dyDescent="0.3">
      <c r="C2464" s="3"/>
      <c r="D2464" s="3"/>
      <c r="E2464" s="3"/>
      <c r="F2464" s="3"/>
    </row>
    <row r="2465" spans="3:6" x14ac:dyDescent="0.3">
      <c r="C2465" s="3"/>
      <c r="D2465" s="3"/>
      <c r="E2465" s="3"/>
      <c r="F2465" s="3"/>
    </row>
    <row r="2466" spans="3:6" x14ac:dyDescent="0.3">
      <c r="C2466" s="3"/>
      <c r="D2466" s="3"/>
      <c r="E2466" s="3"/>
      <c r="F2466" s="3"/>
    </row>
    <row r="2467" spans="3:6" x14ac:dyDescent="0.3">
      <c r="C2467" s="3"/>
      <c r="D2467" s="3"/>
      <c r="E2467" s="3"/>
      <c r="F2467" s="3"/>
    </row>
    <row r="2468" spans="3:6" x14ac:dyDescent="0.3">
      <c r="C2468" s="3"/>
      <c r="D2468" s="3"/>
      <c r="E2468" s="3"/>
      <c r="F2468" s="3"/>
    </row>
    <row r="2469" spans="3:6" x14ac:dyDescent="0.3">
      <c r="C2469" s="3"/>
      <c r="D2469" s="3"/>
      <c r="E2469" s="3"/>
      <c r="F2469" s="3"/>
    </row>
    <row r="2470" spans="3:6" x14ac:dyDescent="0.3">
      <c r="C2470" s="3"/>
      <c r="D2470" s="3"/>
      <c r="E2470" s="3"/>
      <c r="F2470" s="3"/>
    </row>
    <row r="2471" spans="3:6" x14ac:dyDescent="0.3">
      <c r="C2471" s="3"/>
      <c r="D2471" s="3"/>
      <c r="E2471" s="3"/>
      <c r="F2471" s="3"/>
    </row>
    <row r="2472" spans="3:6" x14ac:dyDescent="0.3">
      <c r="C2472" s="3"/>
      <c r="D2472" s="3"/>
      <c r="E2472" s="3"/>
      <c r="F2472" s="3"/>
    </row>
    <row r="2473" spans="3:6" x14ac:dyDescent="0.3">
      <c r="C2473" s="3"/>
      <c r="D2473" s="3"/>
      <c r="E2473" s="3"/>
      <c r="F2473" s="3"/>
    </row>
    <row r="2474" spans="3:6" x14ac:dyDescent="0.3">
      <c r="C2474" s="3"/>
      <c r="D2474" s="3"/>
      <c r="E2474" s="3"/>
      <c r="F2474" s="3"/>
    </row>
    <row r="2475" spans="3:6" x14ac:dyDescent="0.3">
      <c r="C2475" s="3"/>
      <c r="D2475" s="3"/>
      <c r="E2475" s="3"/>
      <c r="F2475" s="3"/>
    </row>
    <row r="2476" spans="3:6" x14ac:dyDescent="0.3">
      <c r="C2476" s="3"/>
      <c r="D2476" s="3"/>
      <c r="E2476" s="3"/>
      <c r="F2476" s="3"/>
    </row>
    <row r="2477" spans="3:6" x14ac:dyDescent="0.3">
      <c r="C2477" s="3"/>
      <c r="D2477" s="3"/>
      <c r="E2477" s="3"/>
      <c r="F2477" s="3"/>
    </row>
    <row r="2478" spans="3:6" x14ac:dyDescent="0.3">
      <c r="C2478" s="3"/>
      <c r="D2478" s="3"/>
      <c r="E2478" s="3"/>
      <c r="F2478" s="3"/>
    </row>
    <row r="2479" spans="3:6" x14ac:dyDescent="0.3">
      <c r="C2479" s="3"/>
      <c r="D2479" s="3"/>
      <c r="E2479" s="3"/>
      <c r="F2479" s="3"/>
    </row>
    <row r="2480" spans="3:6" x14ac:dyDescent="0.3">
      <c r="C2480" s="3"/>
      <c r="D2480" s="3"/>
      <c r="E2480" s="3"/>
      <c r="F2480" s="3"/>
    </row>
    <row r="2481" spans="3:6" x14ac:dyDescent="0.3">
      <c r="C2481" s="3"/>
      <c r="D2481" s="3"/>
      <c r="E2481" s="3"/>
      <c r="F2481" s="3"/>
    </row>
    <row r="2482" spans="3:6" x14ac:dyDescent="0.3">
      <c r="C2482" s="3"/>
      <c r="D2482" s="3"/>
      <c r="E2482" s="3"/>
      <c r="F2482" s="3"/>
    </row>
    <row r="2483" spans="3:6" x14ac:dyDescent="0.3">
      <c r="C2483" s="3"/>
      <c r="D2483" s="3"/>
      <c r="E2483" s="3"/>
      <c r="F2483" s="3"/>
    </row>
    <row r="2484" spans="3:6" x14ac:dyDescent="0.3">
      <c r="C2484" s="3"/>
      <c r="D2484" s="3"/>
      <c r="E2484" s="3"/>
      <c r="F2484" s="3"/>
    </row>
    <row r="2485" spans="3:6" x14ac:dyDescent="0.3">
      <c r="C2485" s="3"/>
      <c r="D2485" s="3"/>
      <c r="E2485" s="3"/>
      <c r="F2485" s="3"/>
    </row>
    <row r="2486" spans="3:6" x14ac:dyDescent="0.3">
      <c r="C2486" s="3"/>
      <c r="D2486" s="3"/>
      <c r="E2486" s="3"/>
      <c r="F2486" s="3"/>
    </row>
    <row r="2487" spans="3:6" x14ac:dyDescent="0.3">
      <c r="C2487" s="3"/>
      <c r="D2487" s="3"/>
      <c r="E2487" s="3"/>
      <c r="F2487" s="3"/>
    </row>
    <row r="2488" spans="3:6" x14ac:dyDescent="0.3">
      <c r="C2488" s="3"/>
      <c r="D2488" s="3"/>
      <c r="E2488" s="3"/>
      <c r="F2488" s="3"/>
    </row>
    <row r="2489" spans="3:6" x14ac:dyDescent="0.3">
      <c r="C2489" s="3"/>
      <c r="D2489" s="3"/>
      <c r="E2489" s="3"/>
      <c r="F2489" s="3"/>
    </row>
    <row r="2490" spans="3:6" x14ac:dyDescent="0.3">
      <c r="C2490" s="3"/>
      <c r="D2490" s="3"/>
      <c r="E2490" s="3"/>
      <c r="F2490" s="3"/>
    </row>
    <row r="2491" spans="3:6" x14ac:dyDescent="0.3">
      <c r="C2491" s="3"/>
      <c r="D2491" s="3"/>
      <c r="E2491" s="3"/>
      <c r="F2491" s="3"/>
    </row>
    <row r="2492" spans="3:6" x14ac:dyDescent="0.3">
      <c r="C2492" s="3"/>
      <c r="D2492" s="3"/>
      <c r="E2492" s="3"/>
      <c r="F2492" s="3"/>
    </row>
    <row r="2493" spans="3:6" x14ac:dyDescent="0.3">
      <c r="C2493" s="3"/>
      <c r="D2493" s="3"/>
      <c r="E2493" s="3"/>
      <c r="F2493" s="3"/>
    </row>
    <row r="2494" spans="3:6" x14ac:dyDescent="0.3">
      <c r="C2494" s="3"/>
      <c r="D2494" s="3"/>
      <c r="E2494" s="3"/>
      <c r="F2494" s="3"/>
    </row>
    <row r="2495" spans="3:6" x14ac:dyDescent="0.3">
      <c r="C2495" s="3"/>
      <c r="D2495" s="3"/>
      <c r="E2495" s="3"/>
      <c r="F2495" s="3"/>
    </row>
    <row r="2496" spans="3:6" x14ac:dyDescent="0.3">
      <c r="C2496" s="3"/>
      <c r="D2496" s="3"/>
      <c r="E2496" s="3"/>
      <c r="F2496" s="3"/>
    </row>
    <row r="2497" spans="3:6" x14ac:dyDescent="0.3">
      <c r="C2497" s="3"/>
      <c r="D2497" s="3"/>
      <c r="E2497" s="3"/>
      <c r="F2497" s="3"/>
    </row>
    <row r="2498" spans="3:6" x14ac:dyDescent="0.3">
      <c r="C2498" s="3"/>
      <c r="D2498" s="3"/>
      <c r="E2498" s="3"/>
      <c r="F2498" s="3"/>
    </row>
    <row r="2499" spans="3:6" x14ac:dyDescent="0.3">
      <c r="C2499" s="3"/>
      <c r="D2499" s="3"/>
      <c r="E2499" s="3"/>
      <c r="F2499" s="3"/>
    </row>
    <row r="2500" spans="3:6" x14ac:dyDescent="0.3">
      <c r="C2500" s="3"/>
      <c r="D2500" s="3"/>
      <c r="E2500" s="3"/>
      <c r="F2500" s="3"/>
    </row>
    <row r="2501" spans="3:6" x14ac:dyDescent="0.3">
      <c r="C2501" s="3"/>
      <c r="D2501" s="3"/>
      <c r="E2501" s="3"/>
      <c r="F2501" s="3"/>
    </row>
    <row r="2502" spans="3:6" x14ac:dyDescent="0.3">
      <c r="C2502" s="3"/>
      <c r="D2502" s="3"/>
      <c r="E2502" s="3"/>
      <c r="F2502" s="3"/>
    </row>
    <row r="2503" spans="3:6" x14ac:dyDescent="0.3">
      <c r="C2503" s="3"/>
      <c r="D2503" s="3"/>
      <c r="E2503" s="3"/>
      <c r="F2503" s="3"/>
    </row>
    <row r="2504" spans="3:6" x14ac:dyDescent="0.3">
      <c r="C2504" s="3"/>
      <c r="D2504" s="3"/>
      <c r="E2504" s="3"/>
      <c r="F2504" s="3"/>
    </row>
    <row r="2505" spans="3:6" x14ac:dyDescent="0.3">
      <c r="C2505" s="3"/>
      <c r="D2505" s="3"/>
      <c r="E2505" s="3"/>
      <c r="F2505" s="3"/>
    </row>
    <row r="2506" spans="3:6" x14ac:dyDescent="0.3">
      <c r="C2506" s="3"/>
      <c r="D2506" s="3"/>
      <c r="E2506" s="3"/>
      <c r="F2506" s="3"/>
    </row>
    <row r="2507" spans="3:6" x14ac:dyDescent="0.3">
      <c r="C2507" s="3"/>
      <c r="D2507" s="3"/>
      <c r="E2507" s="3"/>
      <c r="F2507" s="3"/>
    </row>
    <row r="2508" spans="3:6" x14ac:dyDescent="0.3">
      <c r="C2508" s="3"/>
      <c r="D2508" s="3"/>
      <c r="E2508" s="3"/>
      <c r="F2508" s="3"/>
    </row>
    <row r="2509" spans="3:6" x14ac:dyDescent="0.3">
      <c r="C2509" s="3"/>
      <c r="D2509" s="3"/>
      <c r="E2509" s="3"/>
      <c r="F2509" s="3"/>
    </row>
    <row r="2510" spans="3:6" x14ac:dyDescent="0.3">
      <c r="C2510" s="3"/>
      <c r="D2510" s="3"/>
      <c r="E2510" s="3"/>
      <c r="F2510" s="3"/>
    </row>
    <row r="2511" spans="3:6" x14ac:dyDescent="0.3">
      <c r="C2511" s="3"/>
      <c r="D2511" s="3"/>
      <c r="E2511" s="3"/>
      <c r="F2511" s="3"/>
    </row>
    <row r="2512" spans="3:6" x14ac:dyDescent="0.3">
      <c r="C2512" s="3"/>
      <c r="D2512" s="3"/>
      <c r="E2512" s="3"/>
      <c r="F2512" s="3"/>
    </row>
    <row r="2513" spans="3:6" x14ac:dyDescent="0.3">
      <c r="C2513" s="3"/>
      <c r="D2513" s="3"/>
      <c r="E2513" s="3"/>
      <c r="F2513" s="3"/>
    </row>
    <row r="2514" spans="3:6" x14ac:dyDescent="0.3">
      <c r="C2514" s="3"/>
      <c r="D2514" s="3"/>
      <c r="E2514" s="3"/>
      <c r="F2514" s="3"/>
    </row>
    <row r="2515" spans="3:6" x14ac:dyDescent="0.3">
      <c r="C2515" s="3"/>
      <c r="D2515" s="3"/>
      <c r="E2515" s="3"/>
      <c r="F2515" s="3"/>
    </row>
    <row r="2516" spans="3:6" x14ac:dyDescent="0.3">
      <c r="C2516" s="3"/>
      <c r="D2516" s="3"/>
      <c r="E2516" s="3"/>
      <c r="F2516" s="3"/>
    </row>
    <row r="2517" spans="3:6" x14ac:dyDescent="0.3">
      <c r="C2517" s="3"/>
      <c r="D2517" s="3"/>
      <c r="E2517" s="3"/>
      <c r="F2517" s="3"/>
    </row>
    <row r="2518" spans="3:6" x14ac:dyDescent="0.3">
      <c r="C2518" s="3"/>
      <c r="D2518" s="3"/>
      <c r="E2518" s="3"/>
      <c r="F2518" s="3"/>
    </row>
    <row r="2519" spans="3:6" x14ac:dyDescent="0.3">
      <c r="C2519" s="3"/>
      <c r="D2519" s="3"/>
      <c r="E2519" s="3"/>
      <c r="F2519" s="3"/>
    </row>
    <row r="2520" spans="3:6" x14ac:dyDescent="0.3">
      <c r="C2520" s="3"/>
      <c r="D2520" s="3"/>
      <c r="E2520" s="3"/>
      <c r="F2520" s="3"/>
    </row>
    <row r="2521" spans="3:6" x14ac:dyDescent="0.3">
      <c r="C2521" s="3"/>
      <c r="D2521" s="3"/>
      <c r="E2521" s="3"/>
      <c r="F2521" s="3"/>
    </row>
    <row r="2522" spans="3:6" x14ac:dyDescent="0.3">
      <c r="C2522" s="3"/>
      <c r="D2522" s="3"/>
      <c r="E2522" s="3"/>
      <c r="F2522" s="3"/>
    </row>
    <row r="2523" spans="3:6" x14ac:dyDescent="0.3">
      <c r="C2523" s="3"/>
      <c r="D2523" s="3"/>
      <c r="E2523" s="3"/>
      <c r="F2523" s="3"/>
    </row>
    <row r="2524" spans="3:6" x14ac:dyDescent="0.3">
      <c r="C2524" s="3"/>
      <c r="D2524" s="3"/>
      <c r="E2524" s="3"/>
      <c r="F2524" s="3"/>
    </row>
    <row r="2525" spans="3:6" x14ac:dyDescent="0.3">
      <c r="C2525" s="3"/>
      <c r="D2525" s="3"/>
      <c r="E2525" s="3"/>
      <c r="F2525" s="3"/>
    </row>
    <row r="2526" spans="3:6" x14ac:dyDescent="0.3">
      <c r="C2526" s="3"/>
      <c r="D2526" s="3"/>
      <c r="E2526" s="3"/>
      <c r="F2526" s="3"/>
    </row>
    <row r="2527" spans="3:6" x14ac:dyDescent="0.3">
      <c r="C2527" s="3"/>
      <c r="D2527" s="3"/>
      <c r="E2527" s="3"/>
      <c r="F2527" s="3"/>
    </row>
    <row r="2528" spans="3:6" x14ac:dyDescent="0.3">
      <c r="C2528" s="3"/>
      <c r="D2528" s="3"/>
      <c r="E2528" s="3"/>
      <c r="F2528" s="3"/>
    </row>
    <row r="2529" spans="3:6" x14ac:dyDescent="0.3">
      <c r="C2529" s="3"/>
      <c r="D2529" s="3"/>
      <c r="E2529" s="3"/>
      <c r="F2529" s="3"/>
    </row>
    <row r="2530" spans="3:6" x14ac:dyDescent="0.3">
      <c r="C2530" s="3"/>
      <c r="D2530" s="3"/>
      <c r="E2530" s="3"/>
      <c r="F2530" s="3"/>
    </row>
    <row r="2531" spans="3:6" x14ac:dyDescent="0.3">
      <c r="C2531" s="3"/>
      <c r="D2531" s="3"/>
      <c r="E2531" s="3"/>
      <c r="F2531" s="3"/>
    </row>
    <row r="2532" spans="3:6" x14ac:dyDescent="0.3">
      <c r="C2532" s="3"/>
      <c r="D2532" s="3"/>
      <c r="E2532" s="3"/>
      <c r="F2532" s="3"/>
    </row>
    <row r="2533" spans="3:6" x14ac:dyDescent="0.3">
      <c r="C2533" s="3"/>
      <c r="D2533" s="3"/>
      <c r="E2533" s="3"/>
      <c r="F2533" s="3"/>
    </row>
    <row r="2534" spans="3:6" x14ac:dyDescent="0.3">
      <c r="C2534" s="3"/>
      <c r="D2534" s="3"/>
      <c r="E2534" s="3"/>
      <c r="F2534" s="3"/>
    </row>
    <row r="2535" spans="3:6" x14ac:dyDescent="0.3">
      <c r="C2535" s="3"/>
      <c r="D2535" s="3"/>
      <c r="E2535" s="3"/>
      <c r="F2535" s="3"/>
    </row>
    <row r="2536" spans="3:6" x14ac:dyDescent="0.3">
      <c r="C2536" s="3"/>
      <c r="D2536" s="3"/>
      <c r="E2536" s="3"/>
      <c r="F2536" s="3"/>
    </row>
    <row r="2537" spans="3:6" x14ac:dyDescent="0.3">
      <c r="C2537" s="3"/>
      <c r="D2537" s="3"/>
      <c r="E2537" s="3"/>
      <c r="F2537" s="3"/>
    </row>
    <row r="2538" spans="3:6" x14ac:dyDescent="0.3">
      <c r="C2538" s="3"/>
      <c r="D2538" s="3"/>
      <c r="E2538" s="3"/>
      <c r="F2538" s="3"/>
    </row>
    <row r="2539" spans="3:6" x14ac:dyDescent="0.3">
      <c r="C2539" s="3"/>
      <c r="D2539" s="3"/>
      <c r="E2539" s="3"/>
      <c r="F2539" s="3"/>
    </row>
    <row r="2540" spans="3:6" x14ac:dyDescent="0.3">
      <c r="C2540" s="3"/>
      <c r="D2540" s="3"/>
      <c r="E2540" s="3"/>
      <c r="F2540" s="3"/>
    </row>
    <row r="2541" spans="3:6" x14ac:dyDescent="0.3">
      <c r="C2541" s="3"/>
      <c r="D2541" s="3"/>
      <c r="E2541" s="3"/>
      <c r="F2541" s="3"/>
    </row>
    <row r="2542" spans="3:6" x14ac:dyDescent="0.3">
      <c r="C2542" s="3"/>
      <c r="D2542" s="3"/>
      <c r="E2542" s="3"/>
      <c r="F2542" s="3"/>
    </row>
    <row r="2543" spans="3:6" x14ac:dyDescent="0.3">
      <c r="C2543" s="3"/>
      <c r="D2543" s="3"/>
      <c r="E2543" s="3"/>
      <c r="F2543" s="3"/>
    </row>
    <row r="2544" spans="3:6" x14ac:dyDescent="0.3">
      <c r="C2544" s="3"/>
      <c r="D2544" s="3"/>
      <c r="E2544" s="3"/>
      <c r="F2544" s="3"/>
    </row>
    <row r="2545" spans="3:6" x14ac:dyDescent="0.3">
      <c r="C2545" s="3"/>
      <c r="D2545" s="3"/>
      <c r="E2545" s="3"/>
      <c r="F2545" s="3"/>
    </row>
    <row r="2546" spans="3:6" x14ac:dyDescent="0.3">
      <c r="C2546" s="3"/>
      <c r="D2546" s="3"/>
      <c r="E2546" s="3"/>
      <c r="F2546" s="3"/>
    </row>
    <row r="2547" spans="3:6" x14ac:dyDescent="0.3">
      <c r="C2547" s="3"/>
      <c r="D2547" s="3"/>
      <c r="E2547" s="3"/>
      <c r="F2547" s="3"/>
    </row>
    <row r="2548" spans="3:6" x14ac:dyDescent="0.3">
      <c r="C2548" s="3"/>
      <c r="D2548" s="3"/>
      <c r="E2548" s="3"/>
      <c r="F2548" s="3"/>
    </row>
    <row r="2549" spans="3:6" x14ac:dyDescent="0.3">
      <c r="C2549" s="3"/>
      <c r="D2549" s="3"/>
      <c r="E2549" s="3"/>
      <c r="F2549" s="3"/>
    </row>
    <row r="2550" spans="3:6" x14ac:dyDescent="0.3">
      <c r="C2550" s="3"/>
      <c r="D2550" s="3"/>
      <c r="E2550" s="3"/>
      <c r="F2550" s="3"/>
    </row>
    <row r="2551" spans="3:6" x14ac:dyDescent="0.3">
      <c r="C2551" s="3"/>
      <c r="D2551" s="3"/>
      <c r="E2551" s="3"/>
      <c r="F2551" s="3"/>
    </row>
    <row r="2552" spans="3:6" x14ac:dyDescent="0.3">
      <c r="C2552" s="3"/>
      <c r="D2552" s="3"/>
      <c r="E2552" s="3"/>
      <c r="F2552" s="3"/>
    </row>
    <row r="2553" spans="3:6" x14ac:dyDescent="0.3">
      <c r="C2553" s="3"/>
      <c r="D2553" s="3"/>
      <c r="E2553" s="3"/>
      <c r="F2553" s="3"/>
    </row>
    <row r="2554" spans="3:6" x14ac:dyDescent="0.3">
      <c r="C2554" s="3"/>
      <c r="D2554" s="3"/>
      <c r="E2554" s="3"/>
      <c r="F2554" s="3"/>
    </row>
    <row r="2555" spans="3:6" x14ac:dyDescent="0.3">
      <c r="C2555" s="3"/>
      <c r="D2555" s="3"/>
      <c r="E2555" s="3"/>
      <c r="F2555" s="3"/>
    </row>
    <row r="2556" spans="3:6" x14ac:dyDescent="0.3">
      <c r="C2556" s="3"/>
      <c r="D2556" s="3"/>
      <c r="E2556" s="3"/>
      <c r="F2556" s="3"/>
    </row>
    <row r="2557" spans="3:6" x14ac:dyDescent="0.3">
      <c r="C2557" s="3"/>
      <c r="D2557" s="3"/>
      <c r="E2557" s="3"/>
      <c r="F2557" s="3"/>
    </row>
    <row r="2558" spans="3:6" x14ac:dyDescent="0.3">
      <c r="C2558" s="3"/>
      <c r="D2558" s="3"/>
      <c r="E2558" s="3"/>
      <c r="F2558" s="3"/>
    </row>
    <row r="2559" spans="3:6" x14ac:dyDescent="0.3">
      <c r="C2559" s="3"/>
      <c r="D2559" s="3"/>
      <c r="E2559" s="3"/>
      <c r="F2559" s="3"/>
    </row>
    <row r="2560" spans="3:6" x14ac:dyDescent="0.3">
      <c r="C2560" s="3"/>
      <c r="D2560" s="3"/>
      <c r="E2560" s="3"/>
      <c r="F2560" s="3"/>
    </row>
    <row r="2561" spans="3:6" x14ac:dyDescent="0.3">
      <c r="C2561" s="3"/>
      <c r="D2561" s="3"/>
      <c r="E2561" s="3"/>
      <c r="F2561" s="3"/>
    </row>
    <row r="2562" spans="3:6" x14ac:dyDescent="0.3">
      <c r="C2562" s="3"/>
      <c r="D2562" s="3"/>
      <c r="E2562" s="3"/>
      <c r="F2562" s="3"/>
    </row>
    <row r="2563" spans="3:6" x14ac:dyDescent="0.3">
      <c r="C2563" s="3"/>
      <c r="D2563" s="3"/>
      <c r="E2563" s="3"/>
      <c r="F2563" s="3"/>
    </row>
    <row r="2564" spans="3:6" x14ac:dyDescent="0.3">
      <c r="C2564" s="3"/>
      <c r="D2564" s="3"/>
      <c r="E2564" s="3"/>
      <c r="F2564" s="3"/>
    </row>
    <row r="2565" spans="3:6" x14ac:dyDescent="0.3">
      <c r="C2565" s="3"/>
      <c r="D2565" s="3"/>
      <c r="E2565" s="3"/>
      <c r="F2565" s="3"/>
    </row>
    <row r="2566" spans="3:6" x14ac:dyDescent="0.3">
      <c r="C2566" s="3"/>
      <c r="D2566" s="3"/>
      <c r="E2566" s="3"/>
      <c r="F2566" s="3"/>
    </row>
    <row r="2567" spans="3:6" x14ac:dyDescent="0.3">
      <c r="C2567" s="3"/>
      <c r="D2567" s="3"/>
      <c r="E2567" s="3"/>
      <c r="F2567" s="3"/>
    </row>
    <row r="2568" spans="3:6" x14ac:dyDescent="0.3">
      <c r="C2568" s="3"/>
      <c r="D2568" s="3"/>
      <c r="E2568" s="3"/>
      <c r="F2568" s="3"/>
    </row>
    <row r="2569" spans="3:6" x14ac:dyDescent="0.3">
      <c r="C2569" s="3"/>
      <c r="D2569" s="3"/>
      <c r="E2569" s="3"/>
      <c r="F2569" s="3"/>
    </row>
    <row r="2570" spans="3:6" x14ac:dyDescent="0.3">
      <c r="C2570" s="3"/>
      <c r="D2570" s="3"/>
      <c r="E2570" s="3"/>
      <c r="F2570" s="3"/>
    </row>
    <row r="2571" spans="3:6" x14ac:dyDescent="0.3">
      <c r="C2571" s="3"/>
      <c r="D2571" s="3"/>
      <c r="E2571" s="3"/>
      <c r="F2571" s="3"/>
    </row>
    <row r="2572" spans="3:6" x14ac:dyDescent="0.3">
      <c r="C2572" s="3"/>
      <c r="D2572" s="3"/>
      <c r="E2572" s="3"/>
      <c r="F2572" s="3"/>
    </row>
    <row r="2573" spans="3:6" x14ac:dyDescent="0.3">
      <c r="C2573" s="3"/>
      <c r="D2573" s="3"/>
      <c r="E2573" s="3"/>
      <c r="F2573" s="3"/>
    </row>
    <row r="2574" spans="3:6" x14ac:dyDescent="0.3">
      <c r="C2574" s="3"/>
      <c r="D2574" s="3"/>
      <c r="E2574" s="3"/>
      <c r="F2574" s="3"/>
    </row>
    <row r="2575" spans="3:6" x14ac:dyDescent="0.3">
      <c r="C2575" s="3"/>
      <c r="D2575" s="3"/>
      <c r="E2575" s="3"/>
      <c r="F2575" s="3"/>
    </row>
    <row r="2576" spans="3:6" x14ac:dyDescent="0.3">
      <c r="C2576" s="3"/>
      <c r="D2576" s="3"/>
      <c r="E2576" s="3"/>
      <c r="F2576" s="3"/>
    </row>
    <row r="2577" spans="3:6" x14ac:dyDescent="0.3">
      <c r="C2577" s="3"/>
      <c r="D2577" s="3"/>
      <c r="E2577" s="3"/>
      <c r="F2577" s="3"/>
    </row>
    <row r="2578" spans="3:6" x14ac:dyDescent="0.3">
      <c r="C2578" s="3"/>
      <c r="D2578" s="3"/>
      <c r="E2578" s="3"/>
      <c r="F2578" s="3"/>
    </row>
    <row r="2579" spans="3:6" x14ac:dyDescent="0.3">
      <c r="C2579" s="3"/>
      <c r="D2579" s="3"/>
      <c r="E2579" s="3"/>
      <c r="F2579" s="3"/>
    </row>
    <row r="2580" spans="3:6" x14ac:dyDescent="0.3">
      <c r="C2580" s="3"/>
      <c r="D2580" s="3"/>
      <c r="E2580" s="3"/>
      <c r="F2580" s="3"/>
    </row>
    <row r="2581" spans="3:6" x14ac:dyDescent="0.3">
      <c r="C2581" s="3"/>
      <c r="D2581" s="3"/>
      <c r="E2581" s="3"/>
      <c r="F2581" s="3"/>
    </row>
    <row r="2582" spans="3:6" x14ac:dyDescent="0.3">
      <c r="C2582" s="3"/>
      <c r="D2582" s="3"/>
      <c r="E2582" s="3"/>
      <c r="F2582" s="3"/>
    </row>
    <row r="2583" spans="3:6" x14ac:dyDescent="0.3">
      <c r="C2583" s="3"/>
      <c r="D2583" s="3"/>
      <c r="E2583" s="3"/>
      <c r="F2583" s="3"/>
    </row>
    <row r="2584" spans="3:6" x14ac:dyDescent="0.3">
      <c r="C2584" s="3"/>
      <c r="D2584" s="3"/>
      <c r="E2584" s="3"/>
      <c r="F2584" s="3"/>
    </row>
    <row r="2585" spans="3:6" x14ac:dyDescent="0.3">
      <c r="C2585" s="3"/>
      <c r="D2585" s="3"/>
      <c r="E2585" s="3"/>
      <c r="F2585" s="3"/>
    </row>
    <row r="2586" spans="3:6" x14ac:dyDescent="0.3">
      <c r="C2586" s="3"/>
      <c r="D2586" s="3"/>
      <c r="E2586" s="3"/>
      <c r="F2586" s="3"/>
    </row>
    <row r="2587" spans="3:6" x14ac:dyDescent="0.3">
      <c r="C2587" s="3"/>
      <c r="D2587" s="3"/>
      <c r="E2587" s="3"/>
      <c r="F2587" s="3"/>
    </row>
    <row r="2588" spans="3:6" x14ac:dyDescent="0.3">
      <c r="C2588" s="3"/>
      <c r="D2588" s="3"/>
      <c r="E2588" s="3"/>
      <c r="F2588" s="3"/>
    </row>
    <row r="2589" spans="3:6" x14ac:dyDescent="0.3">
      <c r="C2589" s="3"/>
      <c r="D2589" s="3"/>
      <c r="E2589" s="3"/>
      <c r="F2589" s="3"/>
    </row>
    <row r="2590" spans="3:6" x14ac:dyDescent="0.3">
      <c r="C2590" s="3"/>
      <c r="D2590" s="3"/>
      <c r="E2590" s="3"/>
      <c r="F2590" s="3"/>
    </row>
    <row r="2591" spans="3:6" x14ac:dyDescent="0.3">
      <c r="C2591" s="3"/>
      <c r="D2591" s="3"/>
      <c r="E2591" s="3"/>
      <c r="F2591" s="3"/>
    </row>
    <row r="2592" spans="3:6" x14ac:dyDescent="0.3">
      <c r="C2592" s="3"/>
      <c r="D2592" s="3"/>
      <c r="E2592" s="3"/>
      <c r="F2592" s="3"/>
    </row>
    <row r="2593" spans="3:6" x14ac:dyDescent="0.3">
      <c r="C2593" s="3"/>
      <c r="D2593" s="3"/>
      <c r="E2593" s="3"/>
      <c r="F2593" s="3"/>
    </row>
    <row r="2594" spans="3:6" x14ac:dyDescent="0.3">
      <c r="C2594" s="3"/>
      <c r="D2594" s="3"/>
      <c r="E2594" s="3"/>
      <c r="F2594" s="3"/>
    </row>
    <row r="2595" spans="3:6" x14ac:dyDescent="0.3">
      <c r="C2595" s="3"/>
      <c r="D2595" s="3"/>
      <c r="E2595" s="3"/>
      <c r="F2595" s="3"/>
    </row>
    <row r="2596" spans="3:6" x14ac:dyDescent="0.3">
      <c r="C2596" s="3"/>
      <c r="D2596" s="3"/>
      <c r="E2596" s="3"/>
      <c r="F2596" s="3"/>
    </row>
    <row r="2597" spans="3:6" x14ac:dyDescent="0.3">
      <c r="C2597" s="3"/>
      <c r="D2597" s="3"/>
      <c r="E2597" s="3"/>
      <c r="F2597" s="3"/>
    </row>
    <row r="2598" spans="3:6" x14ac:dyDescent="0.3">
      <c r="C2598" s="3"/>
      <c r="D2598" s="3"/>
      <c r="E2598" s="3"/>
      <c r="F2598" s="3"/>
    </row>
    <row r="2599" spans="3:6" x14ac:dyDescent="0.3">
      <c r="C2599" s="3"/>
      <c r="D2599" s="3"/>
      <c r="E2599" s="3"/>
      <c r="F2599" s="3"/>
    </row>
    <row r="2600" spans="3:6" x14ac:dyDescent="0.3">
      <c r="C2600" s="3"/>
      <c r="D2600" s="3"/>
      <c r="E2600" s="3"/>
      <c r="F2600" s="3"/>
    </row>
    <row r="2601" spans="3:6" x14ac:dyDescent="0.3">
      <c r="C2601" s="3"/>
      <c r="D2601" s="3"/>
      <c r="E2601" s="3"/>
      <c r="F2601" s="3"/>
    </row>
    <row r="2602" spans="3:6" x14ac:dyDescent="0.3">
      <c r="C2602" s="3"/>
      <c r="D2602" s="3"/>
      <c r="E2602" s="3"/>
      <c r="F2602" s="3"/>
    </row>
    <row r="2603" spans="3:6" x14ac:dyDescent="0.3">
      <c r="C2603" s="3"/>
      <c r="D2603" s="3"/>
      <c r="E2603" s="3"/>
      <c r="F2603" s="3"/>
    </row>
    <row r="2604" spans="3:6" x14ac:dyDescent="0.3">
      <c r="C2604" s="3"/>
      <c r="D2604" s="3"/>
      <c r="E2604" s="3"/>
      <c r="F2604" s="3"/>
    </row>
    <row r="2605" spans="3:6" x14ac:dyDescent="0.3">
      <c r="C2605" s="3"/>
      <c r="D2605" s="3"/>
      <c r="E2605" s="3"/>
      <c r="F2605" s="3"/>
    </row>
    <row r="2606" spans="3:6" x14ac:dyDescent="0.3">
      <c r="C2606" s="3"/>
      <c r="D2606" s="3"/>
      <c r="E2606" s="3"/>
      <c r="F2606" s="3"/>
    </row>
    <row r="2607" spans="3:6" x14ac:dyDescent="0.3">
      <c r="C2607" s="3"/>
      <c r="D2607" s="3"/>
      <c r="E2607" s="3"/>
      <c r="F2607" s="3"/>
    </row>
    <row r="2608" spans="3:6" x14ac:dyDescent="0.3">
      <c r="C2608" s="3"/>
      <c r="D2608" s="3"/>
      <c r="E2608" s="3"/>
      <c r="F2608" s="3"/>
    </row>
    <row r="2609" spans="3:6" x14ac:dyDescent="0.3">
      <c r="C2609" s="3"/>
      <c r="D2609" s="3"/>
      <c r="E2609" s="3"/>
      <c r="F2609" s="3"/>
    </row>
    <row r="2610" spans="3:6" x14ac:dyDescent="0.3">
      <c r="C2610" s="3"/>
      <c r="D2610" s="3"/>
      <c r="E2610" s="3"/>
      <c r="F2610" s="3"/>
    </row>
    <row r="2611" spans="3:6" x14ac:dyDescent="0.3">
      <c r="C2611" s="3"/>
      <c r="D2611" s="3"/>
      <c r="E2611" s="3"/>
      <c r="F2611" s="3"/>
    </row>
    <row r="2612" spans="3:6" x14ac:dyDescent="0.3">
      <c r="C2612" s="3"/>
      <c r="D2612" s="3"/>
      <c r="E2612" s="3"/>
      <c r="F2612" s="3"/>
    </row>
    <row r="2613" spans="3:6" x14ac:dyDescent="0.3">
      <c r="C2613" s="3"/>
      <c r="D2613" s="3"/>
      <c r="E2613" s="3"/>
      <c r="F2613" s="3"/>
    </row>
    <row r="2614" spans="3:6" x14ac:dyDescent="0.3">
      <c r="C2614" s="3"/>
      <c r="D2614" s="3"/>
      <c r="E2614" s="3"/>
      <c r="F2614" s="3"/>
    </row>
    <row r="2615" spans="3:6" x14ac:dyDescent="0.3">
      <c r="C2615" s="3"/>
      <c r="D2615" s="3"/>
      <c r="E2615" s="3"/>
      <c r="F2615" s="3"/>
    </row>
    <row r="2616" spans="3:6" x14ac:dyDescent="0.3">
      <c r="C2616" s="3"/>
      <c r="D2616" s="3"/>
      <c r="E2616" s="3"/>
      <c r="F2616" s="3"/>
    </row>
    <row r="2617" spans="3:6" x14ac:dyDescent="0.3">
      <c r="C2617" s="3"/>
      <c r="D2617" s="3"/>
      <c r="E2617" s="3"/>
      <c r="F2617" s="3"/>
    </row>
    <row r="2618" spans="3:6" x14ac:dyDescent="0.3">
      <c r="C2618" s="3"/>
      <c r="D2618" s="3"/>
      <c r="E2618" s="3"/>
      <c r="F2618" s="3"/>
    </row>
    <row r="2619" spans="3:6" x14ac:dyDescent="0.3">
      <c r="C2619" s="3"/>
      <c r="D2619" s="3"/>
      <c r="E2619" s="3"/>
      <c r="F2619" s="3"/>
    </row>
    <row r="2620" spans="3:6" x14ac:dyDescent="0.3">
      <c r="C2620" s="3"/>
      <c r="D2620" s="3"/>
      <c r="E2620" s="3"/>
      <c r="F2620" s="3"/>
    </row>
    <row r="2621" spans="3:6" x14ac:dyDescent="0.3">
      <c r="C2621" s="3"/>
      <c r="D2621" s="3"/>
      <c r="E2621" s="3"/>
      <c r="F2621" s="3"/>
    </row>
    <row r="2622" spans="3:6" x14ac:dyDescent="0.3">
      <c r="C2622" s="3"/>
      <c r="D2622" s="3"/>
      <c r="E2622" s="3"/>
      <c r="F2622" s="3"/>
    </row>
    <row r="2623" spans="3:6" x14ac:dyDescent="0.3">
      <c r="C2623" s="3"/>
      <c r="D2623" s="3"/>
      <c r="E2623" s="3"/>
      <c r="F2623" s="3"/>
    </row>
    <row r="2624" spans="3:6" x14ac:dyDescent="0.3">
      <c r="C2624" s="3"/>
      <c r="D2624" s="3"/>
      <c r="E2624" s="3"/>
      <c r="F2624" s="3"/>
    </row>
    <row r="2625" spans="3:6" x14ac:dyDescent="0.3">
      <c r="C2625" s="3"/>
      <c r="D2625" s="3"/>
      <c r="E2625" s="3"/>
      <c r="F2625" s="3"/>
    </row>
    <row r="2626" spans="3:6" x14ac:dyDescent="0.3">
      <c r="C2626" s="3"/>
      <c r="D2626" s="3"/>
      <c r="E2626" s="3"/>
      <c r="F2626" s="3"/>
    </row>
    <row r="2627" spans="3:6" x14ac:dyDescent="0.3">
      <c r="C2627" s="3"/>
      <c r="D2627" s="3"/>
      <c r="E2627" s="3"/>
      <c r="F2627" s="3"/>
    </row>
    <row r="2628" spans="3:6" x14ac:dyDescent="0.3">
      <c r="C2628" s="3"/>
      <c r="D2628" s="3"/>
      <c r="E2628" s="3"/>
      <c r="F2628" s="3"/>
    </row>
    <row r="2629" spans="3:6" x14ac:dyDescent="0.3">
      <c r="C2629" s="3"/>
      <c r="D2629" s="3"/>
      <c r="E2629" s="3"/>
      <c r="F2629" s="3"/>
    </row>
    <row r="2630" spans="3:6" x14ac:dyDescent="0.3">
      <c r="C2630" s="3"/>
      <c r="D2630" s="3"/>
      <c r="E2630" s="3"/>
      <c r="F2630" s="3"/>
    </row>
    <row r="2631" spans="3:6" x14ac:dyDescent="0.3">
      <c r="C2631" s="3"/>
      <c r="D2631" s="3"/>
      <c r="E2631" s="3"/>
      <c r="F2631" s="3"/>
    </row>
    <row r="2632" spans="3:6" x14ac:dyDescent="0.3">
      <c r="C2632" s="3"/>
      <c r="D2632" s="3"/>
      <c r="E2632" s="3"/>
      <c r="F2632" s="3"/>
    </row>
    <row r="2633" spans="3:6" x14ac:dyDescent="0.3">
      <c r="C2633" s="3"/>
      <c r="D2633" s="3"/>
      <c r="E2633" s="3"/>
      <c r="F2633" s="3"/>
    </row>
    <row r="2634" spans="3:6" x14ac:dyDescent="0.3">
      <c r="C2634" s="3"/>
      <c r="D2634" s="3"/>
      <c r="E2634" s="3"/>
      <c r="F2634" s="3"/>
    </row>
    <row r="2635" spans="3:6" x14ac:dyDescent="0.3">
      <c r="C2635" s="3"/>
      <c r="D2635" s="3"/>
      <c r="E2635" s="3"/>
      <c r="F2635" s="3"/>
    </row>
    <row r="2636" spans="3:6" x14ac:dyDescent="0.3">
      <c r="C2636" s="3"/>
      <c r="D2636" s="3"/>
      <c r="E2636" s="3"/>
      <c r="F2636" s="3"/>
    </row>
    <row r="2637" spans="3:6" x14ac:dyDescent="0.3">
      <c r="C2637" s="3"/>
      <c r="D2637" s="3"/>
      <c r="E2637" s="3"/>
      <c r="F2637" s="3"/>
    </row>
    <row r="2638" spans="3:6" x14ac:dyDescent="0.3">
      <c r="C2638" s="3"/>
      <c r="D2638" s="3"/>
      <c r="E2638" s="3"/>
      <c r="F2638" s="3"/>
    </row>
    <row r="2639" spans="3:6" x14ac:dyDescent="0.3">
      <c r="C2639" s="3"/>
      <c r="D2639" s="3"/>
      <c r="E2639" s="3"/>
      <c r="F2639" s="3"/>
    </row>
    <row r="2640" spans="3:6" x14ac:dyDescent="0.3">
      <c r="C2640" s="3"/>
      <c r="D2640" s="3"/>
      <c r="E2640" s="3"/>
      <c r="F2640" s="3"/>
    </row>
    <row r="2641" spans="3:6" x14ac:dyDescent="0.3">
      <c r="C2641" s="3"/>
      <c r="D2641" s="3"/>
      <c r="E2641" s="3"/>
      <c r="F2641" s="3"/>
    </row>
    <row r="2642" spans="3:6" x14ac:dyDescent="0.3">
      <c r="C2642" s="3"/>
      <c r="D2642" s="3"/>
      <c r="E2642" s="3"/>
      <c r="F2642" s="3"/>
    </row>
    <row r="2643" spans="3:6" x14ac:dyDescent="0.3">
      <c r="C2643" s="3"/>
      <c r="D2643" s="3"/>
      <c r="E2643" s="3"/>
      <c r="F2643" s="3"/>
    </row>
    <row r="2644" spans="3:6" x14ac:dyDescent="0.3">
      <c r="C2644" s="3"/>
      <c r="D2644" s="3"/>
      <c r="E2644" s="3"/>
      <c r="F2644" s="3"/>
    </row>
    <row r="2645" spans="3:6" x14ac:dyDescent="0.3">
      <c r="C2645" s="3"/>
      <c r="D2645" s="3"/>
      <c r="E2645" s="3"/>
      <c r="F2645" s="3"/>
    </row>
    <row r="2646" spans="3:6" x14ac:dyDescent="0.3">
      <c r="C2646" s="3"/>
      <c r="D2646" s="3"/>
      <c r="E2646" s="3"/>
      <c r="F2646" s="3"/>
    </row>
    <row r="2647" spans="3:6" x14ac:dyDescent="0.3">
      <c r="C2647" s="3"/>
      <c r="D2647" s="3"/>
      <c r="E2647" s="3"/>
      <c r="F2647" s="3"/>
    </row>
    <row r="2648" spans="3:6" x14ac:dyDescent="0.3">
      <c r="C2648" s="3"/>
      <c r="D2648" s="3"/>
      <c r="E2648" s="3"/>
      <c r="F2648" s="3"/>
    </row>
    <row r="2649" spans="3:6" x14ac:dyDescent="0.3">
      <c r="C2649" s="3"/>
      <c r="D2649" s="3"/>
      <c r="E2649" s="3"/>
      <c r="F2649" s="3"/>
    </row>
    <row r="2650" spans="3:6" x14ac:dyDescent="0.3">
      <c r="C2650" s="3"/>
      <c r="D2650" s="3"/>
      <c r="E2650" s="3"/>
      <c r="F2650" s="3"/>
    </row>
    <row r="2651" spans="3:6" x14ac:dyDescent="0.3">
      <c r="C2651" s="3"/>
      <c r="D2651" s="3"/>
      <c r="E2651" s="3"/>
      <c r="F2651" s="3"/>
    </row>
    <row r="2652" spans="3:6" x14ac:dyDescent="0.3">
      <c r="C2652" s="3"/>
      <c r="D2652" s="3"/>
      <c r="E2652" s="3"/>
      <c r="F2652" s="3"/>
    </row>
    <row r="2653" spans="3:6" x14ac:dyDescent="0.3">
      <c r="C2653" s="3"/>
      <c r="D2653" s="3"/>
      <c r="E2653" s="3"/>
      <c r="F2653" s="3"/>
    </row>
    <row r="2654" spans="3:6" x14ac:dyDescent="0.3">
      <c r="C2654" s="3"/>
      <c r="D2654" s="3"/>
      <c r="E2654" s="3"/>
      <c r="F2654" s="3"/>
    </row>
    <row r="2655" spans="3:6" x14ac:dyDescent="0.3">
      <c r="C2655" s="3"/>
      <c r="D2655" s="3"/>
      <c r="E2655" s="3"/>
      <c r="F2655" s="3"/>
    </row>
    <row r="2656" spans="3:6" x14ac:dyDescent="0.3">
      <c r="C2656" s="3"/>
      <c r="D2656" s="3"/>
      <c r="E2656" s="3"/>
      <c r="F2656" s="3"/>
    </row>
    <row r="2657" spans="3:6" x14ac:dyDescent="0.3">
      <c r="C2657" s="3"/>
      <c r="D2657" s="3"/>
      <c r="E2657" s="3"/>
      <c r="F2657" s="3"/>
    </row>
    <row r="2658" spans="3:6" x14ac:dyDescent="0.3">
      <c r="C2658" s="3"/>
      <c r="D2658" s="3"/>
      <c r="E2658" s="3"/>
      <c r="F2658" s="3"/>
    </row>
    <row r="2659" spans="3:6" x14ac:dyDescent="0.3">
      <c r="C2659" s="3"/>
      <c r="D2659" s="3"/>
      <c r="E2659" s="3"/>
      <c r="F2659" s="3"/>
    </row>
    <row r="2660" spans="3:6" x14ac:dyDescent="0.3">
      <c r="C2660" s="3"/>
      <c r="D2660" s="3"/>
      <c r="E2660" s="3"/>
      <c r="F2660" s="3"/>
    </row>
    <row r="2661" spans="3:6" x14ac:dyDescent="0.3">
      <c r="C2661" s="3"/>
      <c r="D2661" s="3"/>
      <c r="E2661" s="3"/>
      <c r="F2661" s="3"/>
    </row>
    <row r="2662" spans="3:6" x14ac:dyDescent="0.3">
      <c r="C2662" s="3"/>
      <c r="D2662" s="3"/>
      <c r="E2662" s="3"/>
      <c r="F2662" s="3"/>
    </row>
    <row r="2663" spans="3:6" x14ac:dyDescent="0.3">
      <c r="C2663" s="3"/>
      <c r="D2663" s="3"/>
      <c r="E2663" s="3"/>
      <c r="F2663" s="3"/>
    </row>
    <row r="2664" spans="3:6" x14ac:dyDescent="0.3">
      <c r="C2664" s="3"/>
      <c r="D2664" s="3"/>
      <c r="E2664" s="3"/>
      <c r="F2664" s="3"/>
    </row>
    <row r="2665" spans="3:6" x14ac:dyDescent="0.3">
      <c r="C2665" s="3"/>
      <c r="D2665" s="3"/>
      <c r="E2665" s="3"/>
      <c r="F2665" s="3"/>
    </row>
    <row r="2666" spans="3:6" x14ac:dyDescent="0.3">
      <c r="C2666" s="3"/>
      <c r="D2666" s="3"/>
      <c r="E2666" s="3"/>
      <c r="F2666" s="3"/>
    </row>
    <row r="2667" spans="3:6" x14ac:dyDescent="0.3">
      <c r="C2667" s="3"/>
      <c r="D2667" s="3"/>
      <c r="E2667" s="3"/>
      <c r="F2667" s="3"/>
    </row>
    <row r="2668" spans="3:6" x14ac:dyDescent="0.3">
      <c r="C2668" s="3"/>
      <c r="D2668" s="3"/>
      <c r="E2668" s="3"/>
      <c r="F2668" s="3"/>
    </row>
    <row r="2669" spans="3:6" x14ac:dyDescent="0.3">
      <c r="C2669" s="3"/>
      <c r="D2669" s="3"/>
      <c r="E2669" s="3"/>
      <c r="F2669" s="3"/>
    </row>
    <row r="2670" spans="3:6" x14ac:dyDescent="0.3">
      <c r="C2670" s="3"/>
      <c r="D2670" s="3"/>
      <c r="E2670" s="3"/>
      <c r="F2670" s="3"/>
    </row>
    <row r="2671" spans="3:6" x14ac:dyDescent="0.3">
      <c r="C2671" s="3"/>
      <c r="D2671" s="3"/>
      <c r="E2671" s="3"/>
      <c r="F2671" s="3"/>
    </row>
    <row r="2672" spans="3:6" x14ac:dyDescent="0.3">
      <c r="C2672" s="3"/>
      <c r="D2672" s="3"/>
      <c r="E2672" s="3"/>
      <c r="F2672" s="3"/>
    </row>
    <row r="2673" spans="3:6" x14ac:dyDescent="0.3">
      <c r="C2673" s="3"/>
      <c r="D2673" s="3"/>
      <c r="E2673" s="3"/>
      <c r="F2673" s="3"/>
    </row>
    <row r="2674" spans="3:6" x14ac:dyDescent="0.3">
      <c r="C2674" s="3"/>
      <c r="D2674" s="3"/>
      <c r="E2674" s="3"/>
      <c r="F2674" s="3"/>
    </row>
    <row r="2675" spans="3:6" x14ac:dyDescent="0.3">
      <c r="C2675" s="3"/>
      <c r="D2675" s="3"/>
      <c r="E2675" s="3"/>
      <c r="F2675" s="3"/>
    </row>
    <row r="2676" spans="3:6" x14ac:dyDescent="0.3">
      <c r="C2676" s="3"/>
      <c r="D2676" s="3"/>
      <c r="E2676" s="3"/>
      <c r="F2676" s="3"/>
    </row>
    <row r="2677" spans="3:6" x14ac:dyDescent="0.3">
      <c r="C2677" s="3"/>
      <c r="D2677" s="3"/>
      <c r="E2677" s="3"/>
      <c r="F2677" s="3"/>
    </row>
    <row r="2678" spans="3:6" x14ac:dyDescent="0.3">
      <c r="C2678" s="3"/>
      <c r="D2678" s="3"/>
      <c r="E2678" s="3"/>
      <c r="F2678" s="3"/>
    </row>
    <row r="2679" spans="3:6" x14ac:dyDescent="0.3">
      <c r="C2679" s="3"/>
      <c r="D2679" s="3"/>
      <c r="E2679" s="3"/>
      <c r="F2679" s="3"/>
    </row>
    <row r="2680" spans="3:6" x14ac:dyDescent="0.3">
      <c r="C2680" s="3"/>
      <c r="D2680" s="3"/>
      <c r="E2680" s="3"/>
      <c r="F2680" s="3"/>
    </row>
    <row r="2681" spans="3:6" x14ac:dyDescent="0.3">
      <c r="C2681" s="3"/>
      <c r="D2681" s="3"/>
      <c r="E2681" s="3"/>
      <c r="F2681" s="3"/>
    </row>
    <row r="2682" spans="3:6" x14ac:dyDescent="0.3">
      <c r="C2682" s="3"/>
      <c r="D2682" s="3"/>
      <c r="E2682" s="3"/>
      <c r="F2682" s="3"/>
    </row>
    <row r="2683" spans="3:6" x14ac:dyDescent="0.3">
      <c r="C2683" s="3"/>
      <c r="D2683" s="3"/>
      <c r="E2683" s="3"/>
      <c r="F2683" s="3"/>
    </row>
    <row r="2684" spans="3:6" x14ac:dyDescent="0.3">
      <c r="C2684" s="3"/>
      <c r="D2684" s="3"/>
      <c r="E2684" s="3"/>
      <c r="F2684" s="3"/>
    </row>
    <row r="2685" spans="3:6" x14ac:dyDescent="0.3">
      <c r="C2685" s="3"/>
      <c r="D2685" s="3"/>
      <c r="E2685" s="3"/>
      <c r="F2685" s="3"/>
    </row>
    <row r="2686" spans="3:6" x14ac:dyDescent="0.3">
      <c r="C2686" s="3"/>
      <c r="D2686" s="3"/>
      <c r="E2686" s="3"/>
      <c r="F2686" s="3"/>
    </row>
    <row r="2687" spans="3:6" x14ac:dyDescent="0.3">
      <c r="C2687" s="3"/>
      <c r="D2687" s="3"/>
      <c r="E2687" s="3"/>
      <c r="F2687" s="3"/>
    </row>
    <row r="2688" spans="3:6" x14ac:dyDescent="0.3">
      <c r="C2688" s="3"/>
      <c r="D2688" s="3"/>
      <c r="E2688" s="3"/>
      <c r="F2688" s="3"/>
    </row>
    <row r="2689" spans="3:6" x14ac:dyDescent="0.3">
      <c r="C2689" s="3"/>
      <c r="D2689" s="3"/>
      <c r="E2689" s="3"/>
      <c r="F2689" s="3"/>
    </row>
    <row r="2690" spans="3:6" x14ac:dyDescent="0.3">
      <c r="C2690" s="3"/>
      <c r="D2690" s="3"/>
      <c r="E2690" s="3"/>
      <c r="F2690" s="3"/>
    </row>
    <row r="2691" spans="3:6" x14ac:dyDescent="0.3">
      <c r="C2691" s="3"/>
      <c r="D2691" s="3"/>
      <c r="E2691" s="3"/>
      <c r="F2691" s="3"/>
    </row>
    <row r="2692" spans="3:6" x14ac:dyDescent="0.3">
      <c r="C2692" s="3"/>
      <c r="D2692" s="3"/>
      <c r="E2692" s="3"/>
      <c r="F2692" s="3"/>
    </row>
    <row r="2693" spans="3:6" x14ac:dyDescent="0.3">
      <c r="C2693" s="3"/>
      <c r="D2693" s="3"/>
      <c r="E2693" s="3"/>
      <c r="F2693" s="3"/>
    </row>
    <row r="2694" spans="3:6" x14ac:dyDescent="0.3">
      <c r="C2694" s="3"/>
      <c r="D2694" s="3"/>
      <c r="E2694" s="3"/>
      <c r="F2694" s="3"/>
    </row>
    <row r="2695" spans="3:6" x14ac:dyDescent="0.3">
      <c r="C2695" s="3"/>
      <c r="D2695" s="3"/>
      <c r="E2695" s="3"/>
      <c r="F2695" s="3"/>
    </row>
    <row r="2696" spans="3:6" x14ac:dyDescent="0.3">
      <c r="C2696" s="3"/>
      <c r="D2696" s="3"/>
      <c r="E2696" s="3"/>
      <c r="F2696" s="3"/>
    </row>
    <row r="2697" spans="3:6" x14ac:dyDescent="0.3">
      <c r="C2697" s="3"/>
      <c r="D2697" s="3"/>
      <c r="E2697" s="3"/>
      <c r="F2697" s="3"/>
    </row>
    <row r="2698" spans="3:6" x14ac:dyDescent="0.3">
      <c r="C2698" s="3"/>
      <c r="D2698" s="3"/>
      <c r="E2698" s="3"/>
      <c r="F2698" s="3"/>
    </row>
    <row r="2699" spans="3:6" x14ac:dyDescent="0.3">
      <c r="C2699" s="3"/>
      <c r="D2699" s="3"/>
      <c r="E2699" s="3"/>
      <c r="F2699" s="3"/>
    </row>
    <row r="2700" spans="3:6" x14ac:dyDescent="0.3">
      <c r="C2700" s="3"/>
      <c r="D2700" s="3"/>
      <c r="E2700" s="3"/>
      <c r="F2700" s="3"/>
    </row>
    <row r="2701" spans="3:6" x14ac:dyDescent="0.3">
      <c r="C2701" s="3"/>
      <c r="D2701" s="3"/>
      <c r="E2701" s="3"/>
      <c r="F2701" s="3"/>
    </row>
    <row r="2702" spans="3:6" x14ac:dyDescent="0.3">
      <c r="C2702" s="3"/>
      <c r="D2702" s="3"/>
      <c r="E2702" s="3"/>
      <c r="F2702" s="3"/>
    </row>
    <row r="2703" spans="3:6" x14ac:dyDescent="0.3">
      <c r="C2703" s="3"/>
      <c r="D2703" s="3"/>
      <c r="E2703" s="3"/>
      <c r="F2703" s="3"/>
    </row>
    <row r="2704" spans="3:6" x14ac:dyDescent="0.3">
      <c r="C2704" s="3"/>
      <c r="D2704" s="3"/>
      <c r="E2704" s="3"/>
      <c r="F2704" s="3"/>
    </row>
    <row r="2705" spans="3:6" x14ac:dyDescent="0.3">
      <c r="C2705" s="3"/>
      <c r="D2705" s="3"/>
      <c r="E2705" s="3"/>
      <c r="F2705" s="3"/>
    </row>
    <row r="2706" spans="3:6" x14ac:dyDescent="0.3">
      <c r="C2706" s="3"/>
      <c r="D2706" s="3"/>
      <c r="E2706" s="3"/>
      <c r="F2706" s="3"/>
    </row>
    <row r="2707" spans="3:6" x14ac:dyDescent="0.3">
      <c r="C2707" s="3"/>
      <c r="D2707" s="3"/>
      <c r="E2707" s="3"/>
      <c r="F2707" s="3"/>
    </row>
    <row r="2708" spans="3:6" x14ac:dyDescent="0.3">
      <c r="C2708" s="3"/>
      <c r="D2708" s="3"/>
      <c r="E2708" s="3"/>
      <c r="F2708" s="3"/>
    </row>
    <row r="2709" spans="3:6" x14ac:dyDescent="0.3">
      <c r="C2709" s="3"/>
      <c r="D2709" s="3"/>
      <c r="E2709" s="3"/>
      <c r="F2709" s="3"/>
    </row>
    <row r="2710" spans="3:6" x14ac:dyDescent="0.3">
      <c r="C2710" s="3"/>
      <c r="D2710" s="3"/>
      <c r="E2710" s="3"/>
      <c r="F2710" s="3"/>
    </row>
    <row r="2711" spans="3:6" x14ac:dyDescent="0.3">
      <c r="C2711" s="3"/>
      <c r="D2711" s="3"/>
      <c r="E2711" s="3"/>
      <c r="F2711" s="3"/>
    </row>
    <row r="2712" spans="3:6" x14ac:dyDescent="0.3">
      <c r="C2712" s="3"/>
      <c r="D2712" s="3"/>
      <c r="E2712" s="3"/>
      <c r="F2712" s="3"/>
    </row>
    <row r="2713" spans="3:6" x14ac:dyDescent="0.3">
      <c r="C2713" s="3"/>
      <c r="D2713" s="3"/>
      <c r="E2713" s="3"/>
      <c r="F2713" s="3"/>
    </row>
    <row r="2714" spans="3:6" x14ac:dyDescent="0.3">
      <c r="C2714" s="3"/>
      <c r="D2714" s="3"/>
      <c r="E2714" s="3"/>
      <c r="F2714" s="3"/>
    </row>
    <row r="2715" spans="3:6" x14ac:dyDescent="0.3">
      <c r="C2715" s="3"/>
      <c r="D2715" s="3"/>
      <c r="E2715" s="3"/>
      <c r="F2715" s="3"/>
    </row>
    <row r="2716" spans="3:6" x14ac:dyDescent="0.3">
      <c r="C2716" s="3"/>
      <c r="D2716" s="3"/>
      <c r="E2716" s="3"/>
      <c r="F2716" s="3"/>
    </row>
    <row r="2717" spans="3:6" x14ac:dyDescent="0.3">
      <c r="C2717" s="3"/>
      <c r="D2717" s="3"/>
      <c r="E2717" s="3"/>
      <c r="F2717" s="3"/>
    </row>
    <row r="2718" spans="3:6" x14ac:dyDescent="0.3">
      <c r="C2718" s="3"/>
      <c r="D2718" s="3"/>
      <c r="E2718" s="3"/>
      <c r="F2718" s="3"/>
    </row>
    <row r="2719" spans="3:6" x14ac:dyDescent="0.3">
      <c r="C2719" s="3"/>
      <c r="D2719" s="3"/>
      <c r="E2719" s="3"/>
      <c r="F2719" s="3"/>
    </row>
    <row r="2720" spans="3:6" x14ac:dyDescent="0.3">
      <c r="C2720" s="3"/>
      <c r="D2720" s="3"/>
      <c r="E2720" s="3"/>
      <c r="F2720" s="3"/>
    </row>
    <row r="2721" spans="3:6" x14ac:dyDescent="0.3">
      <c r="C2721" s="3"/>
      <c r="D2721" s="3"/>
      <c r="E2721" s="3"/>
      <c r="F2721" s="3"/>
    </row>
    <row r="2722" spans="3:6" x14ac:dyDescent="0.3">
      <c r="C2722" s="3"/>
      <c r="D2722" s="3"/>
      <c r="E2722" s="3"/>
      <c r="F2722" s="3"/>
    </row>
    <row r="2723" spans="3:6" x14ac:dyDescent="0.3">
      <c r="C2723" s="3"/>
      <c r="D2723" s="3"/>
      <c r="E2723" s="3"/>
      <c r="F2723" s="3"/>
    </row>
    <row r="2724" spans="3:6" x14ac:dyDescent="0.3">
      <c r="C2724" s="3"/>
      <c r="D2724" s="3"/>
      <c r="E2724" s="3"/>
      <c r="F2724" s="3"/>
    </row>
    <row r="2725" spans="3:6" x14ac:dyDescent="0.3">
      <c r="C2725" s="3"/>
      <c r="D2725" s="3"/>
      <c r="E2725" s="3"/>
      <c r="F2725" s="3"/>
    </row>
    <row r="2726" spans="3:6" x14ac:dyDescent="0.3">
      <c r="C2726" s="3"/>
      <c r="D2726" s="3"/>
      <c r="E2726" s="3"/>
      <c r="F2726" s="3"/>
    </row>
    <row r="2727" spans="3:6" x14ac:dyDescent="0.3">
      <c r="C2727" s="3"/>
      <c r="D2727" s="3"/>
      <c r="E2727" s="3"/>
      <c r="F2727" s="3"/>
    </row>
    <row r="2728" spans="3:6" x14ac:dyDescent="0.3">
      <c r="C2728" s="3"/>
      <c r="D2728" s="3"/>
      <c r="E2728" s="3"/>
      <c r="F2728" s="3"/>
    </row>
    <row r="2729" spans="3:6" x14ac:dyDescent="0.3">
      <c r="C2729" s="3"/>
      <c r="D2729" s="3"/>
      <c r="E2729" s="3"/>
      <c r="F2729" s="3"/>
    </row>
    <row r="2730" spans="3:6" x14ac:dyDescent="0.3">
      <c r="C2730" s="3"/>
      <c r="D2730" s="3"/>
      <c r="E2730" s="3"/>
      <c r="F2730" s="3"/>
    </row>
    <row r="2731" spans="3:6" x14ac:dyDescent="0.3">
      <c r="C2731" s="3"/>
      <c r="D2731" s="3"/>
      <c r="E2731" s="3"/>
      <c r="F2731" s="3"/>
    </row>
    <row r="2732" spans="3:6" x14ac:dyDescent="0.3">
      <c r="C2732" s="3"/>
      <c r="D2732" s="3"/>
      <c r="E2732" s="3"/>
      <c r="F2732" s="3"/>
    </row>
    <row r="2733" spans="3:6" x14ac:dyDescent="0.3">
      <c r="C2733" s="3"/>
      <c r="D2733" s="3"/>
      <c r="E2733" s="3"/>
      <c r="F2733" s="3"/>
    </row>
    <row r="2734" spans="3:6" x14ac:dyDescent="0.3">
      <c r="C2734" s="3"/>
      <c r="D2734" s="3"/>
      <c r="E2734" s="3"/>
      <c r="F2734" s="3"/>
    </row>
    <row r="2735" spans="3:6" x14ac:dyDescent="0.3">
      <c r="C2735" s="3"/>
      <c r="D2735" s="3"/>
      <c r="E2735" s="3"/>
      <c r="F2735" s="3"/>
    </row>
    <row r="2736" spans="3:6" x14ac:dyDescent="0.3">
      <c r="C2736" s="3"/>
      <c r="D2736" s="3"/>
      <c r="E2736" s="3"/>
      <c r="F2736" s="3"/>
    </row>
    <row r="2737" spans="3:6" x14ac:dyDescent="0.3">
      <c r="C2737" s="3"/>
      <c r="D2737" s="3"/>
      <c r="E2737" s="3"/>
      <c r="F2737" s="3"/>
    </row>
    <row r="2738" spans="3:6" x14ac:dyDescent="0.3">
      <c r="C2738" s="3"/>
      <c r="D2738" s="3"/>
      <c r="E2738" s="3"/>
      <c r="F2738" s="3"/>
    </row>
    <row r="2739" spans="3:6" x14ac:dyDescent="0.3">
      <c r="C2739" s="3"/>
      <c r="D2739" s="3"/>
      <c r="E2739" s="3"/>
      <c r="F2739" s="3"/>
    </row>
    <row r="2740" spans="3:6" x14ac:dyDescent="0.3">
      <c r="C2740" s="3"/>
      <c r="D2740" s="3"/>
      <c r="E2740" s="3"/>
      <c r="F2740" s="3"/>
    </row>
    <row r="2741" spans="3:6" x14ac:dyDescent="0.3">
      <c r="C2741" s="3"/>
      <c r="D2741" s="3"/>
      <c r="E2741" s="3"/>
      <c r="F2741" s="3"/>
    </row>
    <row r="2742" spans="3:6" x14ac:dyDescent="0.3">
      <c r="C2742" s="3"/>
      <c r="D2742" s="3"/>
      <c r="E2742" s="3"/>
      <c r="F2742" s="3"/>
    </row>
    <row r="2743" spans="3:6" x14ac:dyDescent="0.3">
      <c r="C2743" s="3"/>
      <c r="D2743" s="3"/>
      <c r="E2743" s="3"/>
      <c r="F2743" s="3"/>
    </row>
    <row r="2744" spans="3:6" x14ac:dyDescent="0.3">
      <c r="C2744" s="3"/>
      <c r="D2744" s="3"/>
      <c r="E2744" s="3"/>
      <c r="F2744" s="3"/>
    </row>
    <row r="2745" spans="3:6" x14ac:dyDescent="0.3">
      <c r="C2745" s="3"/>
      <c r="D2745" s="3"/>
      <c r="E2745" s="3"/>
      <c r="F2745" s="3"/>
    </row>
    <row r="2746" spans="3:6" x14ac:dyDescent="0.3">
      <c r="C2746" s="3"/>
      <c r="D2746" s="3"/>
      <c r="E2746" s="3"/>
      <c r="F2746" s="3"/>
    </row>
    <row r="2747" spans="3:6" x14ac:dyDescent="0.3">
      <c r="C2747" s="3"/>
      <c r="D2747" s="3"/>
      <c r="E2747" s="3"/>
      <c r="F2747" s="3"/>
    </row>
    <row r="2748" spans="3:6" x14ac:dyDescent="0.3">
      <c r="C2748" s="3"/>
      <c r="D2748" s="3"/>
      <c r="E2748" s="3"/>
      <c r="F2748" s="3"/>
    </row>
    <row r="2749" spans="3:6" x14ac:dyDescent="0.3">
      <c r="C2749" s="3"/>
      <c r="D2749" s="3"/>
      <c r="E2749" s="3"/>
      <c r="F2749" s="3"/>
    </row>
    <row r="2750" spans="3:6" x14ac:dyDescent="0.3">
      <c r="C2750" s="3"/>
      <c r="D2750" s="3"/>
      <c r="E2750" s="3"/>
      <c r="F2750" s="3"/>
    </row>
    <row r="2751" spans="3:6" x14ac:dyDescent="0.3">
      <c r="C2751" s="3"/>
      <c r="D2751" s="3"/>
      <c r="E2751" s="3"/>
      <c r="F2751" s="3"/>
    </row>
    <row r="2752" spans="3:6" x14ac:dyDescent="0.3">
      <c r="C2752" s="3"/>
      <c r="D2752" s="3"/>
      <c r="E2752" s="3"/>
      <c r="F2752" s="3"/>
    </row>
    <row r="2753" spans="3:6" x14ac:dyDescent="0.3">
      <c r="C2753" s="3"/>
      <c r="D2753" s="3"/>
      <c r="E2753" s="3"/>
      <c r="F2753" s="3"/>
    </row>
    <row r="2754" spans="3:6" x14ac:dyDescent="0.3">
      <c r="C2754" s="3"/>
      <c r="D2754" s="3"/>
      <c r="E2754" s="3"/>
      <c r="F2754" s="3"/>
    </row>
    <row r="2755" spans="3:6" x14ac:dyDescent="0.3">
      <c r="C2755" s="3"/>
      <c r="D2755" s="3"/>
      <c r="E2755" s="3"/>
      <c r="F2755" s="3"/>
    </row>
    <row r="2756" spans="3:6" x14ac:dyDescent="0.3">
      <c r="C2756" s="3"/>
      <c r="D2756" s="3"/>
      <c r="E2756" s="3"/>
      <c r="F2756" s="3"/>
    </row>
    <row r="2757" spans="3:6" x14ac:dyDescent="0.3">
      <c r="C2757" s="3"/>
      <c r="D2757" s="3"/>
      <c r="E2757" s="3"/>
      <c r="F2757" s="3"/>
    </row>
    <row r="2758" spans="3:6" x14ac:dyDescent="0.3">
      <c r="C2758" s="3"/>
      <c r="D2758" s="3"/>
      <c r="E2758" s="3"/>
      <c r="F2758" s="3"/>
    </row>
    <row r="2759" spans="3:6" x14ac:dyDescent="0.3">
      <c r="C2759" s="3"/>
      <c r="D2759" s="3"/>
      <c r="E2759" s="3"/>
      <c r="F2759" s="3"/>
    </row>
    <row r="2760" spans="3:6" x14ac:dyDescent="0.3">
      <c r="C2760" s="3"/>
      <c r="D2760" s="3"/>
      <c r="E2760" s="3"/>
      <c r="F2760" s="3"/>
    </row>
    <row r="2761" spans="3:6" x14ac:dyDescent="0.3">
      <c r="C2761" s="3"/>
      <c r="D2761" s="3"/>
      <c r="E2761" s="3"/>
      <c r="F2761" s="3"/>
    </row>
    <row r="2762" spans="3:6" x14ac:dyDescent="0.3">
      <c r="C2762" s="3"/>
      <c r="D2762" s="3"/>
      <c r="E2762" s="3"/>
      <c r="F2762" s="3"/>
    </row>
    <row r="2763" spans="3:6" x14ac:dyDescent="0.3">
      <c r="C2763" s="3"/>
      <c r="D2763" s="3"/>
      <c r="E2763" s="3"/>
      <c r="F2763" s="3"/>
    </row>
    <row r="2764" spans="3:6" x14ac:dyDescent="0.3">
      <c r="C2764" s="3"/>
      <c r="D2764" s="3"/>
      <c r="E2764" s="3"/>
      <c r="F2764" s="3"/>
    </row>
    <row r="2765" spans="3:6" x14ac:dyDescent="0.3">
      <c r="C2765" s="3"/>
      <c r="D2765" s="3"/>
      <c r="E2765" s="3"/>
      <c r="F2765" s="3"/>
    </row>
    <row r="2766" spans="3:6" x14ac:dyDescent="0.3">
      <c r="C2766" s="3"/>
      <c r="D2766" s="3"/>
      <c r="E2766" s="3"/>
      <c r="F2766" s="3"/>
    </row>
    <row r="2767" spans="3:6" x14ac:dyDescent="0.3">
      <c r="C2767" s="3"/>
      <c r="D2767" s="3"/>
      <c r="E2767" s="3"/>
      <c r="F2767" s="3"/>
    </row>
    <row r="2768" spans="3:6" x14ac:dyDescent="0.3">
      <c r="C2768" s="3"/>
      <c r="D2768" s="3"/>
      <c r="E2768" s="3"/>
      <c r="F2768" s="3"/>
    </row>
    <row r="2769" spans="3:6" x14ac:dyDescent="0.3">
      <c r="C2769" s="3"/>
      <c r="D2769" s="3"/>
      <c r="E2769" s="3"/>
      <c r="F2769" s="3"/>
    </row>
    <row r="2770" spans="3:6" x14ac:dyDescent="0.3">
      <c r="C2770" s="3"/>
      <c r="D2770" s="3"/>
      <c r="E2770" s="3"/>
      <c r="F2770" s="3"/>
    </row>
    <row r="2771" spans="3:6" x14ac:dyDescent="0.3">
      <c r="C2771" s="3"/>
      <c r="D2771" s="3"/>
      <c r="E2771" s="3"/>
      <c r="F2771" s="3"/>
    </row>
    <row r="2772" spans="3:6" x14ac:dyDescent="0.3">
      <c r="C2772" s="3"/>
      <c r="D2772" s="3"/>
      <c r="E2772" s="3"/>
      <c r="F2772" s="3"/>
    </row>
    <row r="2773" spans="3:6" x14ac:dyDescent="0.3">
      <c r="C2773" s="3"/>
      <c r="D2773" s="3"/>
      <c r="E2773" s="3"/>
      <c r="F2773" s="3"/>
    </row>
    <row r="2774" spans="3:6" x14ac:dyDescent="0.3">
      <c r="C2774" s="3"/>
      <c r="D2774" s="3"/>
      <c r="E2774" s="3"/>
      <c r="F2774" s="3"/>
    </row>
    <row r="2775" spans="3:6" x14ac:dyDescent="0.3">
      <c r="C2775" s="3"/>
      <c r="D2775" s="3"/>
      <c r="E2775" s="3"/>
      <c r="F2775" s="3"/>
    </row>
    <row r="2776" spans="3:6" x14ac:dyDescent="0.3">
      <c r="C2776" s="3"/>
      <c r="D2776" s="3"/>
      <c r="E2776" s="3"/>
      <c r="F2776" s="3"/>
    </row>
    <row r="2777" spans="3:6" x14ac:dyDescent="0.3">
      <c r="C2777" s="3"/>
      <c r="D2777" s="3"/>
      <c r="E2777" s="3"/>
      <c r="F2777" s="3"/>
    </row>
    <row r="2778" spans="3:6" x14ac:dyDescent="0.3">
      <c r="C2778" s="3"/>
      <c r="D2778" s="3"/>
      <c r="E2778" s="3"/>
      <c r="F2778" s="3"/>
    </row>
    <row r="2779" spans="3:6" x14ac:dyDescent="0.3">
      <c r="C2779" s="3"/>
      <c r="D2779" s="3"/>
      <c r="E2779" s="3"/>
      <c r="F2779" s="3"/>
    </row>
    <row r="2780" spans="3:6" x14ac:dyDescent="0.3">
      <c r="C2780" s="3"/>
      <c r="D2780" s="3"/>
      <c r="E2780" s="3"/>
      <c r="F2780" s="3"/>
    </row>
    <row r="2781" spans="3:6" x14ac:dyDescent="0.3">
      <c r="C2781" s="3"/>
      <c r="D2781" s="3"/>
      <c r="E2781" s="3"/>
      <c r="F2781" s="3"/>
    </row>
    <row r="2782" spans="3:6" x14ac:dyDescent="0.3">
      <c r="C2782" s="3"/>
      <c r="D2782" s="3"/>
      <c r="E2782" s="3"/>
      <c r="F2782" s="3"/>
    </row>
    <row r="2783" spans="3:6" x14ac:dyDescent="0.3">
      <c r="C2783" s="3"/>
      <c r="D2783" s="3"/>
      <c r="E2783" s="3"/>
      <c r="F2783" s="3"/>
    </row>
    <row r="2784" spans="3:6" x14ac:dyDescent="0.3">
      <c r="C2784" s="3"/>
      <c r="D2784" s="3"/>
      <c r="E2784" s="3"/>
      <c r="F2784" s="3"/>
    </row>
    <row r="2785" spans="3:6" x14ac:dyDescent="0.3">
      <c r="C2785" s="3"/>
      <c r="D2785" s="3"/>
      <c r="E2785" s="3"/>
      <c r="F2785" s="3"/>
    </row>
    <row r="2786" spans="3:6" x14ac:dyDescent="0.3">
      <c r="C2786" s="3"/>
      <c r="D2786" s="3"/>
      <c r="E2786" s="3"/>
      <c r="F2786" s="3"/>
    </row>
    <row r="2787" spans="3:6" x14ac:dyDescent="0.3">
      <c r="C2787" s="3"/>
      <c r="D2787" s="3"/>
      <c r="E2787" s="3"/>
      <c r="F2787" s="3"/>
    </row>
    <row r="2788" spans="3:6" x14ac:dyDescent="0.3">
      <c r="C2788" s="3"/>
      <c r="D2788" s="3"/>
      <c r="E2788" s="3"/>
      <c r="F2788" s="3"/>
    </row>
    <row r="2789" spans="3:6" x14ac:dyDescent="0.3">
      <c r="C2789" s="3"/>
      <c r="D2789" s="3"/>
      <c r="E2789" s="3"/>
      <c r="F2789" s="3"/>
    </row>
    <row r="2790" spans="3:6" x14ac:dyDescent="0.3">
      <c r="C2790" s="3"/>
      <c r="D2790" s="3"/>
      <c r="E2790" s="3"/>
      <c r="F2790" s="3"/>
    </row>
    <row r="2791" spans="3:6" x14ac:dyDescent="0.3">
      <c r="C2791" s="3"/>
      <c r="D2791" s="3"/>
      <c r="E2791" s="3"/>
      <c r="F2791" s="3"/>
    </row>
    <row r="2792" spans="3:6" x14ac:dyDescent="0.3">
      <c r="C2792" s="3"/>
      <c r="D2792" s="3"/>
      <c r="E2792" s="3"/>
      <c r="F2792" s="3"/>
    </row>
    <row r="2793" spans="3:6" x14ac:dyDescent="0.3">
      <c r="C2793" s="3"/>
      <c r="D2793" s="3"/>
      <c r="E2793" s="3"/>
      <c r="F2793" s="3"/>
    </row>
    <row r="2794" spans="3:6" x14ac:dyDescent="0.3">
      <c r="C2794" s="3"/>
      <c r="D2794" s="3"/>
      <c r="E2794" s="3"/>
      <c r="F2794" s="3"/>
    </row>
    <row r="2795" spans="3:6" x14ac:dyDescent="0.3">
      <c r="C2795" s="3"/>
      <c r="D2795" s="3"/>
      <c r="E2795" s="3"/>
      <c r="F2795" s="3"/>
    </row>
    <row r="2796" spans="3:6" x14ac:dyDescent="0.3">
      <c r="C2796" s="3"/>
      <c r="D2796" s="3"/>
      <c r="E2796" s="3"/>
      <c r="F2796" s="3"/>
    </row>
    <row r="2797" spans="3:6" x14ac:dyDescent="0.3">
      <c r="C2797" s="3"/>
      <c r="D2797" s="3"/>
      <c r="E2797" s="3"/>
      <c r="F2797" s="3"/>
    </row>
    <row r="2798" spans="3:6" x14ac:dyDescent="0.3">
      <c r="C2798" s="3"/>
      <c r="D2798" s="3"/>
      <c r="E2798" s="3"/>
      <c r="F2798" s="3"/>
    </row>
    <row r="2799" spans="3:6" x14ac:dyDescent="0.3">
      <c r="C2799" s="3"/>
      <c r="D2799" s="3"/>
      <c r="E2799" s="3"/>
      <c r="F2799" s="3"/>
    </row>
    <row r="2800" spans="3:6" x14ac:dyDescent="0.3">
      <c r="C2800" s="3"/>
      <c r="D2800" s="3"/>
      <c r="E2800" s="3"/>
      <c r="F2800" s="3"/>
    </row>
    <row r="2801" spans="3:6" x14ac:dyDescent="0.3">
      <c r="C2801" s="3"/>
      <c r="D2801" s="3"/>
      <c r="E2801" s="3"/>
      <c r="F2801" s="3"/>
    </row>
    <row r="2802" spans="3:6" x14ac:dyDescent="0.3">
      <c r="C2802" s="3"/>
      <c r="D2802" s="3"/>
      <c r="E2802" s="3"/>
      <c r="F2802" s="3"/>
    </row>
    <row r="2803" spans="3:6" x14ac:dyDescent="0.3">
      <c r="C2803" s="3"/>
      <c r="D2803" s="3"/>
      <c r="E2803" s="3"/>
      <c r="F2803" s="3"/>
    </row>
    <row r="2804" spans="3:6" x14ac:dyDescent="0.3">
      <c r="C2804" s="3"/>
      <c r="D2804" s="3"/>
      <c r="E2804" s="3"/>
      <c r="F2804" s="3"/>
    </row>
    <row r="2805" spans="3:6" x14ac:dyDescent="0.3">
      <c r="C2805" s="3"/>
      <c r="D2805" s="3"/>
      <c r="E2805" s="3"/>
      <c r="F2805" s="3"/>
    </row>
    <row r="2806" spans="3:6" x14ac:dyDescent="0.3">
      <c r="C2806" s="3"/>
      <c r="D2806" s="3"/>
      <c r="E2806" s="3"/>
      <c r="F2806" s="3"/>
    </row>
    <row r="2807" spans="3:6" x14ac:dyDescent="0.3">
      <c r="C2807" s="3"/>
      <c r="D2807" s="3"/>
      <c r="E2807" s="3"/>
      <c r="F2807" s="3"/>
    </row>
    <row r="2808" spans="3:6" x14ac:dyDescent="0.3">
      <c r="C2808" s="3"/>
      <c r="D2808" s="3"/>
      <c r="E2808" s="3"/>
      <c r="F2808" s="3"/>
    </row>
    <row r="2809" spans="3:6" x14ac:dyDescent="0.3">
      <c r="C2809" s="3"/>
      <c r="D2809" s="3"/>
      <c r="E2809" s="3"/>
      <c r="F2809" s="3"/>
    </row>
    <row r="2810" spans="3:6" x14ac:dyDescent="0.3">
      <c r="C2810" s="3"/>
      <c r="D2810" s="3"/>
      <c r="E2810" s="3"/>
      <c r="F2810" s="3"/>
    </row>
    <row r="2811" spans="3:6" x14ac:dyDescent="0.3">
      <c r="C2811" s="3"/>
      <c r="D2811" s="3"/>
      <c r="E2811" s="3"/>
      <c r="F2811" s="3"/>
    </row>
    <row r="2812" spans="3:6" x14ac:dyDescent="0.3">
      <c r="C2812" s="3"/>
      <c r="D2812" s="3"/>
      <c r="E2812" s="3"/>
      <c r="F2812" s="3"/>
    </row>
    <row r="2813" spans="3:6" x14ac:dyDescent="0.3">
      <c r="C2813" s="3"/>
      <c r="D2813" s="3"/>
      <c r="E2813" s="3"/>
      <c r="F2813" s="3"/>
    </row>
    <row r="2814" spans="3:6" x14ac:dyDescent="0.3">
      <c r="C2814" s="3"/>
      <c r="D2814" s="3"/>
      <c r="E2814" s="3"/>
      <c r="F2814" s="3"/>
    </row>
    <row r="2815" spans="3:6" x14ac:dyDescent="0.3">
      <c r="C2815" s="3"/>
      <c r="D2815" s="3"/>
      <c r="E2815" s="3"/>
      <c r="F2815" s="3"/>
    </row>
    <row r="2816" spans="3:6" x14ac:dyDescent="0.3">
      <c r="C2816" s="3"/>
      <c r="D2816" s="3"/>
      <c r="E2816" s="3"/>
      <c r="F2816" s="3"/>
    </row>
    <row r="2817" spans="3:6" x14ac:dyDescent="0.3">
      <c r="C2817" s="3"/>
      <c r="D2817" s="3"/>
      <c r="E2817" s="3"/>
      <c r="F2817" s="3"/>
    </row>
    <row r="2818" spans="3:6" x14ac:dyDescent="0.3">
      <c r="C2818" s="3"/>
      <c r="D2818" s="3"/>
      <c r="E2818" s="3"/>
      <c r="F2818" s="3"/>
    </row>
    <row r="2819" spans="3:6" x14ac:dyDescent="0.3">
      <c r="C2819" s="3"/>
      <c r="D2819" s="3"/>
      <c r="E2819" s="3"/>
      <c r="F2819" s="3"/>
    </row>
    <row r="2820" spans="3:6" x14ac:dyDescent="0.3">
      <c r="C2820" s="3"/>
      <c r="D2820" s="3"/>
      <c r="E2820" s="3"/>
      <c r="F2820" s="3"/>
    </row>
    <row r="2821" spans="3:6" x14ac:dyDescent="0.3">
      <c r="C2821" s="3"/>
      <c r="D2821" s="3"/>
      <c r="E2821" s="3"/>
      <c r="F2821" s="3"/>
    </row>
    <row r="2822" spans="3:6" x14ac:dyDescent="0.3">
      <c r="C2822" s="3"/>
      <c r="D2822" s="3"/>
      <c r="E2822" s="3"/>
      <c r="F2822" s="3"/>
    </row>
    <row r="2823" spans="3:6" x14ac:dyDescent="0.3">
      <c r="C2823" s="3"/>
      <c r="D2823" s="3"/>
      <c r="E2823" s="3"/>
      <c r="F2823" s="3"/>
    </row>
    <row r="2824" spans="3:6" x14ac:dyDescent="0.3">
      <c r="C2824" s="3"/>
      <c r="D2824" s="3"/>
      <c r="E2824" s="3"/>
      <c r="F2824" s="3"/>
    </row>
    <row r="2825" spans="3:6" x14ac:dyDescent="0.3">
      <c r="C2825" s="3"/>
      <c r="D2825" s="3"/>
      <c r="E2825" s="3"/>
      <c r="F2825" s="3"/>
    </row>
    <row r="2826" spans="3:6" x14ac:dyDescent="0.3">
      <c r="C2826" s="3"/>
      <c r="D2826" s="3"/>
      <c r="E2826" s="3"/>
      <c r="F2826" s="3"/>
    </row>
    <row r="2827" spans="3:6" x14ac:dyDescent="0.3">
      <c r="C2827" s="3"/>
      <c r="D2827" s="3"/>
      <c r="E2827" s="3"/>
      <c r="F2827" s="3"/>
    </row>
    <row r="2828" spans="3:6" x14ac:dyDescent="0.3">
      <c r="C2828" s="3"/>
      <c r="D2828" s="3"/>
      <c r="E2828" s="3"/>
      <c r="F2828" s="3"/>
    </row>
    <row r="2829" spans="3:6" x14ac:dyDescent="0.3">
      <c r="C2829" s="3"/>
      <c r="D2829" s="3"/>
      <c r="E2829" s="3"/>
      <c r="F2829" s="3"/>
    </row>
    <row r="2830" spans="3:6" x14ac:dyDescent="0.3">
      <c r="C2830" s="3"/>
      <c r="D2830" s="3"/>
      <c r="E2830" s="3"/>
      <c r="F2830" s="3"/>
    </row>
    <row r="2831" spans="3:6" x14ac:dyDescent="0.3">
      <c r="C2831" s="3"/>
      <c r="D2831" s="3"/>
      <c r="E2831" s="3"/>
      <c r="F2831" s="3"/>
    </row>
    <row r="2832" spans="3:6" x14ac:dyDescent="0.3">
      <c r="C2832" s="3"/>
      <c r="D2832" s="3"/>
      <c r="E2832" s="3"/>
      <c r="F2832" s="3"/>
    </row>
    <row r="2833" spans="3:6" x14ac:dyDescent="0.3">
      <c r="C2833" s="3"/>
      <c r="D2833" s="3"/>
      <c r="E2833" s="3"/>
      <c r="F2833" s="3"/>
    </row>
    <row r="2834" spans="3:6" x14ac:dyDescent="0.3">
      <c r="C2834" s="3"/>
      <c r="D2834" s="3"/>
      <c r="E2834" s="3"/>
      <c r="F2834" s="3"/>
    </row>
    <row r="2835" spans="3:6" x14ac:dyDescent="0.3">
      <c r="C2835" s="3"/>
      <c r="D2835" s="3"/>
      <c r="E2835" s="3"/>
      <c r="F2835" s="3"/>
    </row>
    <row r="2836" spans="3:6" x14ac:dyDescent="0.3">
      <c r="C2836" s="3"/>
      <c r="D2836" s="3"/>
      <c r="E2836" s="3"/>
      <c r="F2836" s="3"/>
    </row>
    <row r="2837" spans="3:6" x14ac:dyDescent="0.3">
      <c r="C2837" s="3"/>
      <c r="D2837" s="3"/>
      <c r="E2837" s="3"/>
      <c r="F2837" s="3"/>
    </row>
    <row r="2838" spans="3:6" x14ac:dyDescent="0.3">
      <c r="C2838" s="3"/>
      <c r="D2838" s="3"/>
      <c r="E2838" s="3"/>
      <c r="F2838" s="3"/>
    </row>
    <row r="2839" spans="3:6" x14ac:dyDescent="0.3">
      <c r="C2839" s="3"/>
      <c r="D2839" s="3"/>
      <c r="E2839" s="3"/>
      <c r="F2839" s="3"/>
    </row>
    <row r="2840" spans="3:6" x14ac:dyDescent="0.3">
      <c r="C2840" s="3"/>
      <c r="D2840" s="3"/>
      <c r="E2840" s="3"/>
      <c r="F2840" s="3"/>
    </row>
    <row r="2841" spans="3:6" x14ac:dyDescent="0.3">
      <c r="C2841" s="3"/>
      <c r="D2841" s="3"/>
      <c r="E2841" s="3"/>
      <c r="F2841" s="3"/>
    </row>
    <row r="2842" spans="3:6" x14ac:dyDescent="0.3">
      <c r="C2842" s="3"/>
      <c r="D2842" s="3"/>
      <c r="E2842" s="3"/>
      <c r="F2842" s="3"/>
    </row>
    <row r="2843" spans="3:6" x14ac:dyDescent="0.3">
      <c r="C2843" s="3"/>
      <c r="D2843" s="3"/>
      <c r="E2843" s="3"/>
      <c r="F2843" s="3"/>
    </row>
    <row r="2844" spans="3:6" x14ac:dyDescent="0.3">
      <c r="C2844" s="3"/>
      <c r="D2844" s="3"/>
      <c r="E2844" s="3"/>
      <c r="F2844" s="3"/>
    </row>
    <row r="2845" spans="3:6" x14ac:dyDescent="0.3">
      <c r="C2845" s="3"/>
      <c r="D2845" s="3"/>
      <c r="E2845" s="3"/>
      <c r="F2845" s="3"/>
    </row>
    <row r="2846" spans="3:6" x14ac:dyDescent="0.3">
      <c r="C2846" s="3"/>
      <c r="D2846" s="3"/>
      <c r="E2846" s="3"/>
      <c r="F2846" s="3"/>
    </row>
    <row r="2847" spans="3:6" x14ac:dyDescent="0.3">
      <c r="C2847" s="3"/>
      <c r="D2847" s="3"/>
      <c r="E2847" s="3"/>
      <c r="F2847" s="3"/>
    </row>
    <row r="2848" spans="3:6" x14ac:dyDescent="0.3">
      <c r="C2848" s="3"/>
      <c r="D2848" s="3"/>
      <c r="E2848" s="3"/>
      <c r="F2848" s="3"/>
    </row>
    <row r="2849" spans="3:6" x14ac:dyDescent="0.3">
      <c r="C2849" s="3"/>
      <c r="D2849" s="3"/>
      <c r="E2849" s="3"/>
      <c r="F2849" s="3"/>
    </row>
    <row r="2850" spans="3:6" x14ac:dyDescent="0.3">
      <c r="C2850" s="3"/>
      <c r="D2850" s="3"/>
      <c r="E2850" s="3"/>
      <c r="F2850" s="3"/>
    </row>
    <row r="2851" spans="3:6" x14ac:dyDescent="0.3">
      <c r="C2851" s="3"/>
      <c r="D2851" s="3"/>
      <c r="E2851" s="3"/>
      <c r="F2851" s="3"/>
    </row>
    <row r="2852" spans="3:6" x14ac:dyDescent="0.3">
      <c r="C2852" s="3"/>
      <c r="D2852" s="3"/>
      <c r="E2852" s="3"/>
      <c r="F2852" s="3"/>
    </row>
    <row r="2853" spans="3:6" x14ac:dyDescent="0.3">
      <c r="C2853" s="3"/>
      <c r="D2853" s="3"/>
      <c r="E2853" s="3"/>
      <c r="F2853" s="3"/>
    </row>
    <row r="2854" spans="3:6" x14ac:dyDescent="0.3">
      <c r="C2854" s="3"/>
      <c r="D2854" s="3"/>
      <c r="E2854" s="3"/>
      <c r="F2854" s="3"/>
    </row>
    <row r="2855" spans="3:6" x14ac:dyDescent="0.3">
      <c r="C2855" s="3"/>
      <c r="D2855" s="3"/>
      <c r="E2855" s="3"/>
      <c r="F2855" s="3"/>
    </row>
    <row r="2856" spans="3:6" x14ac:dyDescent="0.3">
      <c r="C2856" s="3"/>
      <c r="D2856" s="3"/>
      <c r="E2856" s="3"/>
      <c r="F2856" s="3"/>
    </row>
    <row r="2857" spans="3:6" x14ac:dyDescent="0.3">
      <c r="C2857" s="3"/>
      <c r="D2857" s="3"/>
      <c r="E2857" s="3"/>
      <c r="F2857" s="3"/>
    </row>
    <row r="2858" spans="3:6" x14ac:dyDescent="0.3">
      <c r="C2858" s="3"/>
      <c r="D2858" s="3"/>
      <c r="E2858" s="3"/>
      <c r="F2858" s="3"/>
    </row>
    <row r="2859" spans="3:6" x14ac:dyDescent="0.3">
      <c r="C2859" s="3"/>
      <c r="D2859" s="3"/>
      <c r="E2859" s="3"/>
      <c r="F2859" s="3"/>
    </row>
    <row r="2860" spans="3:6" x14ac:dyDescent="0.3">
      <c r="C2860" s="3"/>
      <c r="D2860" s="3"/>
      <c r="E2860" s="3"/>
      <c r="F2860" s="3"/>
    </row>
    <row r="2861" spans="3:6" x14ac:dyDescent="0.3">
      <c r="C2861" s="3"/>
      <c r="D2861" s="3"/>
      <c r="E2861" s="3"/>
      <c r="F2861" s="3"/>
    </row>
    <row r="2862" spans="3:6" x14ac:dyDescent="0.3">
      <c r="C2862" s="3"/>
      <c r="D2862" s="3"/>
      <c r="E2862" s="3"/>
      <c r="F2862" s="3"/>
    </row>
    <row r="2863" spans="3:6" x14ac:dyDescent="0.3">
      <c r="C2863" s="3"/>
      <c r="D2863" s="3"/>
      <c r="E2863" s="3"/>
      <c r="F2863" s="3"/>
    </row>
    <row r="2864" spans="3:6" x14ac:dyDescent="0.3">
      <c r="C2864" s="3"/>
      <c r="D2864" s="3"/>
      <c r="E2864" s="3"/>
      <c r="F2864" s="3"/>
    </row>
    <row r="2865" spans="3:6" x14ac:dyDescent="0.3">
      <c r="C2865" s="3"/>
      <c r="D2865" s="3"/>
      <c r="E2865" s="3"/>
      <c r="F2865" s="3"/>
    </row>
    <row r="2866" spans="3:6" x14ac:dyDescent="0.3">
      <c r="C2866" s="3"/>
      <c r="D2866" s="3"/>
      <c r="E2866" s="3"/>
      <c r="F2866" s="3"/>
    </row>
    <row r="2867" spans="3:6" x14ac:dyDescent="0.3">
      <c r="C2867" s="3"/>
      <c r="D2867" s="3"/>
      <c r="E2867" s="3"/>
      <c r="F2867" s="3"/>
    </row>
    <row r="2868" spans="3:6" x14ac:dyDescent="0.3">
      <c r="C2868" s="3"/>
      <c r="D2868" s="3"/>
      <c r="E2868" s="3"/>
      <c r="F2868" s="3"/>
    </row>
    <row r="2869" spans="3:6" x14ac:dyDescent="0.3">
      <c r="C2869" s="3"/>
      <c r="D2869" s="3"/>
      <c r="E2869" s="3"/>
      <c r="F2869" s="3"/>
    </row>
    <row r="2870" spans="3:6" x14ac:dyDescent="0.3">
      <c r="C2870" s="3"/>
      <c r="D2870" s="3"/>
      <c r="E2870" s="3"/>
      <c r="F2870" s="3"/>
    </row>
    <row r="2871" spans="3:6" x14ac:dyDescent="0.3">
      <c r="C2871" s="3"/>
      <c r="D2871" s="3"/>
      <c r="E2871" s="3"/>
      <c r="F2871" s="3"/>
    </row>
    <row r="2872" spans="3:6" x14ac:dyDescent="0.3">
      <c r="C2872" s="3"/>
      <c r="D2872" s="3"/>
      <c r="E2872" s="3"/>
      <c r="F2872" s="3"/>
    </row>
    <row r="2873" spans="3:6" x14ac:dyDescent="0.3">
      <c r="C2873" s="3"/>
      <c r="D2873" s="3"/>
      <c r="E2873" s="3"/>
      <c r="F2873" s="3"/>
    </row>
    <row r="2874" spans="3:6" x14ac:dyDescent="0.3">
      <c r="C2874" s="3"/>
      <c r="D2874" s="3"/>
      <c r="E2874" s="3"/>
      <c r="F2874" s="3"/>
    </row>
    <row r="2875" spans="3:6" x14ac:dyDescent="0.3">
      <c r="C2875" s="3"/>
      <c r="D2875" s="3"/>
      <c r="E2875" s="3"/>
      <c r="F2875" s="3"/>
    </row>
    <row r="2876" spans="3:6" x14ac:dyDescent="0.3">
      <c r="C2876" s="3"/>
      <c r="D2876" s="3"/>
      <c r="E2876" s="3"/>
      <c r="F2876" s="3"/>
    </row>
    <row r="2877" spans="3:6" x14ac:dyDescent="0.3">
      <c r="C2877" s="3"/>
      <c r="D2877" s="3"/>
      <c r="E2877" s="3"/>
      <c r="F2877" s="3"/>
    </row>
    <row r="2878" spans="3:6" x14ac:dyDescent="0.3">
      <c r="C2878" s="3"/>
      <c r="D2878" s="3"/>
      <c r="E2878" s="3"/>
      <c r="F2878" s="3"/>
    </row>
    <row r="2879" spans="3:6" x14ac:dyDescent="0.3">
      <c r="C2879" s="3"/>
      <c r="D2879" s="3"/>
      <c r="E2879" s="3"/>
      <c r="F2879" s="3"/>
    </row>
    <row r="2880" spans="3:6" x14ac:dyDescent="0.3">
      <c r="C2880" s="3"/>
      <c r="D2880" s="3"/>
      <c r="E2880" s="3"/>
      <c r="F2880" s="3"/>
    </row>
    <row r="2881" spans="3:6" x14ac:dyDescent="0.3">
      <c r="C2881" s="3"/>
      <c r="D2881" s="3"/>
      <c r="E2881" s="3"/>
      <c r="F2881" s="3"/>
    </row>
    <row r="2882" spans="3:6" x14ac:dyDescent="0.3">
      <c r="C2882" s="3"/>
      <c r="D2882" s="3"/>
      <c r="E2882" s="3"/>
      <c r="F2882" s="3"/>
    </row>
    <row r="2883" spans="3:6" x14ac:dyDescent="0.3">
      <c r="C2883" s="3"/>
      <c r="D2883" s="3"/>
      <c r="E2883" s="3"/>
      <c r="F2883" s="3"/>
    </row>
    <row r="2884" spans="3:6" x14ac:dyDescent="0.3">
      <c r="C2884" s="3"/>
      <c r="D2884" s="3"/>
      <c r="E2884" s="3"/>
      <c r="F2884" s="3"/>
    </row>
    <row r="2885" spans="3:6" x14ac:dyDescent="0.3">
      <c r="C2885" s="3"/>
      <c r="D2885" s="3"/>
      <c r="E2885" s="3"/>
      <c r="F2885" s="3"/>
    </row>
    <row r="2886" spans="3:6" x14ac:dyDescent="0.3">
      <c r="C2886" s="3"/>
      <c r="D2886" s="3"/>
      <c r="E2886" s="3"/>
      <c r="F2886" s="3"/>
    </row>
    <row r="2887" spans="3:6" x14ac:dyDescent="0.3">
      <c r="C2887" s="3"/>
      <c r="D2887" s="3"/>
      <c r="E2887" s="3"/>
      <c r="F2887" s="3"/>
    </row>
    <row r="2888" spans="3:6" x14ac:dyDescent="0.3">
      <c r="C2888" s="3"/>
      <c r="D2888" s="3"/>
      <c r="E2888" s="3"/>
      <c r="F2888" s="3"/>
    </row>
    <row r="2889" spans="3:6" x14ac:dyDescent="0.3">
      <c r="C2889" s="3"/>
      <c r="D2889" s="3"/>
      <c r="E2889" s="3"/>
      <c r="F2889" s="3"/>
    </row>
    <row r="2890" spans="3:6" x14ac:dyDescent="0.3">
      <c r="C2890" s="3"/>
      <c r="D2890" s="3"/>
      <c r="E2890" s="3"/>
      <c r="F2890" s="3"/>
    </row>
    <row r="2891" spans="3:6" x14ac:dyDescent="0.3">
      <c r="C2891" s="3"/>
      <c r="D2891" s="3"/>
      <c r="E2891" s="3"/>
      <c r="F2891" s="3"/>
    </row>
    <row r="2892" spans="3:6" x14ac:dyDescent="0.3">
      <c r="C2892" s="3"/>
      <c r="D2892" s="3"/>
      <c r="E2892" s="3"/>
      <c r="F2892" s="3"/>
    </row>
    <row r="2893" spans="3:6" x14ac:dyDescent="0.3">
      <c r="C2893" s="3"/>
      <c r="D2893" s="3"/>
      <c r="E2893" s="3"/>
      <c r="F2893" s="3"/>
    </row>
    <row r="2894" spans="3:6" x14ac:dyDescent="0.3">
      <c r="C2894" s="3"/>
      <c r="D2894" s="3"/>
      <c r="E2894" s="3"/>
      <c r="F2894" s="3"/>
    </row>
    <row r="2895" spans="3:6" x14ac:dyDescent="0.3">
      <c r="C2895" s="3"/>
      <c r="D2895" s="3"/>
      <c r="E2895" s="3"/>
      <c r="F2895" s="3"/>
    </row>
    <row r="2896" spans="3:6" x14ac:dyDescent="0.3">
      <c r="C2896" s="3"/>
      <c r="D2896" s="3"/>
      <c r="E2896" s="3"/>
      <c r="F2896" s="3"/>
    </row>
    <row r="2897" spans="3:6" x14ac:dyDescent="0.3">
      <c r="C2897" s="3"/>
      <c r="D2897" s="3"/>
      <c r="E2897" s="3"/>
      <c r="F2897" s="3"/>
    </row>
    <row r="2898" spans="3:6" x14ac:dyDescent="0.3">
      <c r="C2898" s="3"/>
      <c r="D2898" s="3"/>
      <c r="E2898" s="3"/>
      <c r="F2898" s="3"/>
    </row>
    <row r="2899" spans="3:6" x14ac:dyDescent="0.3">
      <c r="C2899" s="3"/>
      <c r="D2899" s="3"/>
      <c r="E2899" s="3"/>
      <c r="F2899" s="3"/>
    </row>
    <row r="2900" spans="3:6" x14ac:dyDescent="0.3">
      <c r="C2900" s="3"/>
      <c r="D2900" s="3"/>
      <c r="E2900" s="3"/>
      <c r="F2900" s="3"/>
    </row>
    <row r="2901" spans="3:6" x14ac:dyDescent="0.3">
      <c r="C2901" s="3"/>
      <c r="D2901" s="3"/>
      <c r="E2901" s="3"/>
      <c r="F2901" s="3"/>
    </row>
    <row r="2902" spans="3:6" x14ac:dyDescent="0.3">
      <c r="C2902" s="3"/>
      <c r="D2902" s="3"/>
      <c r="E2902" s="3"/>
      <c r="F2902" s="3"/>
    </row>
    <row r="2903" spans="3:6" x14ac:dyDescent="0.3">
      <c r="C2903" s="3"/>
      <c r="D2903" s="3"/>
      <c r="E2903" s="3"/>
      <c r="F2903" s="3"/>
    </row>
    <row r="2904" spans="3:6" x14ac:dyDescent="0.3">
      <c r="C2904" s="3"/>
      <c r="D2904" s="3"/>
      <c r="E2904" s="3"/>
      <c r="F2904" s="3"/>
    </row>
    <row r="2905" spans="3:6" x14ac:dyDescent="0.3">
      <c r="C2905" s="3"/>
      <c r="D2905" s="3"/>
      <c r="E2905" s="3"/>
      <c r="F2905" s="3"/>
    </row>
    <row r="2906" spans="3:6" x14ac:dyDescent="0.3">
      <c r="C2906" s="3"/>
      <c r="D2906" s="3"/>
      <c r="E2906" s="3"/>
      <c r="F2906" s="3"/>
    </row>
    <row r="2907" spans="3:6" x14ac:dyDescent="0.3">
      <c r="C2907" s="3"/>
      <c r="D2907" s="3"/>
      <c r="E2907" s="3"/>
      <c r="F2907" s="3"/>
    </row>
    <row r="2908" spans="3:6" x14ac:dyDescent="0.3">
      <c r="C2908" s="3"/>
      <c r="D2908" s="3"/>
      <c r="E2908" s="3"/>
      <c r="F2908" s="3"/>
    </row>
    <row r="2909" spans="3:6" x14ac:dyDescent="0.3">
      <c r="C2909" s="3"/>
      <c r="D2909" s="3"/>
      <c r="E2909" s="3"/>
      <c r="F2909" s="3"/>
    </row>
    <row r="2910" spans="3:6" x14ac:dyDescent="0.3">
      <c r="C2910" s="3"/>
      <c r="D2910" s="3"/>
      <c r="E2910" s="3"/>
      <c r="F2910" s="3"/>
    </row>
    <row r="2911" spans="3:6" x14ac:dyDescent="0.3">
      <c r="C2911" s="3"/>
      <c r="D2911" s="3"/>
      <c r="E2911" s="3"/>
      <c r="F2911" s="3"/>
    </row>
    <row r="2912" spans="3:6" x14ac:dyDescent="0.3">
      <c r="C2912" s="3"/>
      <c r="D2912" s="3"/>
      <c r="E2912" s="3"/>
      <c r="F2912" s="3"/>
    </row>
    <row r="2913" spans="3:6" x14ac:dyDescent="0.3">
      <c r="C2913" s="3"/>
      <c r="D2913" s="3"/>
      <c r="E2913" s="3"/>
      <c r="F2913" s="3"/>
    </row>
    <row r="2914" spans="3:6" x14ac:dyDescent="0.3">
      <c r="C2914" s="3"/>
      <c r="D2914" s="3"/>
      <c r="E2914" s="3"/>
      <c r="F2914" s="3"/>
    </row>
    <row r="2915" spans="3:6" x14ac:dyDescent="0.3">
      <c r="C2915" s="3"/>
      <c r="D2915" s="3"/>
      <c r="E2915" s="3"/>
      <c r="F2915" s="3"/>
    </row>
    <row r="2916" spans="3:6" x14ac:dyDescent="0.3">
      <c r="C2916" s="3"/>
      <c r="D2916" s="3"/>
      <c r="E2916" s="3"/>
      <c r="F2916" s="3"/>
    </row>
    <row r="2917" spans="3:6" x14ac:dyDescent="0.3">
      <c r="C2917" s="3"/>
      <c r="D2917" s="3"/>
      <c r="E2917" s="3"/>
      <c r="F2917" s="3"/>
    </row>
    <row r="2918" spans="3:6" x14ac:dyDescent="0.3">
      <c r="C2918" s="3"/>
      <c r="D2918" s="3"/>
      <c r="E2918" s="3"/>
      <c r="F2918" s="3"/>
    </row>
    <row r="2919" spans="3:6" x14ac:dyDescent="0.3">
      <c r="C2919" s="3"/>
      <c r="D2919" s="3"/>
      <c r="E2919" s="3"/>
      <c r="F2919" s="3"/>
    </row>
    <row r="2920" spans="3:6" x14ac:dyDescent="0.3">
      <c r="C2920" s="3"/>
      <c r="D2920" s="3"/>
      <c r="E2920" s="3"/>
      <c r="F2920" s="3"/>
    </row>
    <row r="2921" spans="3:6" x14ac:dyDescent="0.3">
      <c r="C2921" s="3"/>
      <c r="D2921" s="3"/>
      <c r="E2921" s="3"/>
      <c r="F2921" s="3"/>
    </row>
    <row r="2922" spans="3:6" x14ac:dyDescent="0.3">
      <c r="C2922" s="3"/>
      <c r="D2922" s="3"/>
      <c r="E2922" s="3"/>
      <c r="F2922" s="3"/>
    </row>
    <row r="2923" spans="3:6" x14ac:dyDescent="0.3">
      <c r="C2923" s="3"/>
      <c r="D2923" s="3"/>
      <c r="E2923" s="3"/>
      <c r="F2923" s="3"/>
    </row>
    <row r="2924" spans="3:6" x14ac:dyDescent="0.3">
      <c r="C2924" s="3"/>
      <c r="D2924" s="3"/>
      <c r="E2924" s="3"/>
      <c r="F2924" s="3"/>
    </row>
    <row r="2925" spans="3:6" x14ac:dyDescent="0.3">
      <c r="C2925" s="3"/>
      <c r="D2925" s="3"/>
      <c r="E2925" s="3"/>
      <c r="F2925" s="3"/>
    </row>
    <row r="2926" spans="3:6" x14ac:dyDescent="0.3">
      <c r="C2926" s="3"/>
      <c r="D2926" s="3"/>
      <c r="E2926" s="3"/>
      <c r="F2926" s="3"/>
    </row>
    <row r="2927" spans="3:6" x14ac:dyDescent="0.3">
      <c r="C2927" s="3"/>
      <c r="D2927" s="3"/>
      <c r="E2927" s="3"/>
      <c r="F2927" s="3"/>
    </row>
    <row r="2928" spans="3:6" x14ac:dyDescent="0.3">
      <c r="C2928" s="3"/>
      <c r="D2928" s="3"/>
      <c r="E2928" s="3"/>
      <c r="F2928" s="3"/>
    </row>
    <row r="2929" spans="3:6" x14ac:dyDescent="0.3">
      <c r="C2929" s="3"/>
      <c r="D2929" s="3"/>
      <c r="E2929" s="3"/>
      <c r="F2929" s="3"/>
    </row>
    <row r="2930" spans="3:6" x14ac:dyDescent="0.3">
      <c r="C2930" s="3"/>
      <c r="D2930" s="3"/>
      <c r="E2930" s="3"/>
      <c r="F2930" s="3"/>
    </row>
    <row r="2931" spans="3:6" x14ac:dyDescent="0.3">
      <c r="C2931" s="3"/>
      <c r="D2931" s="3"/>
      <c r="E2931" s="3"/>
      <c r="F2931" s="3"/>
    </row>
    <row r="2932" spans="3:6" x14ac:dyDescent="0.3">
      <c r="C2932" s="3"/>
      <c r="D2932" s="3"/>
      <c r="E2932" s="3"/>
      <c r="F2932" s="3"/>
    </row>
    <row r="2933" spans="3:6" x14ac:dyDescent="0.3">
      <c r="C2933" s="3"/>
      <c r="D2933" s="3"/>
      <c r="E2933" s="3"/>
      <c r="F2933" s="3"/>
    </row>
    <row r="2934" spans="3:6" x14ac:dyDescent="0.3">
      <c r="C2934" s="3"/>
      <c r="D2934" s="3"/>
      <c r="E2934" s="3"/>
      <c r="F2934" s="3"/>
    </row>
    <row r="2935" spans="3:6" x14ac:dyDescent="0.3">
      <c r="C2935" s="3"/>
      <c r="D2935" s="3"/>
      <c r="E2935" s="3"/>
      <c r="F2935" s="3"/>
    </row>
    <row r="2936" spans="3:6" x14ac:dyDescent="0.3">
      <c r="C2936" s="3"/>
      <c r="D2936" s="3"/>
      <c r="E2936" s="3"/>
      <c r="F2936" s="3"/>
    </row>
    <row r="2937" spans="3:6" x14ac:dyDescent="0.3">
      <c r="C2937" s="3"/>
      <c r="D2937" s="3"/>
      <c r="E2937" s="3"/>
      <c r="F2937" s="3"/>
    </row>
    <row r="2938" spans="3:6" x14ac:dyDescent="0.3">
      <c r="C2938" s="3"/>
      <c r="D2938" s="3"/>
      <c r="E2938" s="3"/>
      <c r="F2938" s="3"/>
    </row>
    <row r="2939" spans="3:6" x14ac:dyDescent="0.3">
      <c r="C2939" s="3"/>
      <c r="D2939" s="3"/>
      <c r="E2939" s="3"/>
      <c r="F2939" s="3"/>
    </row>
    <row r="2940" spans="3:6" x14ac:dyDescent="0.3">
      <c r="C2940" s="3"/>
      <c r="D2940" s="3"/>
      <c r="E2940" s="3"/>
      <c r="F2940" s="3"/>
    </row>
    <row r="2941" spans="3:6" x14ac:dyDescent="0.3">
      <c r="C2941" s="3"/>
      <c r="D2941" s="3"/>
      <c r="E2941" s="3"/>
      <c r="F2941" s="3"/>
    </row>
    <row r="2942" spans="3:6" x14ac:dyDescent="0.3">
      <c r="C2942" s="3"/>
      <c r="D2942" s="3"/>
      <c r="E2942" s="3"/>
      <c r="F2942" s="3"/>
    </row>
    <row r="2943" spans="3:6" x14ac:dyDescent="0.3">
      <c r="C2943" s="3"/>
      <c r="D2943" s="3"/>
      <c r="E2943" s="3"/>
      <c r="F2943" s="3"/>
    </row>
    <row r="2944" spans="3:6" x14ac:dyDescent="0.3">
      <c r="C2944" s="3"/>
      <c r="D2944" s="3"/>
      <c r="E2944" s="3"/>
      <c r="F2944" s="3"/>
    </row>
    <row r="2945" spans="3:6" x14ac:dyDescent="0.3">
      <c r="C2945" s="3"/>
      <c r="D2945" s="3"/>
      <c r="E2945" s="3"/>
      <c r="F2945" s="3"/>
    </row>
    <row r="2946" spans="3:6" x14ac:dyDescent="0.3">
      <c r="C2946" s="3"/>
      <c r="D2946" s="3"/>
      <c r="E2946" s="3"/>
      <c r="F2946" s="3"/>
    </row>
    <row r="2947" spans="3:6" x14ac:dyDescent="0.3">
      <c r="C2947" s="3"/>
      <c r="D2947" s="3"/>
      <c r="E2947" s="3"/>
      <c r="F2947" s="3"/>
    </row>
    <row r="2948" spans="3:6" x14ac:dyDescent="0.3">
      <c r="C2948" s="3"/>
      <c r="D2948" s="3"/>
      <c r="E2948" s="3"/>
      <c r="F2948" s="3"/>
    </row>
    <row r="2949" spans="3:6" x14ac:dyDescent="0.3">
      <c r="C2949" s="3"/>
      <c r="D2949" s="3"/>
      <c r="E2949" s="3"/>
      <c r="F2949" s="3"/>
    </row>
    <row r="2950" spans="3:6" x14ac:dyDescent="0.3">
      <c r="C2950" s="3"/>
      <c r="D2950" s="3"/>
      <c r="E2950" s="3"/>
      <c r="F2950" s="3"/>
    </row>
    <row r="2951" spans="3:6" x14ac:dyDescent="0.3">
      <c r="C2951" s="3"/>
      <c r="D2951" s="3"/>
      <c r="E2951" s="3"/>
      <c r="F2951" s="3"/>
    </row>
    <row r="2952" spans="3:6" x14ac:dyDescent="0.3">
      <c r="C2952" s="3"/>
      <c r="D2952" s="3"/>
      <c r="E2952" s="3"/>
      <c r="F2952" s="3"/>
    </row>
    <row r="2953" spans="3:6" x14ac:dyDescent="0.3">
      <c r="C2953" s="3"/>
      <c r="D2953" s="3"/>
      <c r="E2953" s="3"/>
      <c r="F2953" s="3"/>
    </row>
    <row r="2954" spans="3:6" x14ac:dyDescent="0.3">
      <c r="C2954" s="3"/>
      <c r="D2954" s="3"/>
      <c r="E2954" s="3"/>
      <c r="F2954" s="3"/>
    </row>
    <row r="2955" spans="3:6" x14ac:dyDescent="0.3">
      <c r="C2955" s="3"/>
      <c r="D2955" s="3"/>
      <c r="E2955" s="3"/>
      <c r="F2955" s="3"/>
    </row>
    <row r="2956" spans="3:6" x14ac:dyDescent="0.3">
      <c r="C2956" s="3"/>
      <c r="D2956" s="3"/>
      <c r="E2956" s="3"/>
      <c r="F2956" s="3"/>
    </row>
    <row r="2957" spans="3:6" x14ac:dyDescent="0.3">
      <c r="C2957" s="3"/>
      <c r="D2957" s="3"/>
      <c r="E2957" s="3"/>
      <c r="F2957" s="3"/>
    </row>
    <row r="2958" spans="3:6" x14ac:dyDescent="0.3">
      <c r="C2958" s="3"/>
      <c r="D2958" s="3"/>
      <c r="E2958" s="3"/>
      <c r="F2958" s="3"/>
    </row>
    <row r="2959" spans="3:6" x14ac:dyDescent="0.3">
      <c r="C2959" s="3"/>
      <c r="D2959" s="3"/>
      <c r="E2959" s="3"/>
      <c r="F2959" s="3"/>
    </row>
    <row r="2960" spans="3:6" x14ac:dyDescent="0.3">
      <c r="C2960" s="3"/>
      <c r="D2960" s="3"/>
      <c r="E2960" s="3"/>
      <c r="F2960" s="3"/>
    </row>
    <row r="2961" spans="3:6" x14ac:dyDescent="0.3">
      <c r="C2961" s="3"/>
      <c r="D2961" s="3"/>
      <c r="E2961" s="3"/>
      <c r="F2961" s="3"/>
    </row>
    <row r="2962" spans="3:6" x14ac:dyDescent="0.3">
      <c r="C2962" s="3"/>
      <c r="D2962" s="3"/>
      <c r="E2962" s="3"/>
      <c r="F2962" s="3"/>
    </row>
    <row r="2963" spans="3:6" x14ac:dyDescent="0.3">
      <c r="C2963" s="3"/>
      <c r="D2963" s="3"/>
      <c r="E2963" s="3"/>
      <c r="F2963" s="3"/>
    </row>
    <row r="2964" spans="3:6" x14ac:dyDescent="0.3">
      <c r="C2964" s="3"/>
      <c r="D2964" s="3"/>
      <c r="E2964" s="3"/>
      <c r="F2964" s="3"/>
    </row>
    <row r="2965" spans="3:6" x14ac:dyDescent="0.3">
      <c r="C2965" s="3"/>
      <c r="D2965" s="3"/>
      <c r="E2965" s="3"/>
      <c r="F2965" s="3"/>
    </row>
    <row r="2966" spans="3:6" x14ac:dyDescent="0.3">
      <c r="C2966" s="3"/>
      <c r="D2966" s="3"/>
      <c r="E2966" s="3"/>
      <c r="F2966" s="3"/>
    </row>
    <row r="2967" spans="3:6" x14ac:dyDescent="0.3">
      <c r="C2967" s="3"/>
      <c r="D2967" s="3"/>
      <c r="E2967" s="3"/>
      <c r="F2967" s="3"/>
    </row>
    <row r="2968" spans="3:6" x14ac:dyDescent="0.3">
      <c r="C2968" s="3"/>
      <c r="D2968" s="3"/>
      <c r="E2968" s="3"/>
      <c r="F2968" s="3"/>
    </row>
    <row r="2969" spans="3:6" x14ac:dyDescent="0.3">
      <c r="C2969" s="3"/>
      <c r="D2969" s="3"/>
      <c r="E2969" s="3"/>
      <c r="F2969" s="3"/>
    </row>
    <row r="2970" spans="3:6" x14ac:dyDescent="0.3">
      <c r="C2970" s="3"/>
      <c r="D2970" s="3"/>
      <c r="E2970" s="3"/>
      <c r="F2970" s="3"/>
    </row>
    <row r="2971" spans="3:6" x14ac:dyDescent="0.3">
      <c r="C2971" s="3"/>
      <c r="D2971" s="3"/>
      <c r="E2971" s="3"/>
      <c r="F2971" s="3"/>
    </row>
    <row r="2972" spans="3:6" x14ac:dyDescent="0.3">
      <c r="C2972" s="3"/>
      <c r="D2972" s="3"/>
      <c r="E2972" s="3"/>
      <c r="F2972" s="3"/>
    </row>
    <row r="2973" spans="3:6" x14ac:dyDescent="0.3">
      <c r="C2973" s="3"/>
      <c r="D2973" s="3"/>
      <c r="E2973" s="3"/>
      <c r="F2973" s="3"/>
    </row>
    <row r="2974" spans="3:6" x14ac:dyDescent="0.3">
      <c r="C2974" s="3"/>
      <c r="D2974" s="3"/>
      <c r="E2974" s="3"/>
      <c r="F2974" s="3"/>
    </row>
    <row r="2975" spans="3:6" x14ac:dyDescent="0.3">
      <c r="C2975" s="3"/>
      <c r="D2975" s="3"/>
      <c r="E2975" s="3"/>
      <c r="F2975" s="3"/>
    </row>
    <row r="2976" spans="3:6" x14ac:dyDescent="0.3">
      <c r="C2976" s="3"/>
      <c r="D2976" s="3"/>
      <c r="E2976" s="3"/>
      <c r="F2976" s="3"/>
    </row>
    <row r="2977" spans="3:6" x14ac:dyDescent="0.3">
      <c r="C2977" s="3"/>
      <c r="D2977" s="3"/>
      <c r="E2977" s="3"/>
      <c r="F2977" s="3"/>
    </row>
    <row r="2978" spans="3:6" x14ac:dyDescent="0.3">
      <c r="C2978" s="3"/>
      <c r="D2978" s="3"/>
      <c r="E2978" s="3"/>
      <c r="F2978" s="3"/>
    </row>
    <row r="2979" spans="3:6" x14ac:dyDescent="0.3">
      <c r="C2979" s="3"/>
      <c r="D2979" s="3"/>
      <c r="E2979" s="3"/>
      <c r="F2979" s="3"/>
    </row>
    <row r="2980" spans="3:6" x14ac:dyDescent="0.3">
      <c r="C2980" s="3"/>
      <c r="D2980" s="3"/>
      <c r="E2980" s="3"/>
      <c r="F2980" s="3"/>
    </row>
    <row r="2981" spans="3:6" x14ac:dyDescent="0.3">
      <c r="C2981" s="3"/>
      <c r="D2981" s="3"/>
      <c r="E2981" s="3"/>
      <c r="F2981" s="3"/>
    </row>
    <row r="2982" spans="3:6" x14ac:dyDescent="0.3">
      <c r="C2982" s="3"/>
      <c r="D2982" s="3"/>
      <c r="E2982" s="3"/>
      <c r="F2982" s="3"/>
    </row>
    <row r="2983" spans="3:6" x14ac:dyDescent="0.3">
      <c r="C2983" s="3"/>
      <c r="D2983" s="3"/>
      <c r="E2983" s="3"/>
      <c r="F2983" s="3"/>
    </row>
    <row r="2984" spans="3:6" x14ac:dyDescent="0.3">
      <c r="C2984" s="3"/>
      <c r="D2984" s="3"/>
      <c r="E2984" s="3"/>
      <c r="F2984" s="3"/>
    </row>
    <row r="2985" spans="3:6" x14ac:dyDescent="0.3">
      <c r="C2985" s="3"/>
      <c r="D2985" s="3"/>
      <c r="E2985" s="3"/>
      <c r="F2985" s="3"/>
    </row>
    <row r="2986" spans="3:6" x14ac:dyDescent="0.3">
      <c r="C2986" s="3"/>
      <c r="D2986" s="3"/>
      <c r="E2986" s="3"/>
      <c r="F2986" s="3"/>
    </row>
    <row r="2987" spans="3:6" x14ac:dyDescent="0.3">
      <c r="C2987" s="3"/>
      <c r="D2987" s="3"/>
      <c r="E2987" s="3"/>
      <c r="F2987" s="3"/>
    </row>
    <row r="2988" spans="3:6" x14ac:dyDescent="0.3">
      <c r="C2988" s="3"/>
      <c r="D2988" s="3"/>
      <c r="E2988" s="3"/>
      <c r="F2988" s="3"/>
    </row>
    <row r="2989" spans="3:6" x14ac:dyDescent="0.3">
      <c r="C2989" s="3"/>
      <c r="D2989" s="3"/>
      <c r="E2989" s="3"/>
      <c r="F2989" s="3"/>
    </row>
    <row r="2990" spans="3:6" x14ac:dyDescent="0.3">
      <c r="C2990" s="3"/>
      <c r="D2990" s="3"/>
      <c r="E2990" s="3"/>
      <c r="F2990" s="3"/>
    </row>
    <row r="2991" spans="3:6" x14ac:dyDescent="0.3">
      <c r="C2991" s="3"/>
      <c r="D2991" s="3"/>
      <c r="E2991" s="3"/>
      <c r="F2991" s="3"/>
    </row>
    <row r="2992" spans="3:6" x14ac:dyDescent="0.3">
      <c r="C2992" s="3"/>
      <c r="D2992" s="3"/>
      <c r="E2992" s="3"/>
      <c r="F2992" s="3"/>
    </row>
    <row r="2993" spans="3:6" x14ac:dyDescent="0.3">
      <c r="C2993" s="3"/>
      <c r="D2993" s="3"/>
      <c r="E2993" s="3"/>
      <c r="F2993" s="3"/>
    </row>
    <row r="2994" spans="3:6" x14ac:dyDescent="0.3">
      <c r="C2994" s="3"/>
      <c r="D2994" s="3"/>
      <c r="E2994" s="3"/>
      <c r="F2994" s="3"/>
    </row>
    <row r="2995" spans="3:6" x14ac:dyDescent="0.3">
      <c r="C2995" s="3"/>
      <c r="D2995" s="3"/>
      <c r="E2995" s="3"/>
      <c r="F2995" s="3"/>
    </row>
    <row r="2996" spans="3:6" x14ac:dyDescent="0.3">
      <c r="C2996" s="3"/>
      <c r="D2996" s="3"/>
      <c r="E2996" s="3"/>
      <c r="F2996" s="3"/>
    </row>
    <row r="2997" spans="3:6" x14ac:dyDescent="0.3">
      <c r="C2997" s="3"/>
      <c r="D2997" s="3"/>
      <c r="E2997" s="3"/>
      <c r="F2997" s="3"/>
    </row>
    <row r="2998" spans="3:6" x14ac:dyDescent="0.3">
      <c r="C2998" s="3"/>
      <c r="D2998" s="3"/>
      <c r="E2998" s="3"/>
      <c r="F2998" s="3"/>
    </row>
    <row r="2999" spans="3:6" x14ac:dyDescent="0.3">
      <c r="C2999" s="3"/>
      <c r="D2999" s="3"/>
      <c r="E2999" s="3"/>
      <c r="F2999" s="3"/>
    </row>
    <row r="3000" spans="3:6" x14ac:dyDescent="0.3">
      <c r="C3000" s="3"/>
      <c r="D3000" s="3"/>
      <c r="E3000" s="3"/>
      <c r="F3000" s="3"/>
    </row>
    <row r="3001" spans="3:6" x14ac:dyDescent="0.3">
      <c r="C3001" s="3"/>
      <c r="D3001" s="3"/>
      <c r="E3001" s="3"/>
      <c r="F3001" s="3"/>
    </row>
    <row r="3002" spans="3:6" x14ac:dyDescent="0.3">
      <c r="C3002" s="3"/>
      <c r="D3002" s="3"/>
      <c r="E3002" s="3"/>
      <c r="F3002" s="3"/>
    </row>
    <row r="3003" spans="3:6" x14ac:dyDescent="0.3">
      <c r="C3003" s="3"/>
      <c r="D3003" s="3"/>
      <c r="E3003" s="3"/>
      <c r="F3003" s="3"/>
    </row>
    <row r="3004" spans="3:6" x14ac:dyDescent="0.3">
      <c r="C3004" s="3"/>
      <c r="D3004" s="3"/>
      <c r="E3004" s="3"/>
      <c r="F3004" s="3"/>
    </row>
    <row r="3005" spans="3:6" x14ac:dyDescent="0.3">
      <c r="C3005" s="3"/>
      <c r="D3005" s="3"/>
      <c r="E3005" s="3"/>
      <c r="F3005" s="3"/>
    </row>
    <row r="3006" spans="3:6" x14ac:dyDescent="0.3">
      <c r="C3006" s="3"/>
      <c r="D3006" s="3"/>
      <c r="E3006" s="3"/>
      <c r="F3006" s="3"/>
    </row>
    <row r="3007" spans="3:6" x14ac:dyDescent="0.3">
      <c r="C3007" s="3"/>
      <c r="D3007" s="3"/>
      <c r="E3007" s="3"/>
      <c r="F3007" s="3"/>
    </row>
    <row r="3008" spans="3:6" x14ac:dyDescent="0.3">
      <c r="C3008" s="3"/>
      <c r="D3008" s="3"/>
      <c r="E3008" s="3"/>
      <c r="F3008" s="3"/>
    </row>
    <row r="3009" spans="3:6" x14ac:dyDescent="0.3">
      <c r="C3009" s="3"/>
      <c r="D3009" s="3"/>
      <c r="E3009" s="3"/>
      <c r="F3009" s="3"/>
    </row>
    <row r="3010" spans="3:6" x14ac:dyDescent="0.3">
      <c r="C3010" s="3"/>
      <c r="D3010" s="3"/>
      <c r="E3010" s="3"/>
      <c r="F3010" s="3"/>
    </row>
    <row r="3011" spans="3:6" x14ac:dyDescent="0.3">
      <c r="C3011" s="3"/>
      <c r="D3011" s="3"/>
      <c r="E3011" s="3"/>
      <c r="F3011" s="3"/>
    </row>
    <row r="3012" spans="3:6" x14ac:dyDescent="0.3">
      <c r="C3012" s="3"/>
      <c r="D3012" s="3"/>
      <c r="E3012" s="3"/>
      <c r="F3012" s="3"/>
    </row>
    <row r="3013" spans="3:6" x14ac:dyDescent="0.3">
      <c r="C3013" s="3"/>
      <c r="D3013" s="3"/>
      <c r="E3013" s="3"/>
      <c r="F3013" s="3"/>
    </row>
    <row r="3014" spans="3:6" x14ac:dyDescent="0.3">
      <c r="C3014" s="3"/>
      <c r="D3014" s="3"/>
      <c r="E3014" s="3"/>
      <c r="F3014" s="3"/>
    </row>
    <row r="3015" spans="3:6" x14ac:dyDescent="0.3">
      <c r="C3015" s="3"/>
      <c r="D3015" s="3"/>
      <c r="E3015" s="3"/>
      <c r="F3015" s="3"/>
    </row>
    <row r="3016" spans="3:6" x14ac:dyDescent="0.3">
      <c r="C3016" s="3"/>
      <c r="D3016" s="3"/>
      <c r="E3016" s="3"/>
      <c r="F3016" s="3"/>
    </row>
    <row r="3017" spans="3:6" x14ac:dyDescent="0.3">
      <c r="C3017" s="3"/>
      <c r="D3017" s="3"/>
      <c r="E3017" s="3"/>
      <c r="F3017" s="3"/>
    </row>
    <row r="3018" spans="3:6" x14ac:dyDescent="0.3">
      <c r="C3018" s="3"/>
      <c r="D3018" s="3"/>
      <c r="E3018" s="3"/>
      <c r="F3018" s="3"/>
    </row>
    <row r="3019" spans="3:6" x14ac:dyDescent="0.3">
      <c r="C3019" s="3"/>
      <c r="D3019" s="3"/>
      <c r="E3019" s="3"/>
      <c r="F3019" s="3"/>
    </row>
    <row r="3020" spans="3:6" x14ac:dyDescent="0.3">
      <c r="C3020" s="3"/>
      <c r="D3020" s="3"/>
      <c r="E3020" s="3"/>
      <c r="F3020" s="3"/>
    </row>
    <row r="3021" spans="3:6" x14ac:dyDescent="0.3">
      <c r="C3021" s="3"/>
      <c r="D3021" s="3"/>
      <c r="E3021" s="3"/>
      <c r="F3021" s="3"/>
    </row>
    <row r="3022" spans="3:6" x14ac:dyDescent="0.3">
      <c r="C3022" s="3"/>
      <c r="D3022" s="3"/>
      <c r="E3022" s="3"/>
      <c r="F3022" s="3"/>
    </row>
    <row r="3023" spans="3:6" x14ac:dyDescent="0.3">
      <c r="C3023" s="3"/>
      <c r="D3023" s="3"/>
      <c r="E3023" s="3"/>
      <c r="F3023" s="3"/>
    </row>
    <row r="3024" spans="3:6" x14ac:dyDescent="0.3">
      <c r="C3024" s="3"/>
      <c r="D3024" s="3"/>
      <c r="E3024" s="3"/>
      <c r="F3024" s="3"/>
    </row>
    <row r="3025" spans="3:6" x14ac:dyDescent="0.3">
      <c r="C3025" s="3"/>
      <c r="D3025" s="3"/>
      <c r="E3025" s="3"/>
      <c r="F3025" s="3"/>
    </row>
    <row r="3026" spans="3:6" x14ac:dyDescent="0.3">
      <c r="C3026" s="3"/>
      <c r="D3026" s="3"/>
      <c r="E3026" s="3"/>
      <c r="F3026" s="3"/>
    </row>
    <row r="3027" spans="3:6" x14ac:dyDescent="0.3">
      <c r="C3027" s="3"/>
      <c r="D3027" s="3"/>
      <c r="E3027" s="3"/>
      <c r="F3027" s="3"/>
    </row>
    <row r="3028" spans="3:6" x14ac:dyDescent="0.3">
      <c r="C3028" s="3"/>
      <c r="D3028" s="3"/>
      <c r="E3028" s="3"/>
      <c r="F3028" s="3"/>
    </row>
    <row r="3029" spans="3:6" x14ac:dyDescent="0.3">
      <c r="C3029" s="3"/>
      <c r="D3029" s="3"/>
      <c r="E3029" s="3"/>
      <c r="F3029" s="3"/>
    </row>
    <row r="3030" spans="3:6" x14ac:dyDescent="0.3">
      <c r="C3030" s="3"/>
      <c r="D3030" s="3"/>
      <c r="E3030" s="3"/>
      <c r="F3030" s="3"/>
    </row>
    <row r="3031" spans="3:6" x14ac:dyDescent="0.3">
      <c r="C3031" s="3"/>
      <c r="D3031" s="3"/>
      <c r="E3031" s="3"/>
      <c r="F3031" s="3"/>
    </row>
    <row r="3032" spans="3:6" x14ac:dyDescent="0.3">
      <c r="C3032" s="3"/>
      <c r="D3032" s="3"/>
      <c r="E3032" s="3"/>
      <c r="F3032" s="3"/>
    </row>
    <row r="3033" spans="3:6" x14ac:dyDescent="0.3">
      <c r="C3033" s="3"/>
      <c r="D3033" s="3"/>
      <c r="E3033" s="3"/>
      <c r="F3033" s="3"/>
    </row>
    <row r="3034" spans="3:6" x14ac:dyDescent="0.3">
      <c r="C3034" s="3"/>
      <c r="D3034" s="3"/>
      <c r="E3034" s="3"/>
      <c r="F3034" s="3"/>
    </row>
    <row r="3035" spans="3:6" x14ac:dyDescent="0.3">
      <c r="C3035" s="3"/>
      <c r="D3035" s="3"/>
      <c r="E3035" s="3"/>
      <c r="F3035" s="3"/>
    </row>
    <row r="3036" spans="3:6" x14ac:dyDescent="0.3">
      <c r="C3036" s="3"/>
      <c r="D3036" s="3"/>
      <c r="E3036" s="3"/>
      <c r="F3036" s="3"/>
    </row>
    <row r="3037" spans="3:6" x14ac:dyDescent="0.3">
      <c r="C3037" s="3"/>
      <c r="D3037" s="3"/>
      <c r="E3037" s="3"/>
      <c r="F3037" s="3"/>
    </row>
    <row r="3038" spans="3:6" x14ac:dyDescent="0.3">
      <c r="C3038" s="3"/>
      <c r="D3038" s="3"/>
      <c r="E3038" s="3"/>
      <c r="F3038" s="3"/>
    </row>
    <row r="3039" spans="3:6" x14ac:dyDescent="0.3">
      <c r="C3039" s="3"/>
      <c r="D3039" s="3"/>
      <c r="E3039" s="3"/>
      <c r="F3039" s="3"/>
    </row>
    <row r="3040" spans="3:6" x14ac:dyDescent="0.3">
      <c r="C3040" s="3"/>
      <c r="D3040" s="3"/>
      <c r="E3040" s="3"/>
      <c r="F3040" s="3"/>
    </row>
    <row r="3041" spans="3:6" x14ac:dyDescent="0.3">
      <c r="C3041" s="3"/>
      <c r="D3041" s="3"/>
      <c r="E3041" s="3"/>
      <c r="F3041" s="3"/>
    </row>
    <row r="3042" spans="3:6" x14ac:dyDescent="0.3">
      <c r="C3042" s="3"/>
      <c r="D3042" s="3"/>
      <c r="E3042" s="3"/>
      <c r="F3042" s="3"/>
    </row>
    <row r="3043" spans="3:6" x14ac:dyDescent="0.3">
      <c r="C3043" s="3"/>
      <c r="D3043" s="3"/>
      <c r="E3043" s="3"/>
      <c r="F3043" s="3"/>
    </row>
    <row r="3044" spans="3:6" x14ac:dyDescent="0.3">
      <c r="C3044" s="3"/>
      <c r="D3044" s="3"/>
      <c r="E3044" s="3"/>
      <c r="F3044" s="3"/>
    </row>
    <row r="3045" spans="3:6" x14ac:dyDescent="0.3">
      <c r="C3045" s="3"/>
      <c r="D3045" s="3"/>
      <c r="E3045" s="3"/>
      <c r="F3045" s="3"/>
    </row>
    <row r="3046" spans="3:6" x14ac:dyDescent="0.3">
      <c r="C3046" s="3"/>
      <c r="D3046" s="3"/>
      <c r="E3046" s="3"/>
      <c r="F3046" s="3"/>
    </row>
    <row r="3047" spans="3:6" x14ac:dyDescent="0.3">
      <c r="C3047" s="3"/>
      <c r="D3047" s="3"/>
      <c r="E3047" s="3"/>
      <c r="F3047" s="3"/>
    </row>
    <row r="3048" spans="3:6" x14ac:dyDescent="0.3">
      <c r="C3048" s="3"/>
      <c r="D3048" s="3"/>
      <c r="E3048" s="3"/>
      <c r="F3048" s="3"/>
    </row>
    <row r="3049" spans="3:6" x14ac:dyDescent="0.3">
      <c r="C3049" s="3"/>
      <c r="D3049" s="3"/>
      <c r="E3049" s="3"/>
      <c r="F3049" s="3"/>
    </row>
    <row r="3050" spans="3:6" x14ac:dyDescent="0.3">
      <c r="C3050" s="3"/>
      <c r="D3050" s="3"/>
      <c r="E3050" s="3"/>
      <c r="F3050" s="3"/>
    </row>
    <row r="3051" spans="3:6" x14ac:dyDescent="0.3">
      <c r="C3051" s="3"/>
      <c r="D3051" s="3"/>
      <c r="E3051" s="3"/>
      <c r="F3051" s="3"/>
    </row>
    <row r="3052" spans="3:6" x14ac:dyDescent="0.3">
      <c r="C3052" s="3"/>
      <c r="D3052" s="3"/>
      <c r="E3052" s="3"/>
      <c r="F3052" s="3"/>
    </row>
    <row r="3053" spans="3:6" x14ac:dyDescent="0.3">
      <c r="C3053" s="3"/>
      <c r="D3053" s="3"/>
      <c r="E3053" s="3"/>
      <c r="F3053" s="3"/>
    </row>
    <row r="3054" spans="3:6" x14ac:dyDescent="0.3">
      <c r="C3054" s="3"/>
      <c r="D3054" s="3"/>
      <c r="E3054" s="3"/>
      <c r="F3054" s="3"/>
    </row>
    <row r="3055" spans="3:6" x14ac:dyDescent="0.3">
      <c r="C3055" s="3"/>
      <c r="D3055" s="3"/>
      <c r="E3055" s="3"/>
      <c r="F3055" s="3"/>
    </row>
    <row r="3056" spans="3:6" x14ac:dyDescent="0.3">
      <c r="C3056" s="3"/>
      <c r="D3056" s="3"/>
      <c r="E3056" s="3"/>
      <c r="F3056" s="3"/>
    </row>
    <row r="3057" spans="3:6" x14ac:dyDescent="0.3">
      <c r="C3057" s="3"/>
      <c r="D3057" s="3"/>
      <c r="E3057" s="3"/>
      <c r="F3057" s="3"/>
    </row>
    <row r="3058" spans="3:6" x14ac:dyDescent="0.3">
      <c r="C3058" s="3"/>
      <c r="D3058" s="3"/>
      <c r="E3058" s="3"/>
      <c r="F3058" s="3"/>
    </row>
    <row r="3059" spans="3:6" x14ac:dyDescent="0.3">
      <c r="C3059" s="3"/>
      <c r="D3059" s="3"/>
      <c r="E3059" s="3"/>
      <c r="F3059" s="3"/>
    </row>
    <row r="3060" spans="3:6" x14ac:dyDescent="0.3">
      <c r="C3060" s="3"/>
      <c r="D3060" s="3"/>
      <c r="E3060" s="3"/>
      <c r="F3060" s="3"/>
    </row>
    <row r="3061" spans="3:6" x14ac:dyDescent="0.3">
      <c r="C3061" s="3"/>
      <c r="D3061" s="3"/>
      <c r="E3061" s="3"/>
      <c r="F3061" s="3"/>
    </row>
    <row r="3062" spans="3:6" x14ac:dyDescent="0.3">
      <c r="C3062" s="3"/>
      <c r="D3062" s="3"/>
      <c r="E3062" s="3"/>
      <c r="F3062" s="3"/>
    </row>
    <row r="3063" spans="3:6" x14ac:dyDescent="0.3">
      <c r="C3063" s="3"/>
      <c r="D3063" s="3"/>
      <c r="E3063" s="3"/>
      <c r="F3063" s="3"/>
    </row>
    <row r="3064" spans="3:6" x14ac:dyDescent="0.3">
      <c r="C3064" s="3"/>
      <c r="D3064" s="3"/>
      <c r="E3064" s="3"/>
      <c r="F3064" s="3"/>
    </row>
    <row r="3065" spans="3:6" x14ac:dyDescent="0.3">
      <c r="C3065" s="3"/>
      <c r="D3065" s="3"/>
      <c r="E3065" s="3"/>
      <c r="F3065" s="3"/>
    </row>
    <row r="3066" spans="3:6" x14ac:dyDescent="0.3">
      <c r="C3066" s="3"/>
      <c r="D3066" s="3"/>
      <c r="E3066" s="3"/>
      <c r="F3066" s="3"/>
    </row>
    <row r="3067" spans="3:6" x14ac:dyDescent="0.3">
      <c r="C3067" s="3"/>
      <c r="D3067" s="3"/>
      <c r="E3067" s="3"/>
      <c r="F3067" s="3"/>
    </row>
    <row r="3068" spans="3:6" x14ac:dyDescent="0.3">
      <c r="C3068" s="3"/>
      <c r="D3068" s="3"/>
      <c r="E3068" s="3"/>
      <c r="F3068" s="3"/>
    </row>
    <row r="3069" spans="3:6" x14ac:dyDescent="0.3">
      <c r="C3069" s="3"/>
      <c r="D3069" s="3"/>
      <c r="E3069" s="3"/>
      <c r="F3069" s="3"/>
    </row>
    <row r="3070" spans="3:6" x14ac:dyDescent="0.3">
      <c r="C3070" s="3"/>
      <c r="D3070" s="3"/>
      <c r="E3070" s="3"/>
      <c r="F3070" s="3"/>
    </row>
    <row r="3071" spans="3:6" x14ac:dyDescent="0.3">
      <c r="C3071" s="3"/>
      <c r="D3071" s="3"/>
      <c r="E3071" s="3"/>
      <c r="F3071" s="3"/>
    </row>
    <row r="3072" spans="3:6" x14ac:dyDescent="0.3">
      <c r="C3072" s="3"/>
      <c r="D3072" s="3"/>
      <c r="E3072" s="3"/>
      <c r="F3072" s="3"/>
    </row>
    <row r="3073" spans="3:6" x14ac:dyDescent="0.3">
      <c r="C3073" s="3"/>
      <c r="D3073" s="3"/>
      <c r="E3073" s="3"/>
      <c r="F3073" s="3"/>
    </row>
    <row r="3074" spans="3:6" x14ac:dyDescent="0.3">
      <c r="C3074" s="3"/>
      <c r="D3074" s="3"/>
      <c r="E3074" s="3"/>
      <c r="F3074" s="3"/>
    </row>
    <row r="3075" spans="3:6" x14ac:dyDescent="0.3">
      <c r="C3075" s="3"/>
      <c r="D3075" s="3"/>
      <c r="E3075" s="3"/>
      <c r="F3075" s="3"/>
    </row>
    <row r="3076" spans="3:6" x14ac:dyDescent="0.3">
      <c r="C3076" s="3"/>
      <c r="D3076" s="3"/>
      <c r="E3076" s="3"/>
      <c r="F3076" s="3"/>
    </row>
    <row r="3077" spans="3:6" x14ac:dyDescent="0.3">
      <c r="C3077" s="3"/>
      <c r="D3077" s="3"/>
      <c r="E3077" s="3"/>
      <c r="F3077" s="3"/>
    </row>
    <row r="3078" spans="3:6" x14ac:dyDescent="0.3">
      <c r="C3078" s="3"/>
      <c r="D3078" s="3"/>
      <c r="E3078" s="3"/>
      <c r="F3078" s="3"/>
    </row>
    <row r="3079" spans="3:6" x14ac:dyDescent="0.3">
      <c r="C3079" s="3"/>
      <c r="D3079" s="3"/>
      <c r="E3079" s="3"/>
      <c r="F3079" s="3"/>
    </row>
    <row r="3080" spans="3:6" x14ac:dyDescent="0.3">
      <c r="C3080" s="3"/>
      <c r="D3080" s="3"/>
      <c r="E3080" s="3"/>
      <c r="F3080" s="3"/>
    </row>
    <row r="3081" spans="3:6" x14ac:dyDescent="0.3">
      <c r="C3081" s="3"/>
      <c r="D3081" s="3"/>
      <c r="E3081" s="3"/>
      <c r="F3081" s="3"/>
    </row>
    <row r="3082" spans="3:6" x14ac:dyDescent="0.3">
      <c r="C3082" s="3"/>
      <c r="D3082" s="3"/>
      <c r="E3082" s="3"/>
      <c r="F3082" s="3"/>
    </row>
    <row r="3083" spans="3:6" x14ac:dyDescent="0.3">
      <c r="C3083" s="3"/>
      <c r="D3083" s="3"/>
      <c r="E3083" s="3"/>
      <c r="F3083" s="3"/>
    </row>
    <row r="3084" spans="3:6" x14ac:dyDescent="0.3">
      <c r="C3084" s="3"/>
      <c r="D3084" s="3"/>
      <c r="E3084" s="3"/>
      <c r="F3084" s="3"/>
    </row>
    <row r="3085" spans="3:6" x14ac:dyDescent="0.3">
      <c r="C3085" s="3"/>
      <c r="D3085" s="3"/>
      <c r="E3085" s="3"/>
      <c r="F3085" s="3"/>
    </row>
    <row r="3086" spans="3:6" x14ac:dyDescent="0.3">
      <c r="C3086" s="3"/>
      <c r="D3086" s="3"/>
      <c r="E3086" s="3"/>
      <c r="F3086" s="3"/>
    </row>
    <row r="3087" spans="3:6" x14ac:dyDescent="0.3">
      <c r="C3087" s="3"/>
      <c r="D3087" s="3"/>
      <c r="E3087" s="3"/>
      <c r="F3087" s="3"/>
    </row>
    <row r="3088" spans="3:6" x14ac:dyDescent="0.3">
      <c r="C3088" s="3"/>
      <c r="D3088" s="3"/>
      <c r="E3088" s="3"/>
      <c r="F3088" s="3"/>
    </row>
    <row r="3089" spans="3:6" x14ac:dyDescent="0.3">
      <c r="C3089" s="3"/>
      <c r="D3089" s="3"/>
      <c r="E3089" s="3"/>
      <c r="F3089" s="3"/>
    </row>
    <row r="3090" spans="3:6" x14ac:dyDescent="0.3">
      <c r="C3090" s="3"/>
      <c r="D3090" s="3"/>
      <c r="E3090" s="3"/>
      <c r="F3090" s="3"/>
    </row>
    <row r="3091" spans="3:6" x14ac:dyDescent="0.3">
      <c r="C3091" s="3"/>
      <c r="D3091" s="3"/>
      <c r="E3091" s="3"/>
      <c r="F3091" s="3"/>
    </row>
    <row r="3092" spans="3:6" x14ac:dyDescent="0.3">
      <c r="C3092" s="3"/>
      <c r="D3092" s="3"/>
      <c r="E3092" s="3"/>
      <c r="F3092" s="3"/>
    </row>
    <row r="3093" spans="3:6" x14ac:dyDescent="0.3">
      <c r="C3093" s="3"/>
      <c r="D3093" s="3"/>
      <c r="E3093" s="3"/>
      <c r="F3093" s="3"/>
    </row>
    <row r="3094" spans="3:6" x14ac:dyDescent="0.3">
      <c r="C3094" s="3"/>
      <c r="D3094" s="3"/>
      <c r="E3094" s="3"/>
      <c r="F3094" s="3"/>
    </row>
    <row r="3095" spans="3:6" x14ac:dyDescent="0.3">
      <c r="C3095" s="3"/>
      <c r="D3095" s="3"/>
      <c r="E3095" s="3"/>
      <c r="F3095" s="3"/>
    </row>
    <row r="3096" spans="3:6" x14ac:dyDescent="0.3">
      <c r="C3096" s="3"/>
      <c r="D3096" s="3"/>
      <c r="E3096" s="3"/>
      <c r="F3096" s="3"/>
    </row>
    <row r="3097" spans="3:6" x14ac:dyDescent="0.3">
      <c r="C3097" s="3"/>
      <c r="D3097" s="3"/>
      <c r="E3097" s="3"/>
      <c r="F3097" s="3"/>
    </row>
    <row r="3098" spans="3:6" x14ac:dyDescent="0.3">
      <c r="C3098" s="3"/>
      <c r="D3098" s="3"/>
      <c r="E3098" s="3"/>
      <c r="F3098" s="3"/>
    </row>
    <row r="3099" spans="3:6" x14ac:dyDescent="0.3">
      <c r="C3099" s="3"/>
      <c r="D3099" s="3"/>
      <c r="E3099" s="3"/>
      <c r="F3099" s="3"/>
    </row>
    <row r="3100" spans="3:6" x14ac:dyDescent="0.3">
      <c r="C3100" s="3"/>
      <c r="D3100" s="3"/>
      <c r="E3100" s="3"/>
      <c r="F3100" s="3"/>
    </row>
    <row r="3101" spans="3:6" x14ac:dyDescent="0.3">
      <c r="C3101" s="3"/>
      <c r="D3101" s="3"/>
      <c r="E3101" s="3"/>
      <c r="F3101" s="3"/>
    </row>
    <row r="3102" spans="3:6" x14ac:dyDescent="0.3">
      <c r="C3102" s="3"/>
      <c r="D3102" s="3"/>
      <c r="E3102" s="3"/>
      <c r="F3102" s="3"/>
    </row>
    <row r="3103" spans="3:6" x14ac:dyDescent="0.3">
      <c r="C3103" s="3"/>
      <c r="D3103" s="3"/>
      <c r="E3103" s="3"/>
      <c r="F3103" s="3"/>
    </row>
    <row r="3104" spans="3:6" x14ac:dyDescent="0.3">
      <c r="C3104" s="3"/>
      <c r="D3104" s="3"/>
      <c r="E3104" s="3"/>
      <c r="F3104" s="3"/>
    </row>
    <row r="3105" spans="3:6" x14ac:dyDescent="0.3">
      <c r="C3105" s="3"/>
      <c r="D3105" s="3"/>
      <c r="E3105" s="3"/>
      <c r="F3105" s="3"/>
    </row>
    <row r="3106" spans="3:6" x14ac:dyDescent="0.3">
      <c r="C3106" s="3"/>
      <c r="D3106" s="3"/>
      <c r="E3106" s="3"/>
      <c r="F3106" s="3"/>
    </row>
    <row r="3107" spans="3:6" x14ac:dyDescent="0.3">
      <c r="C3107" s="3"/>
      <c r="D3107" s="3"/>
      <c r="E3107" s="3"/>
      <c r="F3107" s="3"/>
    </row>
    <row r="3108" spans="3:6" x14ac:dyDescent="0.3">
      <c r="C3108" s="3"/>
      <c r="D3108" s="3"/>
      <c r="E3108" s="3"/>
      <c r="F3108" s="3"/>
    </row>
    <row r="3109" spans="3:6" x14ac:dyDescent="0.3">
      <c r="C3109" s="3"/>
      <c r="D3109" s="3"/>
      <c r="E3109" s="3"/>
      <c r="F3109" s="3"/>
    </row>
    <row r="3110" spans="3:6" x14ac:dyDescent="0.3">
      <c r="C3110" s="3"/>
      <c r="D3110" s="3"/>
      <c r="E3110" s="3"/>
      <c r="F3110" s="3"/>
    </row>
    <row r="3111" spans="3:6" x14ac:dyDescent="0.3">
      <c r="C3111" s="3"/>
      <c r="D3111" s="3"/>
      <c r="E3111" s="3"/>
      <c r="F3111" s="3"/>
    </row>
    <row r="3112" spans="3:6" x14ac:dyDescent="0.3">
      <c r="C3112" s="3"/>
      <c r="D3112" s="3"/>
      <c r="E3112" s="3"/>
      <c r="F3112" s="3"/>
    </row>
    <row r="3113" spans="3:6" x14ac:dyDescent="0.3">
      <c r="C3113" s="3"/>
      <c r="D3113" s="3"/>
      <c r="E3113" s="3"/>
      <c r="F3113" s="3"/>
    </row>
    <row r="3114" spans="3:6" x14ac:dyDescent="0.3">
      <c r="C3114" s="3"/>
      <c r="D3114" s="3"/>
      <c r="E3114" s="3"/>
      <c r="F3114" s="3"/>
    </row>
    <row r="3115" spans="3:6" x14ac:dyDescent="0.3">
      <c r="C3115" s="3"/>
      <c r="D3115" s="3"/>
      <c r="E3115" s="3"/>
      <c r="F3115" s="3"/>
    </row>
    <row r="3116" spans="3:6" x14ac:dyDescent="0.3">
      <c r="C3116" s="3"/>
      <c r="D3116" s="3"/>
      <c r="E3116" s="3"/>
      <c r="F3116" s="3"/>
    </row>
    <row r="3117" spans="3:6" x14ac:dyDescent="0.3">
      <c r="C3117" s="3"/>
      <c r="D3117" s="3"/>
      <c r="E3117" s="3"/>
      <c r="F3117" s="3"/>
    </row>
    <row r="3118" spans="3:6" x14ac:dyDescent="0.3">
      <c r="C3118" s="3"/>
      <c r="D3118" s="3"/>
      <c r="E3118" s="3"/>
      <c r="F3118" s="3"/>
    </row>
    <row r="3119" spans="3:6" x14ac:dyDescent="0.3">
      <c r="C3119" s="3"/>
      <c r="D3119" s="3"/>
      <c r="E3119" s="3"/>
      <c r="F3119" s="3"/>
    </row>
    <row r="3120" spans="3:6" x14ac:dyDescent="0.3">
      <c r="C3120" s="3"/>
      <c r="D3120" s="3"/>
      <c r="E3120" s="3"/>
      <c r="F3120" s="3"/>
    </row>
    <row r="3121" spans="3:6" x14ac:dyDescent="0.3">
      <c r="C3121" s="3"/>
      <c r="D3121" s="3"/>
      <c r="E3121" s="3"/>
      <c r="F3121" s="3"/>
    </row>
    <row r="3122" spans="3:6" x14ac:dyDescent="0.3">
      <c r="C3122" s="3"/>
      <c r="D3122" s="3"/>
      <c r="E3122" s="3"/>
      <c r="F3122" s="3"/>
    </row>
    <row r="3123" spans="3:6" x14ac:dyDescent="0.3">
      <c r="C3123" s="3"/>
      <c r="D3123" s="3"/>
      <c r="E3123" s="3"/>
      <c r="F3123" s="3"/>
    </row>
    <row r="3124" spans="3:6" x14ac:dyDescent="0.3">
      <c r="C3124" s="3"/>
      <c r="D3124" s="3"/>
      <c r="E3124" s="3"/>
      <c r="F3124" s="3"/>
    </row>
    <row r="3125" spans="3:6" x14ac:dyDescent="0.3">
      <c r="C3125" s="3"/>
      <c r="D3125" s="3"/>
      <c r="E3125" s="3"/>
      <c r="F3125" s="3"/>
    </row>
    <row r="3126" spans="3:6" x14ac:dyDescent="0.3">
      <c r="C3126" s="3"/>
      <c r="D3126" s="3"/>
      <c r="E3126" s="3"/>
      <c r="F3126" s="3"/>
    </row>
    <row r="3127" spans="3:6" x14ac:dyDescent="0.3">
      <c r="C3127" s="3"/>
      <c r="D3127" s="3"/>
      <c r="E3127" s="3"/>
      <c r="F3127" s="3"/>
    </row>
    <row r="3128" spans="3:6" x14ac:dyDescent="0.3">
      <c r="C3128" s="3"/>
      <c r="D3128" s="3"/>
      <c r="E3128" s="3"/>
      <c r="F3128" s="3"/>
    </row>
    <row r="3129" spans="3:6" x14ac:dyDescent="0.3">
      <c r="C3129" s="3"/>
      <c r="D3129" s="3"/>
      <c r="E3129" s="3"/>
      <c r="F3129" s="3"/>
    </row>
    <row r="3130" spans="3:6" x14ac:dyDescent="0.3">
      <c r="C3130" s="3"/>
      <c r="D3130" s="3"/>
      <c r="E3130" s="3"/>
      <c r="F3130" s="3"/>
    </row>
    <row r="3131" spans="3:6" x14ac:dyDescent="0.3">
      <c r="C3131" s="3"/>
      <c r="D3131" s="3"/>
      <c r="E3131" s="3"/>
      <c r="F3131" s="3"/>
    </row>
    <row r="3132" spans="3:6" x14ac:dyDescent="0.3">
      <c r="C3132" s="3"/>
      <c r="D3132" s="3"/>
      <c r="E3132" s="3"/>
      <c r="F3132" s="3"/>
    </row>
    <row r="3133" spans="3:6" x14ac:dyDescent="0.3">
      <c r="C3133" s="3"/>
      <c r="D3133" s="3"/>
      <c r="E3133" s="3"/>
      <c r="F3133" s="3"/>
    </row>
    <row r="3134" spans="3:6" x14ac:dyDescent="0.3">
      <c r="C3134" s="3"/>
      <c r="D3134" s="3"/>
      <c r="E3134" s="3"/>
      <c r="F3134" s="3"/>
    </row>
    <row r="3135" spans="3:6" x14ac:dyDescent="0.3">
      <c r="C3135" s="3"/>
      <c r="D3135" s="3"/>
      <c r="E3135" s="3"/>
      <c r="F3135" s="3"/>
    </row>
    <row r="3136" spans="3:6" x14ac:dyDescent="0.3">
      <c r="C3136" s="3"/>
      <c r="D3136" s="3"/>
      <c r="E3136" s="3"/>
      <c r="F3136" s="3"/>
    </row>
    <row r="3137" spans="3:6" x14ac:dyDescent="0.3">
      <c r="C3137" s="3"/>
      <c r="D3137" s="3"/>
      <c r="E3137" s="3"/>
      <c r="F3137" s="3"/>
    </row>
    <row r="3138" spans="3:6" x14ac:dyDescent="0.3">
      <c r="C3138" s="3"/>
      <c r="D3138" s="3"/>
      <c r="E3138" s="3"/>
      <c r="F3138" s="3"/>
    </row>
    <row r="3139" spans="3:6" x14ac:dyDescent="0.3">
      <c r="C3139" s="3"/>
      <c r="D3139" s="3"/>
      <c r="E3139" s="3"/>
      <c r="F3139" s="3"/>
    </row>
    <row r="3140" spans="3:6" x14ac:dyDescent="0.3">
      <c r="C3140" s="3"/>
      <c r="D3140" s="3"/>
      <c r="E3140" s="3"/>
      <c r="F3140" s="3"/>
    </row>
    <row r="3141" spans="3:6" x14ac:dyDescent="0.3">
      <c r="C3141" s="3"/>
      <c r="D3141" s="3"/>
      <c r="E3141" s="3"/>
      <c r="F3141" s="3"/>
    </row>
    <row r="3142" spans="3:6" x14ac:dyDescent="0.3">
      <c r="C3142" s="3"/>
      <c r="D3142" s="3"/>
      <c r="E3142" s="3"/>
      <c r="F3142" s="3"/>
    </row>
    <row r="3143" spans="3:6" x14ac:dyDescent="0.3">
      <c r="C3143" s="3"/>
      <c r="D3143" s="3"/>
      <c r="E3143" s="3"/>
      <c r="F3143" s="3"/>
    </row>
    <row r="3144" spans="3:6" x14ac:dyDescent="0.3">
      <c r="C3144" s="3"/>
      <c r="D3144" s="3"/>
      <c r="E3144" s="3"/>
      <c r="F3144" s="3"/>
    </row>
    <row r="3145" spans="3:6" x14ac:dyDescent="0.3">
      <c r="C3145" s="3"/>
      <c r="D3145" s="3"/>
      <c r="E3145" s="3"/>
      <c r="F3145" s="3"/>
    </row>
    <row r="3146" spans="3:6" x14ac:dyDescent="0.3">
      <c r="C3146" s="3"/>
      <c r="D3146" s="3"/>
      <c r="E3146" s="3"/>
      <c r="F3146" s="3"/>
    </row>
    <row r="3147" spans="3:6" x14ac:dyDescent="0.3">
      <c r="C3147" s="3"/>
      <c r="D3147" s="3"/>
      <c r="E3147" s="3"/>
      <c r="F3147" s="3"/>
    </row>
    <row r="3148" spans="3:6" x14ac:dyDescent="0.3">
      <c r="C3148" s="3"/>
      <c r="D3148" s="3"/>
      <c r="E3148" s="3"/>
      <c r="F3148" s="3"/>
    </row>
    <row r="3149" spans="3:6" x14ac:dyDescent="0.3">
      <c r="C3149" s="3"/>
      <c r="D3149" s="3"/>
      <c r="E3149" s="3"/>
      <c r="F3149" s="3"/>
    </row>
    <row r="3150" spans="3:6" x14ac:dyDescent="0.3">
      <c r="C3150" s="3"/>
      <c r="D3150" s="3"/>
      <c r="E3150" s="3"/>
      <c r="F3150" s="3"/>
    </row>
    <row r="3151" spans="3:6" x14ac:dyDescent="0.3">
      <c r="C3151" s="3"/>
      <c r="D3151" s="3"/>
      <c r="E3151" s="3"/>
      <c r="F3151" s="3"/>
    </row>
    <row r="3152" spans="3:6" x14ac:dyDescent="0.3">
      <c r="C3152" s="3"/>
      <c r="D3152" s="3"/>
      <c r="E3152" s="3"/>
      <c r="F3152" s="3"/>
    </row>
    <row r="3153" spans="3:6" x14ac:dyDescent="0.3">
      <c r="C3153" s="3"/>
      <c r="D3153" s="3"/>
      <c r="E3153" s="3"/>
      <c r="F3153" s="3"/>
    </row>
    <row r="3154" spans="3:6" x14ac:dyDescent="0.3">
      <c r="C3154" s="3"/>
      <c r="D3154" s="3"/>
      <c r="E3154" s="3"/>
      <c r="F3154" s="3"/>
    </row>
    <row r="3155" spans="3:6" x14ac:dyDescent="0.3">
      <c r="C3155" s="3"/>
      <c r="D3155" s="3"/>
      <c r="E3155" s="3"/>
      <c r="F3155" s="3"/>
    </row>
    <row r="3156" spans="3:6" x14ac:dyDescent="0.3">
      <c r="C3156" s="3"/>
      <c r="D3156" s="3"/>
      <c r="E3156" s="3"/>
      <c r="F3156" s="3"/>
    </row>
    <row r="3157" spans="3:6" x14ac:dyDescent="0.3">
      <c r="C3157" s="3"/>
      <c r="D3157" s="3"/>
      <c r="E3157" s="3"/>
      <c r="F3157" s="3"/>
    </row>
    <row r="3158" spans="3:6" x14ac:dyDescent="0.3">
      <c r="C3158" s="3"/>
      <c r="D3158" s="3"/>
      <c r="E3158" s="3"/>
      <c r="F3158" s="3"/>
    </row>
    <row r="3159" spans="3:6" x14ac:dyDescent="0.3">
      <c r="C3159" s="3"/>
      <c r="D3159" s="3"/>
      <c r="E3159" s="3"/>
      <c r="F3159" s="3"/>
    </row>
    <row r="3160" spans="3:6" x14ac:dyDescent="0.3">
      <c r="C3160" s="3"/>
      <c r="D3160" s="3"/>
      <c r="E3160" s="3"/>
      <c r="F3160" s="3"/>
    </row>
    <row r="3161" spans="3:6" x14ac:dyDescent="0.3">
      <c r="C3161" s="3"/>
      <c r="D3161" s="3"/>
      <c r="E3161" s="3"/>
      <c r="F3161" s="3"/>
    </row>
    <row r="3162" spans="3:6" x14ac:dyDescent="0.3">
      <c r="C3162" s="3"/>
      <c r="D3162" s="3"/>
      <c r="E3162" s="3"/>
      <c r="F3162" s="3"/>
    </row>
    <row r="3163" spans="3:6" x14ac:dyDescent="0.3">
      <c r="C3163" s="3"/>
      <c r="D3163" s="3"/>
      <c r="E3163" s="3"/>
      <c r="F3163" s="3"/>
    </row>
    <row r="3164" spans="3:6" x14ac:dyDescent="0.3">
      <c r="C3164" s="3"/>
      <c r="D3164" s="3"/>
      <c r="E3164" s="3"/>
      <c r="F3164" s="3"/>
    </row>
    <row r="3165" spans="3:6" x14ac:dyDescent="0.3">
      <c r="C3165" s="3"/>
      <c r="D3165" s="3"/>
      <c r="E3165" s="3"/>
      <c r="F3165" s="3"/>
    </row>
    <row r="3166" spans="3:6" x14ac:dyDescent="0.3">
      <c r="C3166" s="3"/>
      <c r="D3166" s="3"/>
      <c r="E3166" s="3"/>
      <c r="F3166" s="3"/>
    </row>
    <row r="3167" spans="3:6" x14ac:dyDescent="0.3">
      <c r="C3167" s="3"/>
      <c r="D3167" s="3"/>
      <c r="E3167" s="3"/>
      <c r="F3167" s="3"/>
    </row>
    <row r="3168" spans="3:6" x14ac:dyDescent="0.3">
      <c r="C3168" s="3"/>
      <c r="D3168" s="3"/>
      <c r="E3168" s="3"/>
      <c r="F3168" s="3"/>
    </row>
    <row r="3169" spans="3:6" x14ac:dyDescent="0.3">
      <c r="C3169" s="3"/>
      <c r="D3169" s="3"/>
      <c r="E3169" s="3"/>
      <c r="F3169" s="3"/>
    </row>
    <row r="3170" spans="3:6" x14ac:dyDescent="0.3">
      <c r="C3170" s="3"/>
      <c r="D3170" s="3"/>
      <c r="E3170" s="3"/>
      <c r="F3170" s="3"/>
    </row>
    <row r="3171" spans="3:6" x14ac:dyDescent="0.3">
      <c r="C3171" s="3"/>
      <c r="D3171" s="3"/>
      <c r="E3171" s="3"/>
      <c r="F3171" s="3"/>
    </row>
    <row r="3172" spans="3:6" x14ac:dyDescent="0.3">
      <c r="C3172" s="3"/>
      <c r="D3172" s="3"/>
      <c r="E3172" s="3"/>
      <c r="F3172" s="3"/>
    </row>
    <row r="3173" spans="3:6" x14ac:dyDescent="0.3">
      <c r="C3173" s="3"/>
      <c r="D3173" s="3"/>
      <c r="E3173" s="3"/>
      <c r="F3173" s="3"/>
    </row>
    <row r="3174" spans="3:6" x14ac:dyDescent="0.3">
      <c r="C3174" s="3"/>
      <c r="D3174" s="3"/>
      <c r="E3174" s="3"/>
      <c r="F3174" s="3"/>
    </row>
    <row r="3175" spans="3:6" x14ac:dyDescent="0.3">
      <c r="C3175" s="3"/>
      <c r="D3175" s="3"/>
      <c r="E3175" s="3"/>
      <c r="F3175" s="3"/>
    </row>
    <row r="3176" spans="3:6" x14ac:dyDescent="0.3">
      <c r="C3176" s="3"/>
      <c r="D3176" s="3"/>
      <c r="E3176" s="3"/>
      <c r="F3176" s="3"/>
    </row>
    <row r="3177" spans="3:6" x14ac:dyDescent="0.3">
      <c r="C3177" s="3"/>
      <c r="D3177" s="3"/>
      <c r="E3177" s="3"/>
      <c r="F3177" s="3"/>
    </row>
    <row r="3178" spans="3:6" x14ac:dyDescent="0.3">
      <c r="C3178" s="3"/>
      <c r="D3178" s="3"/>
      <c r="E3178" s="3"/>
      <c r="F3178" s="3"/>
    </row>
    <row r="3179" spans="3:6" x14ac:dyDescent="0.3">
      <c r="C3179" s="3"/>
      <c r="D3179" s="3"/>
      <c r="E3179" s="3"/>
      <c r="F3179" s="3"/>
    </row>
    <row r="3180" spans="3:6" x14ac:dyDescent="0.3">
      <c r="C3180" s="3"/>
      <c r="D3180" s="3"/>
      <c r="E3180" s="3"/>
      <c r="F3180" s="3"/>
    </row>
    <row r="3181" spans="3:6" x14ac:dyDescent="0.3">
      <c r="C3181" s="3"/>
      <c r="D3181" s="3"/>
      <c r="E3181" s="3"/>
      <c r="F3181" s="3"/>
    </row>
    <row r="3182" spans="3:6" x14ac:dyDescent="0.3">
      <c r="C3182" s="3"/>
      <c r="D3182" s="3"/>
      <c r="E3182" s="3"/>
      <c r="F3182" s="3"/>
    </row>
    <row r="3183" spans="3:6" x14ac:dyDescent="0.3">
      <c r="C3183" s="3"/>
      <c r="D3183" s="3"/>
      <c r="E3183" s="3"/>
      <c r="F3183" s="3"/>
    </row>
    <row r="3184" spans="3:6" x14ac:dyDescent="0.3">
      <c r="C3184" s="3"/>
      <c r="D3184" s="3"/>
      <c r="E3184" s="3"/>
      <c r="F3184" s="3"/>
    </row>
    <row r="3185" spans="3:6" x14ac:dyDescent="0.3">
      <c r="C3185" s="3"/>
      <c r="D3185" s="3"/>
      <c r="E3185" s="3"/>
      <c r="F3185" s="3"/>
    </row>
    <row r="3186" spans="3:6" x14ac:dyDescent="0.3">
      <c r="C3186" s="3"/>
      <c r="D3186" s="3"/>
      <c r="E3186" s="3"/>
      <c r="F3186" s="3"/>
    </row>
    <row r="3187" spans="3:6" x14ac:dyDescent="0.3">
      <c r="C3187" s="3"/>
      <c r="D3187" s="3"/>
      <c r="E3187" s="3"/>
      <c r="F3187" s="3"/>
    </row>
    <row r="3188" spans="3:6" x14ac:dyDescent="0.3">
      <c r="C3188" s="3"/>
      <c r="D3188" s="3"/>
      <c r="E3188" s="3"/>
      <c r="F3188" s="3"/>
    </row>
    <row r="3189" spans="3:6" x14ac:dyDescent="0.3">
      <c r="C3189" s="3"/>
      <c r="D3189" s="3"/>
      <c r="E3189" s="3"/>
      <c r="F3189" s="3"/>
    </row>
    <row r="3190" spans="3:6" x14ac:dyDescent="0.3">
      <c r="C3190" s="3"/>
      <c r="D3190" s="3"/>
      <c r="E3190" s="3"/>
      <c r="F3190" s="3"/>
    </row>
    <row r="3191" spans="3:6" x14ac:dyDescent="0.3">
      <c r="C3191" s="3"/>
      <c r="D3191" s="3"/>
      <c r="E3191" s="3"/>
      <c r="F3191" s="3"/>
    </row>
    <row r="3192" spans="3:6" x14ac:dyDescent="0.3">
      <c r="C3192" s="3"/>
      <c r="D3192" s="3"/>
      <c r="E3192" s="3"/>
      <c r="F3192" s="3"/>
    </row>
    <row r="3193" spans="3:6" x14ac:dyDescent="0.3">
      <c r="C3193" s="3"/>
      <c r="D3193" s="3"/>
      <c r="E3193" s="3"/>
      <c r="F3193" s="3"/>
    </row>
    <row r="3194" spans="3:6" x14ac:dyDescent="0.3">
      <c r="C3194" s="3"/>
      <c r="D3194" s="3"/>
      <c r="E3194" s="3"/>
      <c r="F3194" s="3"/>
    </row>
    <row r="3195" spans="3:6" x14ac:dyDescent="0.3">
      <c r="C3195" s="3"/>
      <c r="D3195" s="3"/>
      <c r="E3195" s="3"/>
      <c r="F3195" s="3"/>
    </row>
    <row r="3196" spans="3:6" x14ac:dyDescent="0.3">
      <c r="C3196" s="3"/>
      <c r="D3196" s="3"/>
      <c r="E3196" s="3"/>
      <c r="F3196" s="3"/>
    </row>
    <row r="3197" spans="3:6" x14ac:dyDescent="0.3">
      <c r="C3197" s="3"/>
      <c r="D3197" s="3"/>
      <c r="E3197" s="3"/>
      <c r="F3197" s="3"/>
    </row>
    <row r="3198" spans="3:6" x14ac:dyDescent="0.3">
      <c r="C3198" s="3"/>
      <c r="D3198" s="3"/>
      <c r="E3198" s="3"/>
      <c r="F3198" s="3"/>
    </row>
    <row r="3199" spans="3:6" x14ac:dyDescent="0.3">
      <c r="C3199" s="3"/>
      <c r="D3199" s="3"/>
      <c r="E3199" s="3"/>
      <c r="F3199" s="3"/>
    </row>
    <row r="3200" spans="3:6" x14ac:dyDescent="0.3">
      <c r="C3200" s="3"/>
      <c r="D3200" s="3"/>
      <c r="E3200" s="3"/>
      <c r="F3200" s="3"/>
    </row>
    <row r="3201" spans="3:6" x14ac:dyDescent="0.3">
      <c r="C3201" s="3"/>
      <c r="D3201" s="3"/>
      <c r="E3201" s="3"/>
      <c r="F3201" s="3"/>
    </row>
    <row r="3202" spans="3:6" x14ac:dyDescent="0.3">
      <c r="C3202" s="3"/>
      <c r="D3202" s="3"/>
      <c r="E3202" s="3"/>
      <c r="F3202" s="3"/>
    </row>
    <row r="3203" spans="3:6" x14ac:dyDescent="0.3">
      <c r="C3203" s="3"/>
      <c r="D3203" s="3"/>
      <c r="E3203" s="3"/>
      <c r="F3203" s="3"/>
    </row>
    <row r="3204" spans="3:6" x14ac:dyDescent="0.3">
      <c r="C3204" s="3"/>
      <c r="D3204" s="3"/>
      <c r="E3204" s="3"/>
      <c r="F3204" s="3"/>
    </row>
    <row r="3205" spans="3:6" x14ac:dyDescent="0.3">
      <c r="C3205" s="3"/>
      <c r="D3205" s="3"/>
      <c r="E3205" s="3"/>
      <c r="F3205" s="3"/>
    </row>
    <row r="3206" spans="3:6" x14ac:dyDescent="0.3">
      <c r="C3206" s="3"/>
      <c r="D3206" s="3"/>
      <c r="E3206" s="3"/>
      <c r="F3206" s="3"/>
    </row>
    <row r="3207" spans="3:6" x14ac:dyDescent="0.3">
      <c r="C3207" s="3"/>
      <c r="D3207" s="3"/>
      <c r="E3207" s="3"/>
      <c r="F3207" s="3"/>
    </row>
    <row r="3208" spans="3:6" x14ac:dyDescent="0.3">
      <c r="C3208" s="3"/>
      <c r="D3208" s="3"/>
      <c r="E3208" s="3"/>
      <c r="F3208" s="3"/>
    </row>
    <row r="3209" spans="3:6" x14ac:dyDescent="0.3">
      <c r="C3209" s="3"/>
      <c r="D3209" s="3"/>
      <c r="E3209" s="3"/>
      <c r="F3209" s="3"/>
    </row>
    <row r="3210" spans="3:6" x14ac:dyDescent="0.3">
      <c r="C3210" s="3"/>
      <c r="D3210" s="3"/>
      <c r="E3210" s="3"/>
      <c r="F3210" s="3"/>
    </row>
    <row r="3211" spans="3:6" x14ac:dyDescent="0.3">
      <c r="C3211" s="3"/>
      <c r="D3211" s="3"/>
      <c r="E3211" s="3"/>
      <c r="F3211" s="3"/>
    </row>
    <row r="3212" spans="3:6" x14ac:dyDescent="0.3">
      <c r="C3212" s="3"/>
      <c r="D3212" s="3"/>
      <c r="E3212" s="3"/>
      <c r="F3212" s="3"/>
    </row>
    <row r="3213" spans="3:6" x14ac:dyDescent="0.3">
      <c r="C3213" s="3"/>
      <c r="D3213" s="3"/>
      <c r="E3213" s="3"/>
      <c r="F3213" s="3"/>
    </row>
    <row r="3214" spans="3:6" x14ac:dyDescent="0.3">
      <c r="C3214" s="3"/>
      <c r="D3214" s="3"/>
      <c r="E3214" s="3"/>
      <c r="F3214" s="3"/>
    </row>
    <row r="3215" spans="3:6" x14ac:dyDescent="0.3">
      <c r="C3215" s="3"/>
      <c r="D3215" s="3"/>
      <c r="E3215" s="3"/>
      <c r="F3215" s="3"/>
    </row>
    <row r="3216" spans="3:6" x14ac:dyDescent="0.3">
      <c r="C3216" s="3"/>
      <c r="D3216" s="3"/>
      <c r="E3216" s="3"/>
      <c r="F3216" s="3"/>
    </row>
    <row r="3217" spans="3:6" x14ac:dyDescent="0.3">
      <c r="C3217" s="3"/>
      <c r="D3217" s="3"/>
      <c r="E3217" s="3"/>
      <c r="F3217" s="3"/>
    </row>
    <row r="3218" spans="3:6" x14ac:dyDescent="0.3">
      <c r="C3218" s="3"/>
      <c r="D3218" s="3"/>
      <c r="E3218" s="3"/>
      <c r="F3218" s="3"/>
    </row>
    <row r="3219" spans="3:6" x14ac:dyDescent="0.3">
      <c r="C3219" s="3"/>
      <c r="D3219" s="3"/>
      <c r="E3219" s="3"/>
      <c r="F3219" s="3"/>
    </row>
    <row r="3220" spans="3:6" x14ac:dyDescent="0.3">
      <c r="C3220" s="3"/>
      <c r="D3220" s="3"/>
      <c r="E3220" s="3"/>
      <c r="F3220" s="3"/>
    </row>
    <row r="3221" spans="3:6" x14ac:dyDescent="0.3">
      <c r="C3221" s="3"/>
      <c r="D3221" s="3"/>
      <c r="E3221" s="3"/>
      <c r="F3221" s="3"/>
    </row>
    <row r="3222" spans="3:6" x14ac:dyDescent="0.3">
      <c r="C3222" s="3"/>
      <c r="D3222" s="3"/>
      <c r="E3222" s="3"/>
      <c r="F3222" s="3"/>
    </row>
    <row r="3223" spans="3:6" x14ac:dyDescent="0.3">
      <c r="C3223" s="3"/>
      <c r="D3223" s="3"/>
      <c r="E3223" s="3"/>
      <c r="F3223" s="3"/>
    </row>
    <row r="3224" spans="3:6" x14ac:dyDescent="0.3">
      <c r="C3224" s="3"/>
      <c r="D3224" s="3"/>
      <c r="E3224" s="3"/>
      <c r="F3224" s="3"/>
    </row>
    <row r="3225" spans="3:6" x14ac:dyDescent="0.3">
      <c r="C3225" s="3"/>
      <c r="D3225" s="3"/>
      <c r="E3225" s="3"/>
      <c r="F3225" s="3"/>
    </row>
    <row r="3226" spans="3:6" x14ac:dyDescent="0.3">
      <c r="C3226" s="3"/>
      <c r="D3226" s="3"/>
      <c r="E3226" s="3"/>
      <c r="F3226" s="3"/>
    </row>
    <row r="3227" spans="3:6" x14ac:dyDescent="0.3">
      <c r="C3227" s="3"/>
      <c r="D3227" s="3"/>
      <c r="E3227" s="3"/>
      <c r="F3227" s="3"/>
    </row>
    <row r="3228" spans="3:6" x14ac:dyDescent="0.3">
      <c r="C3228" s="3"/>
      <c r="D3228" s="3"/>
      <c r="E3228" s="3"/>
      <c r="F3228" s="3"/>
    </row>
    <row r="3229" spans="3:6" x14ac:dyDescent="0.3">
      <c r="C3229" s="3"/>
      <c r="D3229" s="3"/>
      <c r="E3229" s="3"/>
      <c r="F3229" s="3"/>
    </row>
    <row r="3230" spans="3:6" x14ac:dyDescent="0.3">
      <c r="C3230" s="3"/>
      <c r="D3230" s="3"/>
      <c r="E3230" s="3"/>
      <c r="F3230" s="3"/>
    </row>
    <row r="3231" spans="3:6" x14ac:dyDescent="0.3">
      <c r="C3231" s="3"/>
      <c r="D3231" s="3"/>
      <c r="E3231" s="3"/>
      <c r="F3231" s="3"/>
    </row>
    <row r="3232" spans="3:6" x14ac:dyDescent="0.3">
      <c r="C3232" s="3"/>
      <c r="D3232" s="3"/>
      <c r="E3232" s="3"/>
      <c r="F3232" s="3"/>
    </row>
    <row r="3233" spans="3:6" x14ac:dyDescent="0.3">
      <c r="C3233" s="3"/>
      <c r="D3233" s="3"/>
      <c r="E3233" s="3"/>
      <c r="F3233" s="3"/>
    </row>
    <row r="3234" spans="3:6" x14ac:dyDescent="0.3">
      <c r="C3234" s="3"/>
      <c r="D3234" s="3"/>
      <c r="E3234" s="3"/>
      <c r="F3234" s="3"/>
    </row>
    <row r="3235" spans="3:6" x14ac:dyDescent="0.3">
      <c r="C3235" s="3"/>
      <c r="D3235" s="3"/>
      <c r="E3235" s="3"/>
      <c r="F3235" s="3"/>
    </row>
    <row r="3236" spans="3:6" x14ac:dyDescent="0.3">
      <c r="C3236" s="3"/>
      <c r="D3236" s="3"/>
      <c r="E3236" s="3"/>
      <c r="F3236" s="3"/>
    </row>
    <row r="3237" spans="3:6" x14ac:dyDescent="0.3">
      <c r="C3237" s="3"/>
      <c r="D3237" s="3"/>
      <c r="E3237" s="3"/>
      <c r="F3237" s="3"/>
    </row>
    <row r="3238" spans="3:6" x14ac:dyDescent="0.3">
      <c r="C3238" s="3"/>
      <c r="D3238" s="3"/>
      <c r="E3238" s="3"/>
      <c r="F3238" s="3"/>
    </row>
    <row r="3239" spans="3:6" x14ac:dyDescent="0.3">
      <c r="C3239" s="3"/>
      <c r="D3239" s="3"/>
      <c r="E3239" s="3"/>
      <c r="F3239" s="3"/>
    </row>
    <row r="3240" spans="3:6" x14ac:dyDescent="0.3">
      <c r="C3240" s="3"/>
      <c r="D3240" s="3"/>
      <c r="E3240" s="3"/>
      <c r="F3240" s="3"/>
    </row>
    <row r="3241" spans="3:6" x14ac:dyDescent="0.3">
      <c r="C3241" s="3"/>
      <c r="D3241" s="3"/>
      <c r="E3241" s="3"/>
      <c r="F3241" s="3"/>
    </row>
    <row r="3242" spans="3:6" x14ac:dyDescent="0.3">
      <c r="C3242" s="3"/>
      <c r="D3242" s="3"/>
      <c r="E3242" s="3"/>
      <c r="F3242" s="3"/>
    </row>
    <row r="3243" spans="3:6" x14ac:dyDescent="0.3">
      <c r="C3243" s="3"/>
      <c r="D3243" s="3"/>
      <c r="E3243" s="3"/>
      <c r="F3243" s="3"/>
    </row>
    <row r="3244" spans="3:6" x14ac:dyDescent="0.3">
      <c r="C3244" s="3"/>
      <c r="D3244" s="3"/>
      <c r="E3244" s="3"/>
      <c r="F3244" s="3"/>
    </row>
    <row r="3245" spans="3:6" x14ac:dyDescent="0.3">
      <c r="C3245" s="3"/>
      <c r="D3245" s="3"/>
      <c r="E3245" s="3"/>
      <c r="F3245" s="3"/>
    </row>
    <row r="3246" spans="3:6" x14ac:dyDescent="0.3">
      <c r="C3246" s="3"/>
      <c r="D3246" s="3"/>
      <c r="E3246" s="3"/>
      <c r="F3246" s="3"/>
    </row>
    <row r="3247" spans="3:6" x14ac:dyDescent="0.3">
      <c r="C3247" s="3"/>
      <c r="D3247" s="3"/>
      <c r="E3247" s="3"/>
      <c r="F3247" s="3"/>
    </row>
    <row r="3248" spans="3:6" x14ac:dyDescent="0.3">
      <c r="C3248" s="3"/>
      <c r="D3248" s="3"/>
      <c r="E3248" s="3"/>
      <c r="F3248" s="3"/>
    </row>
    <row r="3249" spans="3:6" x14ac:dyDescent="0.3">
      <c r="C3249" s="3"/>
      <c r="D3249" s="3"/>
      <c r="E3249" s="3"/>
      <c r="F3249" s="3"/>
    </row>
    <row r="3250" spans="3:6" x14ac:dyDescent="0.3">
      <c r="C3250" s="3"/>
      <c r="D3250" s="3"/>
      <c r="E3250" s="3"/>
      <c r="F3250" s="3"/>
    </row>
    <row r="3251" spans="3:6" x14ac:dyDescent="0.3">
      <c r="C3251" s="3"/>
      <c r="D3251" s="3"/>
      <c r="E3251" s="3"/>
      <c r="F3251" s="3"/>
    </row>
    <row r="3252" spans="3:6" x14ac:dyDescent="0.3">
      <c r="C3252" s="3"/>
      <c r="D3252" s="3"/>
      <c r="E3252" s="3"/>
      <c r="F3252" s="3"/>
    </row>
    <row r="3253" spans="3:6" x14ac:dyDescent="0.3">
      <c r="C3253" s="3"/>
      <c r="D3253" s="3"/>
      <c r="E3253" s="3"/>
      <c r="F3253" s="3"/>
    </row>
    <row r="3254" spans="3:6" x14ac:dyDescent="0.3">
      <c r="C3254" s="3"/>
      <c r="D3254" s="3"/>
      <c r="E3254" s="3"/>
      <c r="F3254" s="3"/>
    </row>
    <row r="3255" spans="3:6" x14ac:dyDescent="0.3">
      <c r="C3255" s="3"/>
      <c r="D3255" s="3"/>
      <c r="E3255" s="3"/>
      <c r="F3255" s="3"/>
    </row>
    <row r="3256" spans="3:6" x14ac:dyDescent="0.3">
      <c r="C3256" s="3"/>
      <c r="D3256" s="3"/>
      <c r="E3256" s="3"/>
      <c r="F3256" s="3"/>
    </row>
    <row r="3257" spans="3:6" x14ac:dyDescent="0.3">
      <c r="C3257" s="3"/>
      <c r="D3257" s="3"/>
      <c r="E3257" s="3"/>
      <c r="F3257" s="3"/>
    </row>
    <row r="3258" spans="3:6" x14ac:dyDescent="0.3">
      <c r="C3258" s="3"/>
      <c r="D3258" s="3"/>
      <c r="E3258" s="3"/>
      <c r="F3258" s="3"/>
    </row>
    <row r="3259" spans="3:6" x14ac:dyDescent="0.3">
      <c r="C3259" s="3"/>
      <c r="D3259" s="3"/>
      <c r="E3259" s="3"/>
      <c r="F3259" s="3"/>
    </row>
    <row r="3260" spans="3:6" x14ac:dyDescent="0.3">
      <c r="C3260" s="3"/>
      <c r="D3260" s="3"/>
      <c r="E3260" s="3"/>
      <c r="F3260" s="3"/>
    </row>
    <row r="3261" spans="3:6" x14ac:dyDescent="0.3">
      <c r="C3261" s="3"/>
      <c r="D3261" s="3"/>
      <c r="E3261" s="3"/>
      <c r="F3261" s="3"/>
    </row>
    <row r="3262" spans="3:6" x14ac:dyDescent="0.3">
      <c r="C3262" s="3"/>
      <c r="D3262" s="3"/>
      <c r="E3262" s="3"/>
      <c r="F3262" s="3"/>
    </row>
    <row r="3263" spans="3:6" x14ac:dyDescent="0.3">
      <c r="C3263" s="3"/>
      <c r="D3263" s="3"/>
      <c r="E3263" s="3"/>
      <c r="F3263" s="3"/>
    </row>
    <row r="3264" spans="3:6" x14ac:dyDescent="0.3">
      <c r="C3264" s="3"/>
      <c r="D3264" s="3"/>
      <c r="E3264" s="3"/>
      <c r="F3264" s="3"/>
    </row>
    <row r="3265" spans="3:6" x14ac:dyDescent="0.3">
      <c r="C3265" s="3"/>
      <c r="D3265" s="3"/>
      <c r="E3265" s="3"/>
      <c r="F3265" s="3"/>
    </row>
    <row r="3266" spans="3:6" x14ac:dyDescent="0.3">
      <c r="C3266" s="3"/>
      <c r="D3266" s="3"/>
      <c r="E3266" s="3"/>
      <c r="F3266" s="3"/>
    </row>
    <row r="3267" spans="3:6" x14ac:dyDescent="0.3">
      <c r="C3267" s="3"/>
      <c r="D3267" s="3"/>
      <c r="E3267" s="3"/>
      <c r="F3267" s="3"/>
    </row>
    <row r="3268" spans="3:6" x14ac:dyDescent="0.3">
      <c r="C3268" s="3"/>
      <c r="D3268" s="3"/>
      <c r="E3268" s="3"/>
      <c r="F3268" s="3"/>
    </row>
    <row r="3269" spans="3:6" x14ac:dyDescent="0.3">
      <c r="C3269" s="3"/>
      <c r="D3269" s="3"/>
      <c r="E3269" s="3"/>
      <c r="F3269" s="3"/>
    </row>
    <row r="3270" spans="3:6" x14ac:dyDescent="0.3">
      <c r="C3270" s="3"/>
      <c r="D3270" s="3"/>
      <c r="E3270" s="3"/>
      <c r="F3270" s="3"/>
    </row>
    <row r="3271" spans="3:6" x14ac:dyDescent="0.3">
      <c r="C3271" s="3"/>
      <c r="D3271" s="3"/>
      <c r="E3271" s="3"/>
      <c r="F3271" s="3"/>
    </row>
    <row r="3272" spans="3:6" x14ac:dyDescent="0.3">
      <c r="C3272" s="3"/>
      <c r="D3272" s="3"/>
      <c r="E3272" s="3"/>
      <c r="F3272" s="3"/>
    </row>
    <row r="3273" spans="3:6" x14ac:dyDescent="0.3">
      <c r="C3273" s="3"/>
      <c r="D3273" s="3"/>
      <c r="E3273" s="3"/>
      <c r="F3273" s="3"/>
    </row>
    <row r="3274" spans="3:6" x14ac:dyDescent="0.3">
      <c r="C3274" s="3"/>
      <c r="D3274" s="3"/>
      <c r="E3274" s="3"/>
      <c r="F3274" s="3"/>
    </row>
    <row r="3275" spans="3:6" x14ac:dyDescent="0.3">
      <c r="C3275" s="3"/>
      <c r="D3275" s="3"/>
      <c r="E3275" s="3"/>
      <c r="F3275" s="3"/>
    </row>
    <row r="3276" spans="3:6" x14ac:dyDescent="0.3">
      <c r="C3276" s="3"/>
      <c r="D3276" s="3"/>
      <c r="E3276" s="3"/>
      <c r="F3276" s="3"/>
    </row>
    <row r="3277" spans="3:6" x14ac:dyDescent="0.3">
      <c r="C3277" s="3"/>
      <c r="D3277" s="3"/>
      <c r="E3277" s="3"/>
      <c r="F3277" s="3"/>
    </row>
    <row r="3278" spans="3:6" x14ac:dyDescent="0.3">
      <c r="C3278" s="3"/>
      <c r="D3278" s="3"/>
      <c r="E3278" s="3"/>
      <c r="F3278" s="3"/>
    </row>
    <row r="3279" spans="3:6" x14ac:dyDescent="0.3">
      <c r="C3279" s="3"/>
      <c r="D3279" s="3"/>
      <c r="E3279" s="3"/>
      <c r="F3279" s="3"/>
    </row>
    <row r="3280" spans="3:6" x14ac:dyDescent="0.3">
      <c r="C3280" s="3"/>
      <c r="D3280" s="3"/>
      <c r="E3280" s="3"/>
      <c r="F3280" s="3"/>
    </row>
    <row r="3281" spans="3:6" x14ac:dyDescent="0.3">
      <c r="C3281" s="3"/>
      <c r="D3281" s="3"/>
      <c r="E3281" s="3"/>
      <c r="F3281" s="3"/>
    </row>
    <row r="3282" spans="3:6" x14ac:dyDescent="0.3">
      <c r="C3282" s="3"/>
      <c r="D3282" s="3"/>
      <c r="E3282" s="3"/>
      <c r="F3282" s="3"/>
    </row>
    <row r="3283" spans="3:6" x14ac:dyDescent="0.3">
      <c r="C3283" s="3"/>
      <c r="D3283" s="3"/>
      <c r="E3283" s="3"/>
      <c r="F3283" s="3"/>
    </row>
    <row r="3284" spans="3:6" x14ac:dyDescent="0.3">
      <c r="C3284" s="3"/>
      <c r="D3284" s="3"/>
      <c r="E3284" s="3"/>
      <c r="F3284" s="3"/>
    </row>
    <row r="3285" spans="3:6" x14ac:dyDescent="0.3">
      <c r="C3285" s="3"/>
      <c r="D3285" s="3"/>
      <c r="E3285" s="3"/>
      <c r="F3285" s="3"/>
    </row>
    <row r="3286" spans="3:6" x14ac:dyDescent="0.3">
      <c r="C3286" s="3"/>
      <c r="D3286" s="3"/>
      <c r="E3286" s="3"/>
      <c r="F3286" s="3"/>
    </row>
    <row r="3287" spans="3:6" x14ac:dyDescent="0.3">
      <c r="C3287" s="3"/>
      <c r="D3287" s="3"/>
      <c r="E3287" s="3"/>
      <c r="F3287" s="3"/>
    </row>
    <row r="3288" spans="3:6" x14ac:dyDescent="0.3">
      <c r="C3288" s="3"/>
      <c r="D3288" s="3"/>
      <c r="E3288" s="3"/>
      <c r="F3288" s="3"/>
    </row>
    <row r="3289" spans="3:6" x14ac:dyDescent="0.3">
      <c r="C3289" s="3"/>
      <c r="D3289" s="3"/>
      <c r="E3289" s="3"/>
      <c r="F3289" s="3"/>
    </row>
    <row r="3290" spans="3:6" x14ac:dyDescent="0.3">
      <c r="C3290" s="3"/>
      <c r="D3290" s="3"/>
      <c r="E3290" s="3"/>
      <c r="F3290" s="3"/>
    </row>
    <row r="3291" spans="3:6" x14ac:dyDescent="0.3">
      <c r="C3291" s="3"/>
      <c r="D3291" s="3"/>
      <c r="E3291" s="3"/>
      <c r="F3291" s="3"/>
    </row>
    <row r="3292" spans="3:6" x14ac:dyDescent="0.3">
      <c r="C3292" s="3"/>
      <c r="D3292" s="3"/>
      <c r="E3292" s="3"/>
      <c r="F3292" s="3"/>
    </row>
    <row r="3293" spans="3:6" x14ac:dyDescent="0.3">
      <c r="C3293" s="3"/>
      <c r="D3293" s="3"/>
      <c r="E3293" s="3"/>
      <c r="F3293" s="3"/>
    </row>
    <row r="3294" spans="3:6" x14ac:dyDescent="0.3">
      <c r="C3294" s="3"/>
      <c r="D3294" s="3"/>
      <c r="E3294" s="3"/>
      <c r="F3294" s="3"/>
    </row>
    <row r="3295" spans="3:6" x14ac:dyDescent="0.3">
      <c r="C3295" s="3"/>
      <c r="D3295" s="3"/>
      <c r="E3295" s="3"/>
      <c r="F3295" s="3"/>
    </row>
    <row r="3296" spans="3:6" x14ac:dyDescent="0.3">
      <c r="C3296" s="3"/>
      <c r="D3296" s="3"/>
      <c r="E3296" s="3"/>
      <c r="F3296" s="3"/>
    </row>
    <row r="3297" spans="3:6" x14ac:dyDescent="0.3">
      <c r="C3297" s="3"/>
      <c r="D3297" s="3"/>
      <c r="E3297" s="3"/>
      <c r="F3297" s="3"/>
    </row>
    <row r="3298" spans="3:6" x14ac:dyDescent="0.3">
      <c r="C3298" s="3"/>
      <c r="D3298" s="3"/>
      <c r="E3298" s="3"/>
      <c r="F3298" s="3"/>
    </row>
    <row r="3299" spans="3:6" x14ac:dyDescent="0.3">
      <c r="C3299" s="3"/>
      <c r="D3299" s="3"/>
      <c r="E3299" s="3"/>
      <c r="F3299" s="3"/>
    </row>
    <row r="3300" spans="3:6" x14ac:dyDescent="0.3">
      <c r="C3300" s="3"/>
      <c r="D3300" s="3"/>
      <c r="E3300" s="3"/>
      <c r="F3300" s="3"/>
    </row>
    <row r="3301" spans="3:6" x14ac:dyDescent="0.3">
      <c r="C3301" s="3"/>
      <c r="D3301" s="3"/>
      <c r="E3301" s="3"/>
      <c r="F3301" s="3"/>
    </row>
    <row r="3302" spans="3:6" x14ac:dyDescent="0.3">
      <c r="C3302" s="3"/>
      <c r="D3302" s="3"/>
      <c r="E3302" s="3"/>
      <c r="F3302" s="3"/>
    </row>
    <row r="3303" spans="3:6" x14ac:dyDescent="0.3">
      <c r="C3303" s="3"/>
      <c r="D3303" s="3"/>
      <c r="E3303" s="3"/>
      <c r="F3303" s="3"/>
    </row>
    <row r="3304" spans="3:6" x14ac:dyDescent="0.3">
      <c r="C3304" s="3"/>
      <c r="D3304" s="3"/>
      <c r="E3304" s="3"/>
      <c r="F3304" s="3"/>
    </row>
    <row r="3305" spans="3:6" x14ac:dyDescent="0.3">
      <c r="C3305" s="3"/>
      <c r="D3305" s="3"/>
      <c r="E3305" s="3"/>
      <c r="F3305" s="3"/>
    </row>
    <row r="3306" spans="3:6" x14ac:dyDescent="0.3">
      <c r="C3306" s="3"/>
      <c r="D3306" s="3"/>
      <c r="E3306" s="3"/>
      <c r="F3306" s="3"/>
    </row>
    <row r="3307" spans="3:6" x14ac:dyDescent="0.3">
      <c r="C3307" s="3"/>
      <c r="D3307" s="3"/>
      <c r="E3307" s="3"/>
      <c r="F3307" s="3"/>
    </row>
    <row r="3308" spans="3:6" x14ac:dyDescent="0.3">
      <c r="C3308" s="3"/>
      <c r="D3308" s="3"/>
      <c r="E3308" s="3"/>
      <c r="F3308" s="3"/>
    </row>
    <row r="3309" spans="3:6" x14ac:dyDescent="0.3">
      <c r="C3309" s="3"/>
      <c r="D3309" s="3"/>
      <c r="E3309" s="3"/>
      <c r="F3309" s="3"/>
    </row>
    <row r="3310" spans="3:6" x14ac:dyDescent="0.3">
      <c r="C3310" s="3"/>
      <c r="D3310" s="3"/>
      <c r="E3310" s="3"/>
      <c r="F3310" s="3"/>
    </row>
    <row r="3311" spans="3:6" x14ac:dyDescent="0.3">
      <c r="C3311" s="3"/>
      <c r="D3311" s="3"/>
      <c r="E3311" s="3"/>
      <c r="F3311" s="3"/>
    </row>
    <row r="3312" spans="3:6" x14ac:dyDescent="0.3">
      <c r="C3312" s="3"/>
      <c r="D3312" s="3"/>
      <c r="E3312" s="3"/>
      <c r="F3312" s="3"/>
    </row>
    <row r="3313" spans="3:6" x14ac:dyDescent="0.3">
      <c r="C3313" s="3"/>
      <c r="D3313" s="3"/>
      <c r="E3313" s="3"/>
      <c r="F3313" s="3"/>
    </row>
    <row r="3314" spans="3:6" x14ac:dyDescent="0.3">
      <c r="C3314" s="3"/>
      <c r="D3314" s="3"/>
      <c r="E3314" s="3"/>
      <c r="F3314" s="3"/>
    </row>
    <row r="3315" spans="3:6" x14ac:dyDescent="0.3">
      <c r="C3315" s="3"/>
      <c r="D3315" s="3"/>
      <c r="E3315" s="3"/>
      <c r="F3315" s="3"/>
    </row>
    <row r="3316" spans="3:6" x14ac:dyDescent="0.3">
      <c r="C3316" s="3"/>
      <c r="D3316" s="3"/>
      <c r="E3316" s="3"/>
      <c r="F3316" s="3"/>
    </row>
    <row r="3317" spans="3:6" x14ac:dyDescent="0.3">
      <c r="C3317" s="3"/>
      <c r="D3317" s="3"/>
      <c r="E3317" s="3"/>
      <c r="F3317" s="3"/>
    </row>
    <row r="3318" spans="3:6" x14ac:dyDescent="0.3">
      <c r="C3318" s="3"/>
      <c r="D3318" s="3"/>
      <c r="E3318" s="3"/>
      <c r="F3318" s="3"/>
    </row>
    <row r="3319" spans="3:6" x14ac:dyDescent="0.3">
      <c r="C3319" s="3"/>
      <c r="D3319" s="3"/>
      <c r="E3319" s="3"/>
      <c r="F3319" s="3"/>
    </row>
    <row r="3320" spans="3:6" x14ac:dyDescent="0.3">
      <c r="C3320" s="3"/>
      <c r="D3320" s="3"/>
      <c r="E3320" s="3"/>
      <c r="F3320" s="3"/>
    </row>
    <row r="3321" spans="3:6" x14ac:dyDescent="0.3">
      <c r="C3321" s="3"/>
      <c r="D3321" s="3"/>
      <c r="E3321" s="3"/>
      <c r="F3321" s="3"/>
    </row>
    <row r="3322" spans="3:6" x14ac:dyDescent="0.3">
      <c r="C3322" s="3"/>
      <c r="D3322" s="3"/>
      <c r="E3322" s="3"/>
      <c r="F3322" s="3"/>
    </row>
    <row r="3323" spans="3:6" x14ac:dyDescent="0.3">
      <c r="C3323" s="3"/>
      <c r="D3323" s="3"/>
      <c r="E3323" s="3"/>
      <c r="F3323" s="3"/>
    </row>
    <row r="3324" spans="3:6" x14ac:dyDescent="0.3">
      <c r="C3324" s="3"/>
      <c r="D3324" s="3"/>
      <c r="E3324" s="3"/>
      <c r="F3324" s="3"/>
    </row>
    <row r="3325" spans="3:6" x14ac:dyDescent="0.3">
      <c r="C3325" s="3"/>
      <c r="D3325" s="3"/>
      <c r="E3325" s="3"/>
      <c r="F3325" s="3"/>
    </row>
    <row r="3326" spans="3:6" x14ac:dyDescent="0.3">
      <c r="C3326" s="3"/>
      <c r="D3326" s="3"/>
      <c r="E3326" s="3"/>
      <c r="F3326" s="3"/>
    </row>
    <row r="3327" spans="3:6" x14ac:dyDescent="0.3">
      <c r="C3327" s="3"/>
      <c r="D3327" s="3"/>
      <c r="E3327" s="3"/>
      <c r="F3327" s="3"/>
    </row>
    <row r="3328" spans="3:6" x14ac:dyDescent="0.3">
      <c r="C3328" s="3"/>
      <c r="D3328" s="3"/>
      <c r="E3328" s="3"/>
      <c r="F3328" s="3"/>
    </row>
    <row r="3329" spans="3:6" x14ac:dyDescent="0.3">
      <c r="C3329" s="3"/>
      <c r="D3329" s="3"/>
      <c r="E3329" s="3"/>
      <c r="F3329" s="3"/>
    </row>
    <row r="3330" spans="3:6" x14ac:dyDescent="0.3">
      <c r="C3330" s="3"/>
      <c r="D3330" s="3"/>
      <c r="E3330" s="3"/>
      <c r="F3330" s="3"/>
    </row>
    <row r="3331" spans="3:6" x14ac:dyDescent="0.3">
      <c r="C3331" s="3"/>
      <c r="D3331" s="3"/>
      <c r="E3331" s="3"/>
      <c r="F3331" s="3"/>
    </row>
    <row r="3332" spans="3:6" x14ac:dyDescent="0.3">
      <c r="C3332" s="3"/>
      <c r="D3332" s="3"/>
      <c r="E3332" s="3"/>
      <c r="F3332" s="3"/>
    </row>
    <row r="3333" spans="3:6" x14ac:dyDescent="0.3">
      <c r="C3333" s="3"/>
      <c r="D3333" s="3"/>
      <c r="E3333" s="3"/>
      <c r="F3333" s="3"/>
    </row>
    <row r="3334" spans="3:6" x14ac:dyDescent="0.3">
      <c r="C3334" s="3"/>
      <c r="D3334" s="3"/>
      <c r="E3334" s="3"/>
      <c r="F3334" s="3"/>
    </row>
    <row r="3335" spans="3:6" x14ac:dyDescent="0.3">
      <c r="C3335" s="3"/>
      <c r="D3335" s="3"/>
      <c r="E3335" s="3"/>
      <c r="F3335" s="3"/>
    </row>
    <row r="3336" spans="3:6" x14ac:dyDescent="0.3">
      <c r="C3336" s="3"/>
      <c r="D3336" s="3"/>
      <c r="E3336" s="3"/>
      <c r="F3336" s="3"/>
    </row>
    <row r="3337" spans="3:6" x14ac:dyDescent="0.3">
      <c r="C3337" s="3"/>
      <c r="D3337" s="3"/>
      <c r="E3337" s="3"/>
      <c r="F3337" s="3"/>
    </row>
    <row r="3338" spans="3:6" x14ac:dyDescent="0.3">
      <c r="C3338" s="3"/>
      <c r="D3338" s="3"/>
      <c r="E3338" s="3"/>
      <c r="F3338" s="3"/>
    </row>
    <row r="3339" spans="3:6" x14ac:dyDescent="0.3">
      <c r="C3339" s="3"/>
      <c r="D3339" s="3"/>
      <c r="E3339" s="3"/>
      <c r="F3339" s="3"/>
    </row>
    <row r="3340" spans="3:6" x14ac:dyDescent="0.3">
      <c r="C3340" s="3"/>
      <c r="D3340" s="3"/>
      <c r="E3340" s="3"/>
      <c r="F3340" s="3"/>
    </row>
    <row r="3341" spans="3:6" x14ac:dyDescent="0.3">
      <c r="C3341" s="3"/>
      <c r="D3341" s="3"/>
      <c r="E3341" s="3"/>
      <c r="F3341" s="3"/>
    </row>
    <row r="3342" spans="3:6" x14ac:dyDescent="0.3">
      <c r="C3342" s="3"/>
      <c r="D3342" s="3"/>
      <c r="E3342" s="3"/>
      <c r="F3342" s="3"/>
    </row>
    <row r="3343" spans="3:6" x14ac:dyDescent="0.3">
      <c r="C3343" s="3"/>
      <c r="D3343" s="3"/>
      <c r="E3343" s="3"/>
      <c r="F3343" s="3"/>
    </row>
    <row r="3344" spans="3:6" x14ac:dyDescent="0.3">
      <c r="C3344" s="3"/>
      <c r="D3344" s="3"/>
      <c r="E3344" s="3"/>
      <c r="F3344" s="3"/>
    </row>
    <row r="3345" spans="3:6" x14ac:dyDescent="0.3">
      <c r="C3345" s="3"/>
      <c r="D3345" s="3"/>
      <c r="E3345" s="3"/>
      <c r="F3345" s="3"/>
    </row>
    <row r="3346" spans="3:6" x14ac:dyDescent="0.3">
      <c r="C3346" s="3"/>
      <c r="D3346" s="3"/>
      <c r="E3346" s="3"/>
      <c r="F3346" s="3"/>
    </row>
    <row r="3347" spans="3:6" x14ac:dyDescent="0.3">
      <c r="C3347" s="3"/>
      <c r="D3347" s="3"/>
      <c r="E3347" s="3"/>
      <c r="F3347" s="3"/>
    </row>
    <row r="3348" spans="3:6" x14ac:dyDescent="0.3">
      <c r="C3348" s="3"/>
      <c r="D3348" s="3"/>
      <c r="E3348" s="3"/>
      <c r="F3348" s="3"/>
    </row>
    <row r="3349" spans="3:6" x14ac:dyDescent="0.3">
      <c r="C3349" s="3"/>
      <c r="D3349" s="3"/>
      <c r="E3349" s="3"/>
      <c r="F3349" s="3"/>
    </row>
    <row r="3350" spans="3:6" x14ac:dyDescent="0.3">
      <c r="C3350" s="3"/>
      <c r="D3350" s="3"/>
      <c r="E3350" s="3"/>
      <c r="F3350" s="3"/>
    </row>
    <row r="3351" spans="3:6" x14ac:dyDescent="0.3">
      <c r="C3351" s="3"/>
      <c r="D3351" s="3"/>
      <c r="E3351" s="3"/>
      <c r="F3351" s="3"/>
    </row>
    <row r="3352" spans="3:6" x14ac:dyDescent="0.3">
      <c r="C3352" s="3"/>
      <c r="D3352" s="3"/>
      <c r="E3352" s="3"/>
      <c r="F3352" s="3"/>
    </row>
    <row r="3353" spans="3:6" x14ac:dyDescent="0.3">
      <c r="C3353" s="3"/>
      <c r="D3353" s="3"/>
      <c r="E3353" s="3"/>
      <c r="F3353" s="3"/>
    </row>
    <row r="3354" spans="3:6" x14ac:dyDescent="0.3">
      <c r="C3354" s="3"/>
      <c r="D3354" s="3"/>
      <c r="E3354" s="3"/>
      <c r="F3354" s="3"/>
    </row>
    <row r="3355" spans="3:6" x14ac:dyDescent="0.3">
      <c r="C3355" s="3"/>
      <c r="D3355" s="3"/>
      <c r="E3355" s="3"/>
      <c r="F3355" s="3"/>
    </row>
    <row r="3356" spans="3:6" x14ac:dyDescent="0.3">
      <c r="C3356" s="3"/>
      <c r="D3356" s="3"/>
      <c r="E3356" s="3"/>
      <c r="F3356" s="3"/>
    </row>
    <row r="3357" spans="3:6" x14ac:dyDescent="0.3">
      <c r="C3357" s="3"/>
      <c r="D3357" s="3"/>
      <c r="E3357" s="3"/>
      <c r="F3357" s="3"/>
    </row>
    <row r="3358" spans="3:6" x14ac:dyDescent="0.3">
      <c r="C3358" s="3"/>
      <c r="D3358" s="3"/>
      <c r="E3358" s="3"/>
      <c r="F3358" s="3"/>
    </row>
    <row r="3359" spans="3:6" x14ac:dyDescent="0.3">
      <c r="C3359" s="3"/>
      <c r="D3359" s="3"/>
      <c r="E3359" s="3"/>
      <c r="F3359" s="3"/>
    </row>
    <row r="3360" spans="3:6" x14ac:dyDescent="0.3">
      <c r="C3360" s="3"/>
      <c r="D3360" s="3"/>
      <c r="E3360" s="3"/>
      <c r="F3360" s="3"/>
    </row>
    <row r="3361" spans="3:6" x14ac:dyDescent="0.3">
      <c r="C3361" s="3"/>
      <c r="D3361" s="3"/>
      <c r="E3361" s="3"/>
      <c r="F3361" s="3"/>
    </row>
    <row r="3362" spans="3:6" x14ac:dyDescent="0.3">
      <c r="C3362" s="3"/>
      <c r="D3362" s="3"/>
      <c r="E3362" s="3"/>
      <c r="F3362" s="3"/>
    </row>
    <row r="3363" spans="3:6" x14ac:dyDescent="0.3">
      <c r="C3363" s="3"/>
      <c r="D3363" s="3"/>
      <c r="E3363" s="3"/>
      <c r="F3363" s="3"/>
    </row>
    <row r="3364" spans="3:6" x14ac:dyDescent="0.3">
      <c r="C3364" s="3"/>
      <c r="D3364" s="3"/>
      <c r="E3364" s="3"/>
      <c r="F3364" s="3"/>
    </row>
    <row r="3365" spans="3:6" x14ac:dyDescent="0.3">
      <c r="C3365" s="3"/>
      <c r="D3365" s="3"/>
      <c r="E3365" s="3"/>
      <c r="F3365" s="3"/>
    </row>
    <row r="3366" spans="3:6" x14ac:dyDescent="0.3">
      <c r="C3366" s="3"/>
      <c r="D3366" s="3"/>
      <c r="E3366" s="3"/>
      <c r="F3366" s="3"/>
    </row>
    <row r="3367" spans="3:6" x14ac:dyDescent="0.3">
      <c r="C3367" s="3"/>
      <c r="D3367" s="3"/>
      <c r="E3367" s="3"/>
      <c r="F3367" s="3"/>
    </row>
    <row r="3368" spans="3:6" x14ac:dyDescent="0.3">
      <c r="C3368" s="3"/>
      <c r="D3368" s="3"/>
      <c r="E3368" s="3"/>
      <c r="F3368" s="3"/>
    </row>
    <row r="3369" spans="3:6" x14ac:dyDescent="0.3">
      <c r="C3369" s="3"/>
      <c r="D3369" s="3"/>
      <c r="E3369" s="3"/>
      <c r="F3369" s="3"/>
    </row>
    <row r="3370" spans="3:6" x14ac:dyDescent="0.3">
      <c r="C3370" s="3"/>
      <c r="D3370" s="3"/>
      <c r="E3370" s="3"/>
      <c r="F3370" s="3"/>
    </row>
    <row r="3371" spans="3:6" x14ac:dyDescent="0.3">
      <c r="C3371" s="3"/>
      <c r="D3371" s="3"/>
      <c r="E3371" s="3"/>
      <c r="F3371" s="3"/>
    </row>
    <row r="3372" spans="3:6" x14ac:dyDescent="0.3">
      <c r="C3372" s="3"/>
      <c r="D3372" s="3"/>
      <c r="E3372" s="3"/>
      <c r="F3372" s="3"/>
    </row>
    <row r="3373" spans="3:6" x14ac:dyDescent="0.3">
      <c r="C3373" s="3"/>
      <c r="D3373" s="3"/>
      <c r="E3373" s="3"/>
      <c r="F3373" s="3"/>
    </row>
    <row r="3374" spans="3:6" x14ac:dyDescent="0.3">
      <c r="C3374" s="3"/>
      <c r="D3374" s="3"/>
      <c r="E3374" s="3"/>
      <c r="F3374" s="3"/>
    </row>
    <row r="3375" spans="3:6" x14ac:dyDescent="0.3">
      <c r="C3375" s="3"/>
      <c r="D3375" s="3"/>
      <c r="E3375" s="3"/>
      <c r="F3375" s="3"/>
    </row>
    <row r="3376" spans="3:6" x14ac:dyDescent="0.3">
      <c r="C3376" s="3"/>
      <c r="D3376" s="3"/>
      <c r="E3376" s="3"/>
      <c r="F3376" s="3"/>
    </row>
    <row r="3377" spans="3:6" x14ac:dyDescent="0.3">
      <c r="C3377" s="3"/>
      <c r="D3377" s="3"/>
      <c r="E3377" s="3"/>
      <c r="F3377" s="3"/>
    </row>
    <row r="3378" spans="3:6" x14ac:dyDescent="0.3">
      <c r="C3378" s="3"/>
      <c r="D3378" s="3"/>
      <c r="E3378" s="3"/>
      <c r="F3378" s="3"/>
    </row>
    <row r="3379" spans="3:6" x14ac:dyDescent="0.3">
      <c r="C3379" s="3"/>
      <c r="D3379" s="3"/>
      <c r="E3379" s="3"/>
      <c r="F3379" s="3"/>
    </row>
    <row r="3380" spans="3:6" x14ac:dyDescent="0.3">
      <c r="C3380" s="3"/>
      <c r="D3380" s="3"/>
      <c r="E3380" s="3"/>
      <c r="F3380" s="3"/>
    </row>
    <row r="3381" spans="3:6" x14ac:dyDescent="0.3">
      <c r="C3381" s="3"/>
      <c r="D3381" s="3"/>
      <c r="E3381" s="3"/>
      <c r="F3381" s="3"/>
    </row>
    <row r="3382" spans="3:6" x14ac:dyDescent="0.3">
      <c r="C3382" s="3"/>
      <c r="D3382" s="3"/>
      <c r="E3382" s="3"/>
      <c r="F3382" s="3"/>
    </row>
    <row r="3383" spans="3:6" x14ac:dyDescent="0.3">
      <c r="C3383" s="3"/>
      <c r="D3383" s="3"/>
      <c r="E3383" s="3"/>
      <c r="F3383" s="3"/>
    </row>
    <row r="3384" spans="3:6" x14ac:dyDescent="0.3">
      <c r="C3384" s="3"/>
      <c r="D3384" s="3"/>
      <c r="E3384" s="3"/>
      <c r="F3384" s="3"/>
    </row>
    <row r="3385" spans="3:6" x14ac:dyDescent="0.3">
      <c r="C3385" s="3"/>
      <c r="D3385" s="3"/>
      <c r="E3385" s="3"/>
      <c r="F3385" s="3"/>
    </row>
    <row r="3386" spans="3:6" x14ac:dyDescent="0.3">
      <c r="C3386" s="3"/>
      <c r="D3386" s="3"/>
      <c r="E3386" s="3"/>
      <c r="F3386" s="3"/>
    </row>
    <row r="3387" spans="3:6" x14ac:dyDescent="0.3">
      <c r="C3387" s="3"/>
      <c r="D3387" s="3"/>
      <c r="E3387" s="3"/>
      <c r="F3387" s="3"/>
    </row>
    <row r="3388" spans="3:6" x14ac:dyDescent="0.3">
      <c r="C3388" s="3"/>
      <c r="D3388" s="3"/>
      <c r="E3388" s="3"/>
      <c r="F3388" s="3"/>
    </row>
    <row r="3389" spans="3:6" x14ac:dyDescent="0.3">
      <c r="C3389" s="3"/>
      <c r="D3389" s="3"/>
      <c r="E3389" s="3"/>
      <c r="F3389" s="3"/>
    </row>
    <row r="3390" spans="3:6" x14ac:dyDescent="0.3">
      <c r="C3390" s="3"/>
      <c r="D3390" s="3"/>
      <c r="E3390" s="3"/>
      <c r="F3390" s="3"/>
    </row>
    <row r="3391" spans="3:6" x14ac:dyDescent="0.3">
      <c r="C3391" s="3"/>
      <c r="D3391" s="3"/>
      <c r="E3391" s="3"/>
      <c r="F3391" s="3"/>
    </row>
    <row r="3392" spans="3:6" x14ac:dyDescent="0.3">
      <c r="C3392" s="3"/>
      <c r="D3392" s="3"/>
      <c r="E3392" s="3"/>
      <c r="F3392" s="3"/>
    </row>
    <row r="3393" spans="3:6" x14ac:dyDescent="0.3">
      <c r="C3393" s="3"/>
      <c r="D3393" s="3"/>
      <c r="E3393" s="3"/>
      <c r="F3393" s="3"/>
    </row>
    <row r="3394" spans="3:6" x14ac:dyDescent="0.3">
      <c r="C3394" s="3"/>
      <c r="D3394" s="3"/>
      <c r="E3394" s="3"/>
      <c r="F3394" s="3"/>
    </row>
    <row r="3395" spans="3:6" x14ac:dyDescent="0.3">
      <c r="C3395" s="3"/>
      <c r="D3395" s="3"/>
      <c r="E3395" s="3"/>
      <c r="F3395" s="3"/>
    </row>
    <row r="3396" spans="3:6" x14ac:dyDescent="0.3">
      <c r="C3396" s="3"/>
      <c r="D3396" s="3"/>
      <c r="E3396" s="3"/>
      <c r="F3396" s="3"/>
    </row>
    <row r="3397" spans="3:6" x14ac:dyDescent="0.3">
      <c r="C3397" s="3"/>
      <c r="D3397" s="3"/>
      <c r="E3397" s="3"/>
      <c r="F3397" s="3"/>
    </row>
    <row r="3398" spans="3:6" x14ac:dyDescent="0.3">
      <c r="C3398" s="3"/>
      <c r="D3398" s="3"/>
      <c r="E3398" s="3"/>
      <c r="F3398" s="3"/>
    </row>
    <row r="3399" spans="3:6" x14ac:dyDescent="0.3">
      <c r="C3399" s="3"/>
      <c r="D3399" s="3"/>
      <c r="E3399" s="3"/>
      <c r="F3399" s="3"/>
    </row>
    <row r="3400" spans="3:6" x14ac:dyDescent="0.3">
      <c r="C3400" s="3"/>
      <c r="D3400" s="3"/>
      <c r="E3400" s="3"/>
      <c r="F3400" s="3"/>
    </row>
    <row r="3401" spans="3:6" x14ac:dyDescent="0.3">
      <c r="C3401" s="3"/>
      <c r="D3401" s="3"/>
      <c r="E3401" s="3"/>
      <c r="F3401" s="3"/>
    </row>
    <row r="3402" spans="3:6" x14ac:dyDescent="0.3">
      <c r="C3402" s="3"/>
      <c r="D3402" s="3"/>
      <c r="E3402" s="3"/>
      <c r="F3402" s="3"/>
    </row>
    <row r="3403" spans="3:6" x14ac:dyDescent="0.3">
      <c r="C3403" s="3"/>
      <c r="D3403" s="3"/>
      <c r="E3403" s="3"/>
      <c r="F3403" s="3"/>
    </row>
    <row r="3404" spans="3:6" x14ac:dyDescent="0.3">
      <c r="C3404" s="3"/>
      <c r="D3404" s="3"/>
      <c r="E3404" s="3"/>
      <c r="F3404" s="3"/>
    </row>
    <row r="3405" spans="3:6" x14ac:dyDescent="0.3">
      <c r="C3405" s="3"/>
      <c r="D3405" s="3"/>
      <c r="E3405" s="3"/>
      <c r="F3405" s="3"/>
    </row>
    <row r="3406" spans="3:6" x14ac:dyDescent="0.3">
      <c r="C3406" s="3"/>
      <c r="D3406" s="3"/>
      <c r="E3406" s="3"/>
      <c r="F3406" s="3"/>
    </row>
    <row r="3407" spans="3:6" x14ac:dyDescent="0.3">
      <c r="C3407" s="3"/>
      <c r="D3407" s="3"/>
      <c r="E3407" s="3"/>
      <c r="F3407" s="3"/>
    </row>
    <row r="3408" spans="3:6" x14ac:dyDescent="0.3">
      <c r="C3408" s="3"/>
      <c r="D3408" s="3"/>
      <c r="E3408" s="3"/>
      <c r="F3408" s="3"/>
    </row>
    <row r="3409" spans="3:6" x14ac:dyDescent="0.3">
      <c r="C3409" s="3"/>
      <c r="D3409" s="3"/>
      <c r="E3409" s="3"/>
      <c r="F3409" s="3"/>
    </row>
    <row r="3410" spans="3:6" x14ac:dyDescent="0.3">
      <c r="C3410" s="3"/>
      <c r="D3410" s="3"/>
      <c r="E3410" s="3"/>
      <c r="F3410" s="3"/>
    </row>
    <row r="3411" spans="3:6" x14ac:dyDescent="0.3">
      <c r="C3411" s="3"/>
      <c r="D3411" s="3"/>
      <c r="E3411" s="3"/>
      <c r="F3411" s="3"/>
    </row>
    <row r="3412" spans="3:6" x14ac:dyDescent="0.3">
      <c r="C3412" s="3"/>
      <c r="D3412" s="3"/>
      <c r="E3412" s="3"/>
      <c r="F3412" s="3"/>
    </row>
    <row r="3413" spans="3:6" x14ac:dyDescent="0.3">
      <c r="C3413" s="3"/>
      <c r="D3413" s="3"/>
      <c r="E3413" s="3"/>
      <c r="F3413" s="3"/>
    </row>
    <row r="3414" spans="3:6" x14ac:dyDescent="0.3">
      <c r="C3414" s="3"/>
      <c r="D3414" s="3"/>
      <c r="E3414" s="3"/>
      <c r="F3414" s="3"/>
    </row>
    <row r="3415" spans="3:6" x14ac:dyDescent="0.3">
      <c r="C3415" s="3"/>
      <c r="D3415" s="3"/>
      <c r="E3415" s="3"/>
      <c r="F3415" s="3"/>
    </row>
    <row r="3416" spans="3:6" x14ac:dyDescent="0.3">
      <c r="C3416" s="3"/>
      <c r="D3416" s="3"/>
      <c r="E3416" s="3"/>
      <c r="F3416" s="3"/>
    </row>
    <row r="3417" spans="3:6" x14ac:dyDescent="0.3">
      <c r="C3417" s="3"/>
      <c r="D3417" s="3"/>
      <c r="E3417" s="3"/>
      <c r="F3417" s="3"/>
    </row>
    <row r="3418" spans="3:6" x14ac:dyDescent="0.3">
      <c r="C3418" s="3"/>
      <c r="D3418" s="3"/>
      <c r="E3418" s="3"/>
      <c r="F3418" s="3"/>
    </row>
    <row r="3419" spans="3:6" x14ac:dyDescent="0.3">
      <c r="C3419" s="3"/>
      <c r="D3419" s="3"/>
      <c r="E3419" s="3"/>
      <c r="F3419" s="3"/>
    </row>
    <row r="3420" spans="3:6" x14ac:dyDescent="0.3">
      <c r="C3420" s="3"/>
      <c r="D3420" s="3"/>
      <c r="E3420" s="3"/>
      <c r="F3420" s="3"/>
    </row>
    <row r="3421" spans="3:6" x14ac:dyDescent="0.3">
      <c r="C3421" s="3"/>
      <c r="D3421" s="3"/>
      <c r="E3421" s="3"/>
      <c r="F3421" s="3"/>
    </row>
    <row r="3422" spans="3:6" x14ac:dyDescent="0.3">
      <c r="C3422" s="3"/>
      <c r="D3422" s="3"/>
      <c r="E3422" s="3"/>
      <c r="F3422" s="3"/>
    </row>
    <row r="3423" spans="3:6" x14ac:dyDescent="0.3">
      <c r="C3423" s="3"/>
      <c r="D3423" s="3"/>
      <c r="E3423" s="3"/>
      <c r="F3423" s="3"/>
    </row>
    <row r="3424" spans="3:6" x14ac:dyDescent="0.3">
      <c r="C3424" s="3"/>
      <c r="D3424" s="3"/>
      <c r="E3424" s="3"/>
      <c r="F3424" s="3"/>
    </row>
    <row r="3425" spans="3:6" x14ac:dyDescent="0.3">
      <c r="C3425" s="3"/>
      <c r="D3425" s="3"/>
      <c r="E3425" s="3"/>
      <c r="F3425" s="3"/>
    </row>
    <row r="3426" spans="3:6" x14ac:dyDescent="0.3">
      <c r="C3426" s="3"/>
      <c r="D3426" s="3"/>
      <c r="E3426" s="3"/>
      <c r="F3426" s="3"/>
    </row>
    <row r="3427" spans="3:6" x14ac:dyDescent="0.3">
      <c r="C3427" s="3"/>
      <c r="D3427" s="3"/>
      <c r="E3427" s="3"/>
      <c r="F3427" s="3"/>
    </row>
    <row r="3428" spans="3:6" x14ac:dyDescent="0.3">
      <c r="C3428" s="3"/>
      <c r="D3428" s="3"/>
      <c r="E3428" s="3"/>
      <c r="F3428" s="3"/>
    </row>
    <row r="3429" spans="3:6" x14ac:dyDescent="0.3">
      <c r="C3429" s="3"/>
      <c r="D3429" s="3"/>
      <c r="E3429" s="3"/>
      <c r="F3429" s="3"/>
    </row>
    <row r="3430" spans="3:6" x14ac:dyDescent="0.3">
      <c r="C3430" s="3"/>
      <c r="D3430" s="3"/>
      <c r="E3430" s="3"/>
      <c r="F3430" s="3"/>
    </row>
    <row r="3431" spans="3:6" x14ac:dyDescent="0.3">
      <c r="C3431" s="3"/>
      <c r="D3431" s="3"/>
      <c r="E3431" s="3"/>
      <c r="F3431" s="3"/>
    </row>
    <row r="3432" spans="3:6" x14ac:dyDescent="0.3">
      <c r="C3432" s="3"/>
      <c r="D3432" s="3"/>
      <c r="E3432" s="3"/>
      <c r="F3432" s="3"/>
    </row>
    <row r="3433" spans="3:6" x14ac:dyDescent="0.3">
      <c r="C3433" s="3"/>
      <c r="D3433" s="3"/>
      <c r="E3433" s="3"/>
      <c r="F3433" s="3"/>
    </row>
    <row r="3434" spans="3:6" x14ac:dyDescent="0.3">
      <c r="C3434" s="3"/>
      <c r="D3434" s="3"/>
      <c r="E3434" s="3"/>
      <c r="F3434" s="3"/>
    </row>
    <row r="3435" spans="3:6" x14ac:dyDescent="0.3">
      <c r="C3435" s="3"/>
      <c r="D3435" s="3"/>
      <c r="E3435" s="3"/>
      <c r="F3435" s="3"/>
    </row>
    <row r="3436" spans="3:6" x14ac:dyDescent="0.3">
      <c r="C3436" s="3"/>
      <c r="D3436" s="3"/>
      <c r="E3436" s="3"/>
      <c r="F3436" s="3"/>
    </row>
    <row r="3437" spans="3:6" x14ac:dyDescent="0.3">
      <c r="C3437" s="3"/>
      <c r="D3437" s="3"/>
      <c r="E3437" s="3"/>
      <c r="F3437" s="3"/>
    </row>
    <row r="3438" spans="3:6" x14ac:dyDescent="0.3">
      <c r="C3438" s="3"/>
      <c r="D3438" s="3"/>
      <c r="E3438" s="3"/>
      <c r="F3438" s="3"/>
    </row>
    <row r="3439" spans="3:6" x14ac:dyDescent="0.3">
      <c r="C3439" s="3"/>
      <c r="D3439" s="3"/>
      <c r="E3439" s="3"/>
      <c r="F3439" s="3"/>
    </row>
    <row r="3440" spans="3:6" x14ac:dyDescent="0.3">
      <c r="C3440" s="3"/>
      <c r="D3440" s="3"/>
      <c r="E3440" s="3"/>
      <c r="F3440" s="3"/>
    </row>
    <row r="3441" spans="3:6" x14ac:dyDescent="0.3">
      <c r="C3441" s="3"/>
      <c r="D3441" s="3"/>
      <c r="E3441" s="3"/>
      <c r="F3441" s="3"/>
    </row>
    <row r="3442" spans="3:6" x14ac:dyDescent="0.3">
      <c r="C3442" s="3"/>
      <c r="D3442" s="3"/>
      <c r="E3442" s="3"/>
      <c r="F3442" s="3"/>
    </row>
    <row r="3443" spans="3:6" x14ac:dyDescent="0.3">
      <c r="C3443" s="3"/>
      <c r="D3443" s="3"/>
      <c r="E3443" s="3"/>
      <c r="F3443" s="3"/>
    </row>
    <row r="3444" spans="3:6" x14ac:dyDescent="0.3">
      <c r="C3444" s="3"/>
      <c r="D3444" s="3"/>
      <c r="E3444" s="3"/>
      <c r="F3444" s="3"/>
    </row>
    <row r="3445" spans="3:6" x14ac:dyDescent="0.3">
      <c r="C3445" s="3"/>
      <c r="D3445" s="3"/>
      <c r="E3445" s="3"/>
      <c r="F3445" s="3"/>
    </row>
    <row r="3446" spans="3:6" x14ac:dyDescent="0.3">
      <c r="C3446" s="3"/>
      <c r="D3446" s="3"/>
      <c r="E3446" s="3"/>
      <c r="F3446" s="3"/>
    </row>
    <row r="3447" spans="3:6" x14ac:dyDescent="0.3">
      <c r="C3447" s="3"/>
      <c r="D3447" s="3"/>
      <c r="E3447" s="3"/>
      <c r="F3447" s="3"/>
    </row>
    <row r="3448" spans="3:6" x14ac:dyDescent="0.3">
      <c r="C3448" s="3"/>
      <c r="D3448" s="3"/>
      <c r="E3448" s="3"/>
      <c r="F3448" s="3"/>
    </row>
    <row r="3449" spans="3:6" x14ac:dyDescent="0.3">
      <c r="C3449" s="3"/>
      <c r="D3449" s="3"/>
      <c r="E3449" s="3"/>
      <c r="F3449" s="3"/>
    </row>
    <row r="3450" spans="3:6" x14ac:dyDescent="0.3">
      <c r="C3450" s="3"/>
      <c r="D3450" s="3"/>
      <c r="E3450" s="3"/>
      <c r="F3450" s="3"/>
    </row>
    <row r="3451" spans="3:6" x14ac:dyDescent="0.3">
      <c r="C3451" s="3"/>
      <c r="D3451" s="3"/>
      <c r="E3451" s="3"/>
      <c r="F3451" s="3"/>
    </row>
    <row r="3452" spans="3:6" x14ac:dyDescent="0.3">
      <c r="C3452" s="3"/>
      <c r="D3452" s="3"/>
      <c r="E3452" s="3"/>
      <c r="F3452" s="3"/>
    </row>
    <row r="3453" spans="3:6" x14ac:dyDescent="0.3">
      <c r="C3453" s="3"/>
      <c r="D3453" s="3"/>
      <c r="E3453" s="3"/>
      <c r="F3453" s="3"/>
    </row>
    <row r="3454" spans="3:6" x14ac:dyDescent="0.3">
      <c r="C3454" s="3"/>
      <c r="D3454" s="3"/>
      <c r="E3454" s="3"/>
      <c r="F3454" s="3"/>
    </row>
    <row r="3455" spans="3:6" x14ac:dyDescent="0.3">
      <c r="C3455" s="3"/>
      <c r="D3455" s="3"/>
      <c r="E3455" s="3"/>
      <c r="F3455" s="3"/>
    </row>
    <row r="3456" spans="3:6" x14ac:dyDescent="0.3">
      <c r="C3456" s="3"/>
      <c r="D3456" s="3"/>
      <c r="E3456" s="3"/>
      <c r="F3456" s="3"/>
    </row>
    <row r="3457" spans="3:6" x14ac:dyDescent="0.3">
      <c r="C3457" s="3"/>
      <c r="D3457" s="3"/>
      <c r="E3457" s="3"/>
      <c r="F3457" s="3"/>
    </row>
    <row r="3458" spans="3:6" x14ac:dyDescent="0.3">
      <c r="C3458" s="3"/>
      <c r="D3458" s="3"/>
      <c r="E3458" s="3"/>
      <c r="F3458" s="3"/>
    </row>
    <row r="3459" spans="3:6" x14ac:dyDescent="0.3">
      <c r="C3459" s="3"/>
      <c r="D3459" s="3"/>
      <c r="E3459" s="3"/>
      <c r="F3459" s="3"/>
    </row>
    <row r="3460" spans="3:6" x14ac:dyDescent="0.3">
      <c r="C3460" s="3"/>
      <c r="D3460" s="3"/>
      <c r="E3460" s="3"/>
      <c r="F3460" s="3"/>
    </row>
    <row r="3461" spans="3:6" x14ac:dyDescent="0.3">
      <c r="C3461" s="3"/>
      <c r="D3461" s="3"/>
      <c r="E3461" s="3"/>
      <c r="F3461" s="3"/>
    </row>
    <row r="3462" spans="3:6" x14ac:dyDescent="0.3">
      <c r="C3462" s="3"/>
      <c r="D3462" s="3"/>
      <c r="E3462" s="3"/>
      <c r="F3462" s="3"/>
    </row>
    <row r="3463" spans="3:6" x14ac:dyDescent="0.3">
      <c r="C3463" s="3"/>
      <c r="D3463" s="3"/>
      <c r="E3463" s="3"/>
      <c r="F3463" s="3"/>
    </row>
    <row r="3464" spans="3:6" x14ac:dyDescent="0.3">
      <c r="C3464" s="3"/>
      <c r="D3464" s="3"/>
      <c r="E3464" s="3"/>
      <c r="F3464" s="3"/>
    </row>
    <row r="3465" spans="3:6" x14ac:dyDescent="0.3">
      <c r="C3465" s="3"/>
      <c r="D3465" s="3"/>
      <c r="E3465" s="3"/>
      <c r="F3465" s="3"/>
    </row>
    <row r="3466" spans="3:6" x14ac:dyDescent="0.3">
      <c r="C3466" s="3"/>
      <c r="D3466" s="3"/>
      <c r="E3466" s="3"/>
      <c r="F3466" s="3"/>
    </row>
    <row r="3467" spans="3:6" x14ac:dyDescent="0.3">
      <c r="C3467" s="3"/>
      <c r="D3467" s="3"/>
      <c r="E3467" s="3"/>
      <c r="F3467" s="3"/>
    </row>
    <row r="3468" spans="3:6" x14ac:dyDescent="0.3">
      <c r="C3468" s="3"/>
      <c r="D3468" s="3"/>
      <c r="E3468" s="3"/>
      <c r="F3468" s="3"/>
    </row>
    <row r="3469" spans="3:6" x14ac:dyDescent="0.3">
      <c r="C3469" s="3"/>
      <c r="D3469" s="3"/>
      <c r="E3469" s="3"/>
      <c r="F3469" s="3"/>
    </row>
    <row r="3470" spans="3:6" x14ac:dyDescent="0.3">
      <c r="C3470" s="3"/>
      <c r="D3470" s="3"/>
      <c r="E3470" s="3"/>
      <c r="F3470" s="3"/>
    </row>
    <row r="3471" spans="3:6" x14ac:dyDescent="0.3">
      <c r="C3471" s="3"/>
      <c r="D3471" s="3"/>
      <c r="E3471" s="3"/>
      <c r="F3471" s="3"/>
    </row>
    <row r="3472" spans="3:6" x14ac:dyDescent="0.3">
      <c r="C3472" s="3"/>
      <c r="D3472" s="3"/>
      <c r="E3472" s="3"/>
      <c r="F3472" s="3"/>
    </row>
    <row r="3473" spans="3:6" x14ac:dyDescent="0.3">
      <c r="C3473" s="3"/>
      <c r="D3473" s="3"/>
      <c r="E3473" s="3"/>
      <c r="F3473" s="3"/>
    </row>
    <row r="3474" spans="3:6" x14ac:dyDescent="0.3">
      <c r="C3474" s="3"/>
      <c r="D3474" s="3"/>
      <c r="E3474" s="3"/>
      <c r="F3474" s="3"/>
    </row>
    <row r="3475" spans="3:6" x14ac:dyDescent="0.3">
      <c r="C3475" s="3"/>
      <c r="D3475" s="3"/>
      <c r="E3475" s="3"/>
      <c r="F3475" s="3"/>
    </row>
    <row r="3476" spans="3:6" x14ac:dyDescent="0.3">
      <c r="C3476" s="3"/>
      <c r="D3476" s="3"/>
      <c r="E3476" s="3"/>
      <c r="F3476" s="3"/>
    </row>
    <row r="3477" spans="3:6" x14ac:dyDescent="0.3">
      <c r="C3477" s="3"/>
      <c r="D3477" s="3"/>
      <c r="E3477" s="3"/>
      <c r="F3477" s="3"/>
    </row>
    <row r="3478" spans="3:6" x14ac:dyDescent="0.3">
      <c r="C3478" s="3"/>
      <c r="D3478" s="3"/>
      <c r="E3478" s="3"/>
      <c r="F3478" s="3"/>
    </row>
    <row r="3479" spans="3:6" x14ac:dyDescent="0.3">
      <c r="C3479" s="3"/>
      <c r="D3479" s="3"/>
      <c r="E3479" s="3"/>
      <c r="F3479" s="3"/>
    </row>
    <row r="3480" spans="3:6" x14ac:dyDescent="0.3">
      <c r="C3480" s="3"/>
      <c r="D3480" s="3"/>
      <c r="E3480" s="3"/>
      <c r="F3480" s="3"/>
    </row>
    <row r="3481" spans="3:6" x14ac:dyDescent="0.3">
      <c r="C3481" s="3"/>
      <c r="D3481" s="3"/>
      <c r="E3481" s="3"/>
      <c r="F3481" s="3"/>
    </row>
    <row r="3482" spans="3:6" x14ac:dyDescent="0.3">
      <c r="C3482" s="3"/>
      <c r="D3482" s="3"/>
      <c r="E3482" s="3"/>
      <c r="F3482" s="3"/>
    </row>
    <row r="3483" spans="3:6" x14ac:dyDescent="0.3">
      <c r="C3483" s="3"/>
      <c r="D3483" s="3"/>
      <c r="E3483" s="3"/>
      <c r="F3483" s="3"/>
    </row>
    <row r="3484" spans="3:6" x14ac:dyDescent="0.3">
      <c r="C3484" s="3"/>
      <c r="D3484" s="3"/>
      <c r="E3484" s="3"/>
      <c r="F3484" s="3"/>
    </row>
    <row r="3485" spans="3:6" x14ac:dyDescent="0.3">
      <c r="C3485" s="3"/>
      <c r="D3485" s="3"/>
      <c r="E3485" s="3"/>
      <c r="F3485" s="3"/>
    </row>
    <row r="3486" spans="3:6" x14ac:dyDescent="0.3">
      <c r="C3486" s="3"/>
      <c r="D3486" s="3"/>
      <c r="E3486" s="3"/>
      <c r="F3486" s="3"/>
    </row>
    <row r="3487" spans="3:6" x14ac:dyDescent="0.3">
      <c r="C3487" s="3"/>
      <c r="D3487" s="3"/>
      <c r="E3487" s="3"/>
      <c r="F3487" s="3"/>
    </row>
    <row r="3488" spans="3:6" x14ac:dyDescent="0.3">
      <c r="C3488" s="3"/>
      <c r="D3488" s="3"/>
      <c r="E3488" s="3"/>
      <c r="F3488" s="3"/>
    </row>
    <row r="3489" spans="3:6" x14ac:dyDescent="0.3">
      <c r="C3489" s="3"/>
      <c r="D3489" s="3"/>
      <c r="E3489" s="3"/>
      <c r="F3489" s="3"/>
    </row>
    <row r="3490" spans="3:6" x14ac:dyDescent="0.3">
      <c r="C3490" s="3"/>
      <c r="D3490" s="3"/>
      <c r="E3490" s="3"/>
      <c r="F3490" s="3"/>
    </row>
    <row r="3491" spans="3:6" x14ac:dyDescent="0.3">
      <c r="C3491" s="3"/>
      <c r="D3491" s="3"/>
      <c r="E3491" s="3"/>
      <c r="F3491" s="3"/>
    </row>
    <row r="3492" spans="3:6" x14ac:dyDescent="0.3">
      <c r="C3492" s="3"/>
      <c r="D3492" s="3"/>
      <c r="E3492" s="3"/>
      <c r="F3492" s="3"/>
    </row>
    <row r="3493" spans="3:6" x14ac:dyDescent="0.3">
      <c r="C3493" s="3"/>
      <c r="D3493" s="3"/>
      <c r="E3493" s="3"/>
      <c r="F3493" s="3"/>
    </row>
    <row r="3494" spans="3:6" x14ac:dyDescent="0.3">
      <c r="C3494" s="3"/>
      <c r="D3494" s="3"/>
      <c r="E3494" s="3"/>
      <c r="F3494" s="3"/>
    </row>
    <row r="3495" spans="3:6" x14ac:dyDescent="0.3">
      <c r="C3495" s="3"/>
      <c r="D3495" s="3"/>
      <c r="E3495" s="3"/>
      <c r="F3495" s="3"/>
    </row>
    <row r="3496" spans="3:6" x14ac:dyDescent="0.3">
      <c r="C3496" s="3"/>
      <c r="D3496" s="3"/>
      <c r="E3496" s="3"/>
      <c r="F3496" s="3"/>
    </row>
    <row r="3497" spans="3:6" x14ac:dyDescent="0.3">
      <c r="C3497" s="3"/>
      <c r="D3497" s="3"/>
      <c r="E3497" s="3"/>
      <c r="F3497" s="3"/>
    </row>
    <row r="3498" spans="3:6" x14ac:dyDescent="0.3">
      <c r="C3498" s="3"/>
      <c r="D3498" s="3"/>
      <c r="E3498" s="3"/>
      <c r="F3498" s="3"/>
    </row>
    <row r="3499" spans="3:6" x14ac:dyDescent="0.3">
      <c r="C3499" s="3"/>
      <c r="D3499" s="3"/>
      <c r="E3499" s="3"/>
      <c r="F3499" s="3"/>
    </row>
    <row r="3500" spans="3:6" x14ac:dyDescent="0.3">
      <c r="C3500" s="3"/>
      <c r="D3500" s="3"/>
      <c r="E3500" s="3"/>
      <c r="F3500" s="3"/>
    </row>
    <row r="3501" spans="3:6" x14ac:dyDescent="0.3">
      <c r="C3501" s="3"/>
      <c r="D3501" s="3"/>
      <c r="E3501" s="3"/>
      <c r="F3501" s="3"/>
    </row>
    <row r="3502" spans="3:6" x14ac:dyDescent="0.3">
      <c r="C3502" s="3"/>
      <c r="D3502" s="3"/>
      <c r="E3502" s="3"/>
      <c r="F3502" s="3"/>
    </row>
    <row r="3503" spans="3:6" x14ac:dyDescent="0.3">
      <c r="C3503" s="3"/>
      <c r="D3503" s="3"/>
      <c r="E3503" s="3"/>
      <c r="F3503" s="3"/>
    </row>
    <row r="3504" spans="3:6" x14ac:dyDescent="0.3">
      <c r="C3504" s="3"/>
      <c r="D3504" s="3"/>
      <c r="E3504" s="3"/>
      <c r="F3504" s="3"/>
    </row>
    <row r="3505" spans="3:6" x14ac:dyDescent="0.3">
      <c r="C3505" s="3"/>
      <c r="D3505" s="3"/>
      <c r="E3505" s="3"/>
      <c r="F3505" s="3"/>
    </row>
    <row r="3506" spans="3:6" x14ac:dyDescent="0.3">
      <c r="C3506" s="3"/>
      <c r="D3506" s="3"/>
      <c r="E3506" s="3"/>
      <c r="F3506" s="3"/>
    </row>
    <row r="3507" spans="3:6" x14ac:dyDescent="0.3">
      <c r="C3507" s="3"/>
      <c r="D3507" s="3"/>
      <c r="E3507" s="3"/>
      <c r="F3507" s="3"/>
    </row>
    <row r="3508" spans="3:6" x14ac:dyDescent="0.3">
      <c r="C3508" s="3"/>
      <c r="D3508" s="3"/>
      <c r="E3508" s="3"/>
      <c r="F3508" s="3"/>
    </row>
    <row r="3509" spans="3:6" x14ac:dyDescent="0.3">
      <c r="C3509" s="3"/>
      <c r="D3509" s="3"/>
      <c r="E3509" s="3"/>
      <c r="F3509" s="3"/>
    </row>
    <row r="3510" spans="3:6" x14ac:dyDescent="0.3">
      <c r="C3510" s="3"/>
      <c r="D3510" s="3"/>
      <c r="E3510" s="3"/>
      <c r="F3510" s="3"/>
    </row>
    <row r="3511" spans="3:6" x14ac:dyDescent="0.3">
      <c r="C3511" s="3"/>
      <c r="D3511" s="3"/>
      <c r="E3511" s="3"/>
      <c r="F3511" s="3"/>
    </row>
    <row r="3512" spans="3:6" x14ac:dyDescent="0.3">
      <c r="C3512" s="3"/>
      <c r="D3512" s="3"/>
      <c r="E3512" s="3"/>
      <c r="F3512" s="3"/>
    </row>
    <row r="3513" spans="3:6" x14ac:dyDescent="0.3">
      <c r="C3513" s="3"/>
      <c r="D3513" s="3"/>
      <c r="E3513" s="3"/>
      <c r="F3513" s="3"/>
    </row>
    <row r="3514" spans="3:6" x14ac:dyDescent="0.3">
      <c r="C3514" s="3"/>
      <c r="D3514" s="3"/>
      <c r="E3514" s="3"/>
      <c r="F3514" s="3"/>
    </row>
    <row r="3515" spans="3:6" x14ac:dyDescent="0.3">
      <c r="C3515" s="3"/>
      <c r="D3515" s="3"/>
      <c r="E3515" s="3"/>
      <c r="F3515" s="3"/>
    </row>
    <row r="3516" spans="3:6" x14ac:dyDescent="0.3">
      <c r="C3516" s="3"/>
      <c r="D3516" s="3"/>
      <c r="E3516" s="3"/>
      <c r="F3516" s="3"/>
    </row>
    <row r="3517" spans="3:6" x14ac:dyDescent="0.3">
      <c r="C3517" s="3"/>
      <c r="D3517" s="3"/>
      <c r="E3517" s="3"/>
      <c r="F3517" s="3"/>
    </row>
    <row r="3518" spans="3:6" x14ac:dyDescent="0.3">
      <c r="C3518" s="3"/>
      <c r="D3518" s="3"/>
      <c r="E3518" s="3"/>
      <c r="F3518" s="3"/>
    </row>
    <row r="3519" spans="3:6" x14ac:dyDescent="0.3">
      <c r="C3519" s="3"/>
      <c r="D3519" s="3"/>
      <c r="E3519" s="3"/>
      <c r="F3519" s="3"/>
    </row>
    <row r="3520" spans="3:6" x14ac:dyDescent="0.3">
      <c r="C3520" s="3"/>
      <c r="D3520" s="3"/>
      <c r="E3520" s="3"/>
      <c r="F3520" s="3"/>
    </row>
    <row r="3521" spans="3:6" x14ac:dyDescent="0.3">
      <c r="C3521" s="3"/>
      <c r="D3521" s="3"/>
      <c r="E3521" s="3"/>
      <c r="F3521" s="3"/>
    </row>
    <row r="3522" spans="3:6" x14ac:dyDescent="0.3">
      <c r="C3522" s="3"/>
      <c r="D3522" s="3"/>
      <c r="E3522" s="3"/>
      <c r="F3522" s="3"/>
    </row>
    <row r="3523" spans="3:6" x14ac:dyDescent="0.3">
      <c r="C3523" s="3"/>
      <c r="D3523" s="3"/>
      <c r="E3523" s="3"/>
      <c r="F3523" s="3"/>
    </row>
    <row r="3524" spans="3:6" x14ac:dyDescent="0.3">
      <c r="C3524" s="3"/>
      <c r="D3524" s="3"/>
      <c r="E3524" s="3"/>
      <c r="F3524" s="3"/>
    </row>
    <row r="3525" spans="3:6" x14ac:dyDescent="0.3">
      <c r="C3525" s="3"/>
      <c r="D3525" s="3"/>
      <c r="E3525" s="3"/>
      <c r="F3525" s="3"/>
    </row>
    <row r="3526" spans="3:6" x14ac:dyDescent="0.3">
      <c r="C3526" s="3"/>
      <c r="D3526" s="3"/>
      <c r="E3526" s="3"/>
      <c r="F3526" s="3"/>
    </row>
    <row r="3527" spans="3:6" x14ac:dyDescent="0.3">
      <c r="C3527" s="3"/>
      <c r="D3527" s="3"/>
      <c r="E3527" s="3"/>
      <c r="F3527" s="3"/>
    </row>
    <row r="3528" spans="3:6" x14ac:dyDescent="0.3">
      <c r="C3528" s="3"/>
      <c r="D3528" s="3"/>
      <c r="E3528" s="3"/>
      <c r="F3528" s="3"/>
    </row>
    <row r="3529" spans="3:6" x14ac:dyDescent="0.3">
      <c r="C3529" s="3"/>
      <c r="D3529" s="3"/>
      <c r="E3529" s="3"/>
      <c r="F3529" s="3"/>
    </row>
    <row r="3530" spans="3:6" x14ac:dyDescent="0.3">
      <c r="C3530" s="3"/>
      <c r="D3530" s="3"/>
      <c r="E3530" s="3"/>
      <c r="F3530" s="3"/>
    </row>
    <row r="3531" spans="3:6" x14ac:dyDescent="0.3">
      <c r="C3531" s="3"/>
      <c r="D3531" s="3"/>
      <c r="E3531" s="3"/>
      <c r="F3531" s="3"/>
    </row>
    <row r="3532" spans="3:6" x14ac:dyDescent="0.3">
      <c r="C3532" s="3"/>
      <c r="D3532" s="3"/>
      <c r="E3532" s="3"/>
      <c r="F3532" s="3"/>
    </row>
    <row r="3533" spans="3:6" x14ac:dyDescent="0.3">
      <c r="C3533" s="3"/>
      <c r="D3533" s="3"/>
      <c r="E3533" s="3"/>
      <c r="F3533" s="3"/>
    </row>
    <row r="3534" spans="3:6" x14ac:dyDescent="0.3">
      <c r="C3534" s="3"/>
      <c r="D3534" s="3"/>
      <c r="E3534" s="3"/>
      <c r="F3534" s="3"/>
    </row>
    <row r="3535" spans="3:6" x14ac:dyDescent="0.3">
      <c r="C3535" s="3"/>
      <c r="D3535" s="3"/>
      <c r="E3535" s="3"/>
      <c r="F3535" s="3"/>
    </row>
    <row r="3536" spans="3:6" x14ac:dyDescent="0.3">
      <c r="C3536" s="3"/>
      <c r="D3536" s="3"/>
      <c r="E3536" s="3"/>
      <c r="F3536" s="3"/>
    </row>
    <row r="3537" spans="3:6" x14ac:dyDescent="0.3">
      <c r="C3537" s="3"/>
      <c r="D3537" s="3"/>
      <c r="E3537" s="3"/>
      <c r="F3537" s="3"/>
    </row>
    <row r="3538" spans="3:6" x14ac:dyDescent="0.3">
      <c r="C3538" s="3"/>
      <c r="D3538" s="3"/>
      <c r="E3538" s="3"/>
      <c r="F3538" s="3"/>
    </row>
    <row r="3539" spans="3:6" x14ac:dyDescent="0.3">
      <c r="C3539" s="3"/>
      <c r="D3539" s="3"/>
      <c r="E3539" s="3"/>
      <c r="F3539" s="3"/>
    </row>
    <row r="3540" spans="3:6" x14ac:dyDescent="0.3">
      <c r="C3540" s="3"/>
      <c r="D3540" s="3"/>
      <c r="E3540" s="3"/>
      <c r="F3540" s="3"/>
    </row>
    <row r="3541" spans="3:6" x14ac:dyDescent="0.3">
      <c r="C3541" s="3"/>
      <c r="D3541" s="3"/>
      <c r="E3541" s="3"/>
      <c r="F3541" s="3"/>
    </row>
    <row r="3542" spans="3:6" x14ac:dyDescent="0.3">
      <c r="C3542" s="3"/>
      <c r="D3542" s="3"/>
      <c r="E3542" s="3"/>
      <c r="F3542" s="3"/>
    </row>
    <row r="3543" spans="3:6" x14ac:dyDescent="0.3">
      <c r="C3543" s="3"/>
      <c r="D3543" s="3"/>
      <c r="E3543" s="3"/>
      <c r="F3543" s="3"/>
    </row>
    <row r="3544" spans="3:6" x14ac:dyDescent="0.3">
      <c r="C3544" s="3"/>
      <c r="D3544" s="3"/>
      <c r="E3544" s="3"/>
      <c r="F3544" s="3"/>
    </row>
    <row r="3545" spans="3:6" x14ac:dyDescent="0.3">
      <c r="C3545" s="3"/>
      <c r="D3545" s="3"/>
      <c r="E3545" s="3"/>
      <c r="F3545" s="3"/>
    </row>
    <row r="3546" spans="3:6" x14ac:dyDescent="0.3">
      <c r="C3546" s="3"/>
      <c r="D3546" s="3"/>
      <c r="E3546" s="3"/>
      <c r="F3546" s="3"/>
    </row>
    <row r="3547" spans="3:6" x14ac:dyDescent="0.3">
      <c r="C3547" s="3"/>
      <c r="D3547" s="3"/>
      <c r="E3547" s="3"/>
      <c r="F3547" s="3"/>
    </row>
    <row r="3548" spans="3:6" x14ac:dyDescent="0.3">
      <c r="C3548" s="3"/>
      <c r="D3548" s="3"/>
      <c r="E3548" s="3"/>
      <c r="F3548" s="3"/>
    </row>
    <row r="3549" spans="3:6" x14ac:dyDescent="0.3">
      <c r="C3549" s="3"/>
      <c r="D3549" s="3"/>
      <c r="E3549" s="3"/>
      <c r="F3549" s="3"/>
    </row>
    <row r="3550" spans="3:6" x14ac:dyDescent="0.3">
      <c r="C3550" s="3"/>
      <c r="D3550" s="3"/>
      <c r="E3550" s="3"/>
      <c r="F3550" s="3"/>
    </row>
    <row r="3551" spans="3:6" x14ac:dyDescent="0.3">
      <c r="C3551" s="3"/>
      <c r="D3551" s="3"/>
      <c r="E3551" s="3"/>
      <c r="F3551" s="3"/>
    </row>
    <row r="3552" spans="3:6" x14ac:dyDescent="0.3">
      <c r="C3552" s="3"/>
      <c r="D3552" s="3"/>
      <c r="E3552" s="3"/>
      <c r="F3552" s="3"/>
    </row>
    <row r="3553" spans="3:6" x14ac:dyDescent="0.3">
      <c r="C3553" s="3"/>
      <c r="D3553" s="3"/>
      <c r="E3553" s="3"/>
      <c r="F3553" s="3"/>
    </row>
    <row r="3554" spans="3:6" x14ac:dyDescent="0.3">
      <c r="C3554" s="3"/>
      <c r="D3554" s="3"/>
      <c r="E3554" s="3"/>
      <c r="F3554" s="3"/>
    </row>
    <row r="3555" spans="3:6" x14ac:dyDescent="0.3">
      <c r="C3555" s="3"/>
      <c r="D3555" s="3"/>
      <c r="E3555" s="3"/>
      <c r="F3555" s="3"/>
    </row>
    <row r="3556" spans="3:6" x14ac:dyDescent="0.3">
      <c r="C3556" s="3"/>
      <c r="D3556" s="3"/>
      <c r="E3556" s="3"/>
      <c r="F3556" s="3"/>
    </row>
    <row r="3557" spans="3:6" x14ac:dyDescent="0.3">
      <c r="C3557" s="3"/>
      <c r="D3557" s="3"/>
      <c r="E3557" s="3"/>
      <c r="F3557" s="3"/>
    </row>
    <row r="3558" spans="3:6" x14ac:dyDescent="0.3">
      <c r="C3558" s="3"/>
      <c r="D3558" s="3"/>
      <c r="E3558" s="3"/>
      <c r="F3558" s="3"/>
    </row>
    <row r="3559" spans="3:6" x14ac:dyDescent="0.3">
      <c r="C3559" s="3"/>
      <c r="D3559" s="3"/>
      <c r="E3559" s="3"/>
      <c r="F3559" s="3"/>
    </row>
    <row r="3560" spans="3:6" x14ac:dyDescent="0.3">
      <c r="C3560" s="3"/>
      <c r="D3560" s="3"/>
      <c r="E3560" s="3"/>
      <c r="F3560" s="3"/>
    </row>
    <row r="3561" spans="3:6" x14ac:dyDescent="0.3">
      <c r="C3561" s="3"/>
      <c r="D3561" s="3"/>
      <c r="E3561" s="3"/>
      <c r="F3561" s="3"/>
    </row>
    <row r="3562" spans="3:6" x14ac:dyDescent="0.3">
      <c r="C3562" s="3"/>
      <c r="D3562" s="3"/>
      <c r="E3562" s="3"/>
      <c r="F3562" s="3"/>
    </row>
    <row r="3563" spans="3:6" x14ac:dyDescent="0.3">
      <c r="C3563" s="3"/>
      <c r="D3563" s="3"/>
      <c r="E3563" s="3"/>
      <c r="F3563" s="3"/>
    </row>
    <row r="3564" spans="3:6" x14ac:dyDescent="0.3">
      <c r="C3564" s="3"/>
      <c r="D3564" s="3"/>
      <c r="E3564" s="3"/>
      <c r="F3564" s="3"/>
    </row>
    <row r="3565" spans="3:6" x14ac:dyDescent="0.3">
      <c r="C3565" s="3"/>
      <c r="D3565" s="3"/>
      <c r="E3565" s="3"/>
      <c r="F3565" s="3"/>
    </row>
    <row r="3566" spans="3:6" x14ac:dyDescent="0.3">
      <c r="C3566" s="3"/>
      <c r="D3566" s="3"/>
      <c r="E3566" s="3"/>
      <c r="F3566" s="3"/>
    </row>
    <row r="3567" spans="3:6" x14ac:dyDescent="0.3">
      <c r="C3567" s="3"/>
      <c r="D3567" s="3"/>
      <c r="E3567" s="3"/>
      <c r="F3567" s="3"/>
    </row>
    <row r="3568" spans="3:6" x14ac:dyDescent="0.3">
      <c r="C3568" s="3"/>
      <c r="D3568" s="3"/>
      <c r="E3568" s="3"/>
      <c r="F3568" s="3"/>
    </row>
    <row r="3569" spans="3:6" x14ac:dyDescent="0.3">
      <c r="C3569" s="3"/>
      <c r="D3569" s="3"/>
      <c r="E3569" s="3"/>
      <c r="F3569" s="3"/>
    </row>
    <row r="3570" spans="3:6" x14ac:dyDescent="0.3">
      <c r="C3570" s="3"/>
      <c r="D3570" s="3"/>
      <c r="E3570" s="3"/>
      <c r="F3570" s="3"/>
    </row>
    <row r="3571" spans="3:6" x14ac:dyDescent="0.3">
      <c r="C3571" s="3"/>
      <c r="D3571" s="3"/>
      <c r="E3571" s="3"/>
      <c r="F3571" s="3"/>
    </row>
    <row r="3572" spans="3:6" x14ac:dyDescent="0.3">
      <c r="C3572" s="3"/>
      <c r="D3572" s="3"/>
      <c r="E3572" s="3"/>
      <c r="F3572" s="3"/>
    </row>
    <row r="3573" spans="3:6" x14ac:dyDescent="0.3">
      <c r="C3573" s="3"/>
      <c r="D3573" s="3"/>
      <c r="E3573" s="3"/>
      <c r="F3573" s="3"/>
    </row>
    <row r="3574" spans="3:6" x14ac:dyDescent="0.3">
      <c r="C3574" s="3"/>
      <c r="D3574" s="3"/>
      <c r="E3574" s="3"/>
      <c r="F3574" s="3"/>
    </row>
    <row r="3575" spans="3:6" x14ac:dyDescent="0.3">
      <c r="C3575" s="3"/>
      <c r="D3575" s="3"/>
      <c r="E3575" s="3"/>
      <c r="F3575" s="3"/>
    </row>
    <row r="3576" spans="3:6" x14ac:dyDescent="0.3">
      <c r="C3576" s="3"/>
      <c r="D3576" s="3"/>
      <c r="E3576" s="3"/>
      <c r="F3576" s="3"/>
    </row>
    <row r="3577" spans="3:6" x14ac:dyDescent="0.3">
      <c r="C3577" s="3"/>
      <c r="D3577" s="3"/>
      <c r="E3577" s="3"/>
      <c r="F3577" s="3"/>
    </row>
    <row r="3578" spans="3:6" x14ac:dyDescent="0.3">
      <c r="C3578" s="3"/>
      <c r="D3578" s="3"/>
      <c r="E3578" s="3"/>
      <c r="F3578" s="3"/>
    </row>
    <row r="3579" spans="3:6" x14ac:dyDescent="0.3">
      <c r="C3579" s="3"/>
      <c r="D3579" s="3"/>
      <c r="E3579" s="3"/>
      <c r="F3579" s="3"/>
    </row>
    <row r="3580" spans="3:6" x14ac:dyDescent="0.3">
      <c r="C3580" s="3"/>
      <c r="D3580" s="3"/>
      <c r="E3580" s="3"/>
      <c r="F3580" s="3"/>
    </row>
    <row r="3581" spans="3:6" x14ac:dyDescent="0.3">
      <c r="C3581" s="3"/>
      <c r="D3581" s="3"/>
      <c r="E3581" s="3"/>
      <c r="F3581" s="3"/>
    </row>
    <row r="3582" spans="3:6" x14ac:dyDescent="0.3">
      <c r="C3582" s="3"/>
      <c r="D3582" s="3"/>
      <c r="E3582" s="3"/>
      <c r="F3582" s="3"/>
    </row>
    <row r="3583" spans="3:6" x14ac:dyDescent="0.3">
      <c r="C3583" s="3"/>
      <c r="D3583" s="3"/>
      <c r="E3583" s="3"/>
      <c r="F3583" s="3"/>
    </row>
    <row r="3584" spans="3:6" x14ac:dyDescent="0.3">
      <c r="C3584" s="3"/>
      <c r="D3584" s="3"/>
      <c r="E3584" s="3"/>
      <c r="F3584" s="3"/>
    </row>
    <row r="3585" spans="3:6" x14ac:dyDescent="0.3">
      <c r="C3585" s="3"/>
      <c r="D3585" s="3"/>
      <c r="E3585" s="3"/>
      <c r="F3585" s="3"/>
    </row>
    <row r="3586" spans="3:6" x14ac:dyDescent="0.3">
      <c r="C3586" s="3"/>
      <c r="D3586" s="3"/>
      <c r="E3586" s="3"/>
      <c r="F3586" s="3"/>
    </row>
    <row r="3587" spans="3:6" x14ac:dyDescent="0.3">
      <c r="C3587" s="3"/>
      <c r="D3587" s="3"/>
      <c r="E3587" s="3"/>
      <c r="F3587" s="3"/>
    </row>
    <row r="3588" spans="3:6" x14ac:dyDescent="0.3">
      <c r="C3588" s="3"/>
      <c r="D3588" s="3"/>
      <c r="E3588" s="3"/>
      <c r="F3588" s="3"/>
    </row>
    <row r="3589" spans="3:6" x14ac:dyDescent="0.3">
      <c r="C3589" s="3"/>
      <c r="D3589" s="3"/>
      <c r="E3589" s="3"/>
      <c r="F3589" s="3"/>
    </row>
    <row r="3590" spans="3:6" x14ac:dyDescent="0.3">
      <c r="C3590" s="3"/>
      <c r="D3590" s="3"/>
      <c r="E3590" s="3"/>
      <c r="F3590" s="3"/>
    </row>
    <row r="3591" spans="3:6" x14ac:dyDescent="0.3">
      <c r="C3591" s="3"/>
      <c r="D3591" s="3"/>
      <c r="E3591" s="3"/>
      <c r="F3591" s="3"/>
    </row>
    <row r="3592" spans="3:6" x14ac:dyDescent="0.3">
      <c r="C3592" s="3"/>
      <c r="D3592" s="3"/>
      <c r="E3592" s="3"/>
      <c r="F3592" s="3"/>
    </row>
    <row r="3593" spans="3:6" x14ac:dyDescent="0.3">
      <c r="C3593" s="3"/>
      <c r="D3593" s="3"/>
      <c r="E3593" s="3"/>
      <c r="F3593" s="3"/>
    </row>
    <row r="3594" spans="3:6" x14ac:dyDescent="0.3">
      <c r="C3594" s="3"/>
      <c r="D3594" s="3"/>
      <c r="E3594" s="3"/>
      <c r="F3594" s="3"/>
    </row>
    <row r="3595" spans="3:6" x14ac:dyDescent="0.3">
      <c r="C3595" s="3"/>
      <c r="D3595" s="3"/>
      <c r="E3595" s="3"/>
      <c r="F3595" s="3"/>
    </row>
    <row r="3596" spans="3:6" x14ac:dyDescent="0.3">
      <c r="C3596" s="3"/>
      <c r="D3596" s="3"/>
      <c r="E3596" s="3"/>
      <c r="F3596" s="3"/>
    </row>
    <row r="3597" spans="3:6" x14ac:dyDescent="0.3">
      <c r="C3597" s="3"/>
      <c r="D3597" s="3"/>
      <c r="E3597" s="3"/>
      <c r="F3597" s="3"/>
    </row>
    <row r="3598" spans="3:6" x14ac:dyDescent="0.3">
      <c r="C3598" s="3"/>
      <c r="D3598" s="3"/>
      <c r="E3598" s="3"/>
      <c r="F3598" s="3"/>
    </row>
    <row r="3599" spans="3:6" x14ac:dyDescent="0.3">
      <c r="C3599" s="3"/>
      <c r="D3599" s="3"/>
      <c r="E3599" s="3"/>
      <c r="F3599" s="3"/>
    </row>
    <row r="3600" spans="3:6" x14ac:dyDescent="0.3">
      <c r="C3600" s="3"/>
      <c r="D3600" s="3"/>
      <c r="E3600" s="3"/>
      <c r="F3600" s="3"/>
    </row>
    <row r="3601" spans="3:6" x14ac:dyDescent="0.3">
      <c r="C3601" s="3"/>
      <c r="D3601" s="3"/>
      <c r="E3601" s="3"/>
      <c r="F3601" s="3"/>
    </row>
    <row r="3602" spans="3:6" x14ac:dyDescent="0.3">
      <c r="C3602" s="3"/>
      <c r="D3602" s="3"/>
      <c r="E3602" s="3"/>
      <c r="F3602" s="3"/>
    </row>
    <row r="3603" spans="3:6" x14ac:dyDescent="0.3">
      <c r="C3603" s="3"/>
      <c r="D3603" s="3"/>
      <c r="E3603" s="3"/>
      <c r="F3603" s="3"/>
    </row>
    <row r="3604" spans="3:6" x14ac:dyDescent="0.3">
      <c r="C3604" s="3"/>
      <c r="D3604" s="3"/>
      <c r="E3604" s="3"/>
      <c r="F3604" s="3"/>
    </row>
    <row r="3605" spans="3:6" x14ac:dyDescent="0.3">
      <c r="C3605" s="3"/>
      <c r="D3605" s="3"/>
      <c r="E3605" s="3"/>
      <c r="F3605" s="3"/>
    </row>
    <row r="3606" spans="3:6" x14ac:dyDescent="0.3">
      <c r="C3606" s="3"/>
      <c r="D3606" s="3"/>
      <c r="E3606" s="3"/>
      <c r="F3606" s="3"/>
    </row>
    <row r="3607" spans="3:6" x14ac:dyDescent="0.3">
      <c r="C3607" s="3"/>
      <c r="D3607" s="3"/>
      <c r="E3607" s="3"/>
      <c r="F3607" s="3"/>
    </row>
    <row r="3608" spans="3:6" x14ac:dyDescent="0.3">
      <c r="C3608" s="3"/>
      <c r="D3608" s="3"/>
      <c r="E3608" s="3"/>
      <c r="F3608" s="3"/>
    </row>
    <row r="3609" spans="3:6" x14ac:dyDescent="0.3">
      <c r="C3609" s="3"/>
      <c r="D3609" s="3"/>
      <c r="E3609" s="3"/>
      <c r="F3609" s="3"/>
    </row>
    <row r="3610" spans="3:6" x14ac:dyDescent="0.3">
      <c r="C3610" s="3"/>
      <c r="D3610" s="3"/>
      <c r="E3610" s="3"/>
      <c r="F3610" s="3"/>
    </row>
    <row r="3611" spans="3:6" x14ac:dyDescent="0.3">
      <c r="C3611" s="3"/>
      <c r="D3611" s="3"/>
      <c r="E3611" s="3"/>
      <c r="F3611" s="3"/>
    </row>
    <row r="3612" spans="3:6" x14ac:dyDescent="0.3">
      <c r="C3612" s="3"/>
      <c r="D3612" s="3"/>
      <c r="E3612" s="3"/>
      <c r="F3612" s="3"/>
    </row>
    <row r="3613" spans="3:6" x14ac:dyDescent="0.3">
      <c r="C3613" s="3"/>
      <c r="D3613" s="3"/>
      <c r="E3613" s="3"/>
      <c r="F3613" s="3"/>
    </row>
    <row r="3614" spans="3:6" x14ac:dyDescent="0.3">
      <c r="C3614" s="3"/>
      <c r="D3614" s="3"/>
      <c r="E3614" s="3"/>
      <c r="F3614" s="3"/>
    </row>
    <row r="3615" spans="3:6" x14ac:dyDescent="0.3">
      <c r="C3615" s="3"/>
      <c r="D3615" s="3"/>
      <c r="E3615" s="3"/>
      <c r="F3615" s="3"/>
    </row>
    <row r="3616" spans="3:6" x14ac:dyDescent="0.3">
      <c r="C3616" s="3"/>
      <c r="D3616" s="3"/>
      <c r="E3616" s="3"/>
      <c r="F3616" s="3"/>
    </row>
    <row r="3617" spans="3:6" x14ac:dyDescent="0.3">
      <c r="C3617" s="3"/>
      <c r="D3617" s="3"/>
      <c r="E3617" s="3"/>
      <c r="F3617" s="3"/>
    </row>
    <row r="3618" spans="3:6" x14ac:dyDescent="0.3">
      <c r="C3618" s="3"/>
      <c r="D3618" s="3"/>
      <c r="E3618" s="3"/>
      <c r="F3618" s="3"/>
    </row>
    <row r="3619" spans="3:6" x14ac:dyDescent="0.3">
      <c r="C3619" s="3"/>
      <c r="D3619" s="3"/>
      <c r="E3619" s="3"/>
      <c r="F3619" s="3"/>
    </row>
    <row r="3620" spans="3:6" x14ac:dyDescent="0.3">
      <c r="C3620" s="3"/>
      <c r="D3620" s="3"/>
      <c r="E3620" s="3"/>
      <c r="F3620" s="3"/>
    </row>
    <row r="3621" spans="3:6" x14ac:dyDescent="0.3">
      <c r="C3621" s="3"/>
      <c r="D3621" s="3"/>
      <c r="E3621" s="3"/>
      <c r="F3621" s="3"/>
    </row>
    <row r="3622" spans="3:6" x14ac:dyDescent="0.3">
      <c r="C3622" s="3"/>
      <c r="D3622" s="3"/>
      <c r="E3622" s="3"/>
      <c r="F3622" s="3"/>
    </row>
    <row r="3623" spans="3:6" x14ac:dyDescent="0.3">
      <c r="C3623" s="3"/>
      <c r="D3623" s="3"/>
      <c r="E3623" s="3"/>
      <c r="F3623" s="3"/>
    </row>
    <row r="3624" spans="3:6" x14ac:dyDescent="0.3">
      <c r="C3624" s="3"/>
      <c r="D3624" s="3"/>
      <c r="E3624" s="3"/>
      <c r="F3624" s="3"/>
    </row>
    <row r="3625" spans="3:6" x14ac:dyDescent="0.3">
      <c r="C3625" s="3"/>
      <c r="D3625" s="3"/>
      <c r="E3625" s="3"/>
      <c r="F3625" s="3"/>
    </row>
    <row r="3626" spans="3:6" x14ac:dyDescent="0.3">
      <c r="C3626" s="3"/>
      <c r="D3626" s="3"/>
      <c r="E3626" s="3"/>
      <c r="F3626" s="3"/>
    </row>
    <row r="3627" spans="3:6" x14ac:dyDescent="0.3">
      <c r="C3627" s="3"/>
      <c r="D3627" s="3"/>
      <c r="E3627" s="3"/>
      <c r="F3627" s="3"/>
    </row>
    <row r="3628" spans="3:6" x14ac:dyDescent="0.3">
      <c r="C3628" s="3"/>
      <c r="D3628" s="3"/>
      <c r="E3628" s="3"/>
      <c r="F3628" s="3"/>
    </row>
    <row r="3629" spans="3:6" x14ac:dyDescent="0.3">
      <c r="C3629" s="3"/>
      <c r="D3629" s="3"/>
      <c r="E3629" s="3"/>
      <c r="F3629" s="3"/>
    </row>
    <row r="3630" spans="3:6" x14ac:dyDescent="0.3">
      <c r="C3630" s="3"/>
      <c r="D3630" s="3"/>
      <c r="E3630" s="3"/>
      <c r="F3630" s="3"/>
    </row>
    <row r="3631" spans="3:6" x14ac:dyDescent="0.3">
      <c r="C3631" s="3"/>
      <c r="D3631" s="3"/>
      <c r="E3631" s="3"/>
      <c r="F3631" s="3"/>
    </row>
    <row r="3632" spans="3:6" x14ac:dyDescent="0.3">
      <c r="C3632" s="3"/>
      <c r="D3632" s="3"/>
      <c r="E3632" s="3"/>
      <c r="F3632" s="3"/>
    </row>
    <row r="3633" spans="3:6" x14ac:dyDescent="0.3">
      <c r="C3633" s="3"/>
      <c r="D3633" s="3"/>
      <c r="E3633" s="3"/>
      <c r="F3633" s="3"/>
    </row>
    <row r="3634" spans="3:6" x14ac:dyDescent="0.3">
      <c r="C3634" s="3"/>
      <c r="D3634" s="3"/>
      <c r="E3634" s="3"/>
      <c r="F3634" s="3"/>
    </row>
    <row r="3635" spans="3:6" x14ac:dyDescent="0.3">
      <c r="C3635" s="3"/>
      <c r="D3635" s="3"/>
      <c r="E3635" s="3"/>
      <c r="F3635" s="3"/>
    </row>
    <row r="3636" spans="3:6" x14ac:dyDescent="0.3">
      <c r="C3636" s="3"/>
      <c r="D3636" s="3"/>
      <c r="E3636" s="3"/>
      <c r="F3636" s="3"/>
    </row>
    <row r="3637" spans="3:6" x14ac:dyDescent="0.3">
      <c r="C3637" s="3"/>
      <c r="D3637" s="3"/>
      <c r="E3637" s="3"/>
      <c r="F3637" s="3"/>
    </row>
    <row r="3638" spans="3:6" x14ac:dyDescent="0.3">
      <c r="C3638" s="3"/>
      <c r="D3638" s="3"/>
      <c r="E3638" s="3"/>
      <c r="F3638" s="3"/>
    </row>
    <row r="3639" spans="3:6" x14ac:dyDescent="0.3">
      <c r="C3639" s="3"/>
      <c r="D3639" s="3"/>
      <c r="E3639" s="3"/>
      <c r="F3639" s="3"/>
    </row>
    <row r="3640" spans="3:6" x14ac:dyDescent="0.3">
      <c r="C3640" s="3"/>
      <c r="D3640" s="3"/>
      <c r="E3640" s="3"/>
      <c r="F3640" s="3"/>
    </row>
    <row r="3641" spans="3:6" x14ac:dyDescent="0.3">
      <c r="C3641" s="3"/>
      <c r="D3641" s="3"/>
      <c r="E3641" s="3"/>
      <c r="F3641" s="3"/>
    </row>
    <row r="3642" spans="3:6" x14ac:dyDescent="0.3">
      <c r="C3642" s="3"/>
      <c r="D3642" s="3"/>
      <c r="E3642" s="3"/>
      <c r="F3642" s="3"/>
    </row>
    <row r="3643" spans="3:6" x14ac:dyDescent="0.3">
      <c r="C3643" s="3"/>
      <c r="D3643" s="3"/>
      <c r="E3643" s="3"/>
      <c r="F3643" s="3"/>
    </row>
    <row r="3644" spans="3:6" x14ac:dyDescent="0.3">
      <c r="C3644" s="3"/>
      <c r="D3644" s="3"/>
      <c r="E3644" s="3"/>
      <c r="F3644" s="3"/>
    </row>
    <row r="3645" spans="3:6" x14ac:dyDescent="0.3">
      <c r="C3645" s="3"/>
      <c r="D3645" s="3"/>
      <c r="E3645" s="3"/>
      <c r="F3645" s="3"/>
    </row>
    <row r="3646" spans="3:6" x14ac:dyDescent="0.3">
      <c r="C3646" s="3"/>
      <c r="D3646" s="3"/>
      <c r="E3646" s="3"/>
      <c r="F3646" s="3"/>
    </row>
    <row r="3647" spans="3:6" x14ac:dyDescent="0.3">
      <c r="C3647" s="3"/>
      <c r="D3647" s="3"/>
      <c r="E3647" s="3"/>
      <c r="F3647" s="3"/>
    </row>
    <row r="3648" spans="3:6" x14ac:dyDescent="0.3">
      <c r="C3648" s="3"/>
      <c r="D3648" s="3"/>
      <c r="E3648" s="3"/>
      <c r="F3648" s="3"/>
    </row>
    <row r="3649" spans="3:6" x14ac:dyDescent="0.3">
      <c r="C3649" s="3"/>
      <c r="D3649" s="3"/>
      <c r="E3649" s="3"/>
      <c r="F3649" s="3"/>
    </row>
    <row r="3650" spans="3:6" x14ac:dyDescent="0.3">
      <c r="C3650" s="3"/>
      <c r="D3650" s="3"/>
      <c r="E3650" s="3"/>
      <c r="F3650" s="3"/>
    </row>
    <row r="3651" spans="3:6" x14ac:dyDescent="0.3">
      <c r="C3651" s="3"/>
      <c r="D3651" s="3"/>
      <c r="E3651" s="3"/>
      <c r="F3651" s="3"/>
    </row>
    <row r="3652" spans="3:6" x14ac:dyDescent="0.3">
      <c r="C3652" s="3"/>
      <c r="D3652" s="3"/>
      <c r="E3652" s="3"/>
      <c r="F3652" s="3"/>
    </row>
    <row r="3653" spans="3:6" x14ac:dyDescent="0.3">
      <c r="C3653" s="3"/>
      <c r="D3653" s="3"/>
      <c r="E3653" s="3"/>
      <c r="F3653" s="3"/>
    </row>
    <row r="3654" spans="3:6" x14ac:dyDescent="0.3">
      <c r="C3654" s="3"/>
      <c r="D3654" s="3"/>
      <c r="E3654" s="3"/>
      <c r="F3654" s="3"/>
    </row>
    <row r="3655" spans="3:6" x14ac:dyDescent="0.3">
      <c r="C3655" s="3"/>
      <c r="D3655" s="3"/>
      <c r="E3655" s="3"/>
      <c r="F3655" s="3"/>
    </row>
    <row r="3656" spans="3:6" x14ac:dyDescent="0.3">
      <c r="C3656" s="3"/>
      <c r="D3656" s="3"/>
      <c r="E3656" s="3"/>
      <c r="F3656" s="3"/>
    </row>
    <row r="3657" spans="3:6" x14ac:dyDescent="0.3">
      <c r="C3657" s="3"/>
      <c r="D3657" s="3"/>
      <c r="E3657" s="3"/>
      <c r="F3657" s="3"/>
    </row>
    <row r="3658" spans="3:6" x14ac:dyDescent="0.3">
      <c r="C3658" s="3"/>
      <c r="D3658" s="3"/>
      <c r="E3658" s="3"/>
      <c r="F3658" s="3"/>
    </row>
    <row r="3659" spans="3:6" x14ac:dyDescent="0.3">
      <c r="C3659" s="3"/>
      <c r="D3659" s="3"/>
      <c r="E3659" s="3"/>
      <c r="F3659" s="3"/>
    </row>
    <row r="3660" spans="3:6" x14ac:dyDescent="0.3">
      <c r="C3660" s="3"/>
      <c r="D3660" s="3"/>
      <c r="E3660" s="3"/>
      <c r="F3660" s="3"/>
    </row>
    <row r="3661" spans="3:6" x14ac:dyDescent="0.3">
      <c r="C3661" s="3"/>
      <c r="D3661" s="3"/>
      <c r="E3661" s="3"/>
      <c r="F3661" s="3"/>
    </row>
    <row r="3662" spans="3:6" x14ac:dyDescent="0.3">
      <c r="C3662" s="3"/>
      <c r="D3662" s="3"/>
      <c r="E3662" s="3"/>
      <c r="F3662" s="3"/>
    </row>
    <row r="3663" spans="3:6" x14ac:dyDescent="0.3">
      <c r="C3663" s="3"/>
      <c r="D3663" s="3"/>
      <c r="E3663" s="3"/>
      <c r="F3663" s="3"/>
    </row>
    <row r="3664" spans="3:6" x14ac:dyDescent="0.3">
      <c r="C3664" s="3"/>
      <c r="D3664" s="3"/>
      <c r="E3664" s="3"/>
      <c r="F3664" s="3"/>
    </row>
    <row r="3665" spans="3:6" x14ac:dyDescent="0.3">
      <c r="C3665" s="3"/>
      <c r="D3665" s="3"/>
      <c r="E3665" s="3"/>
      <c r="F3665" s="3"/>
    </row>
    <row r="3666" spans="3:6" x14ac:dyDescent="0.3">
      <c r="C3666" s="3"/>
      <c r="D3666" s="3"/>
      <c r="E3666" s="3"/>
      <c r="F3666" s="3"/>
    </row>
    <row r="3667" spans="3:6" x14ac:dyDescent="0.3">
      <c r="C3667" s="3"/>
      <c r="D3667" s="3"/>
      <c r="E3667" s="3"/>
      <c r="F3667" s="3"/>
    </row>
    <row r="3668" spans="3:6" x14ac:dyDescent="0.3">
      <c r="C3668" s="3"/>
      <c r="D3668" s="3"/>
      <c r="E3668" s="3"/>
      <c r="F3668" s="3"/>
    </row>
    <row r="3669" spans="3:6" x14ac:dyDescent="0.3">
      <c r="C3669" s="3"/>
      <c r="D3669" s="3"/>
      <c r="E3669" s="3"/>
      <c r="F3669" s="3"/>
    </row>
    <row r="3670" spans="3:6" x14ac:dyDescent="0.3">
      <c r="C3670" s="3"/>
      <c r="D3670" s="3"/>
      <c r="E3670" s="3"/>
      <c r="F3670" s="3"/>
    </row>
    <row r="3671" spans="3:6" x14ac:dyDescent="0.3">
      <c r="C3671" s="3"/>
      <c r="D3671" s="3"/>
      <c r="E3671" s="3"/>
      <c r="F3671" s="3"/>
    </row>
    <row r="3672" spans="3:6" x14ac:dyDescent="0.3">
      <c r="C3672" s="3"/>
      <c r="D3672" s="3"/>
      <c r="E3672" s="3"/>
      <c r="F3672" s="3"/>
    </row>
    <row r="3673" spans="3:6" x14ac:dyDescent="0.3">
      <c r="C3673" s="3"/>
      <c r="D3673" s="3"/>
      <c r="E3673" s="3"/>
      <c r="F3673" s="3"/>
    </row>
    <row r="3674" spans="3:6" x14ac:dyDescent="0.3">
      <c r="C3674" s="3"/>
      <c r="D3674" s="3"/>
      <c r="E3674" s="3"/>
      <c r="F3674" s="3"/>
    </row>
    <row r="3675" spans="3:6" x14ac:dyDescent="0.3">
      <c r="C3675" s="3"/>
      <c r="D3675" s="3"/>
      <c r="E3675" s="3"/>
      <c r="F3675" s="3"/>
    </row>
    <row r="3676" spans="3:6" x14ac:dyDescent="0.3">
      <c r="C3676" s="3"/>
      <c r="D3676" s="3"/>
      <c r="E3676" s="3"/>
      <c r="F3676" s="3"/>
    </row>
    <row r="3677" spans="3:6" x14ac:dyDescent="0.3">
      <c r="C3677" s="3"/>
      <c r="D3677" s="3"/>
      <c r="E3677" s="3"/>
      <c r="F3677" s="3"/>
    </row>
    <row r="3678" spans="3:6" x14ac:dyDescent="0.3">
      <c r="C3678" s="3"/>
      <c r="D3678" s="3"/>
      <c r="E3678" s="3"/>
      <c r="F3678" s="3"/>
    </row>
    <row r="3679" spans="3:6" x14ac:dyDescent="0.3">
      <c r="C3679" s="3"/>
      <c r="D3679" s="3"/>
      <c r="E3679" s="3"/>
      <c r="F3679" s="3"/>
    </row>
    <row r="3680" spans="3:6" x14ac:dyDescent="0.3">
      <c r="C3680" s="3"/>
      <c r="D3680" s="3"/>
      <c r="E3680" s="3"/>
      <c r="F3680" s="3"/>
    </row>
    <row r="3681" spans="3:6" x14ac:dyDescent="0.3">
      <c r="C3681" s="3"/>
      <c r="D3681" s="3"/>
      <c r="E3681" s="3"/>
      <c r="F3681" s="3"/>
    </row>
    <row r="3682" spans="3:6" x14ac:dyDescent="0.3">
      <c r="C3682" s="3"/>
      <c r="D3682" s="3"/>
      <c r="E3682" s="3"/>
      <c r="F3682" s="3"/>
    </row>
    <row r="3683" spans="3:6" x14ac:dyDescent="0.3">
      <c r="C3683" s="3"/>
      <c r="D3683" s="3"/>
      <c r="E3683" s="3"/>
      <c r="F3683" s="3"/>
    </row>
    <row r="3684" spans="3:6" x14ac:dyDescent="0.3">
      <c r="C3684" s="3"/>
      <c r="D3684" s="3"/>
      <c r="E3684" s="3"/>
      <c r="F3684" s="3"/>
    </row>
    <row r="3685" spans="3:6" x14ac:dyDescent="0.3">
      <c r="C3685" s="3"/>
      <c r="D3685" s="3"/>
      <c r="E3685" s="3"/>
      <c r="F3685" s="3"/>
    </row>
    <row r="3686" spans="3:6" x14ac:dyDescent="0.3">
      <c r="C3686" s="3"/>
      <c r="D3686" s="3"/>
      <c r="E3686" s="3"/>
      <c r="F3686" s="3"/>
    </row>
    <row r="3687" spans="3:6" x14ac:dyDescent="0.3">
      <c r="C3687" s="3"/>
      <c r="D3687" s="3"/>
      <c r="E3687" s="3"/>
      <c r="F3687" s="3"/>
    </row>
    <row r="3688" spans="3:6" x14ac:dyDescent="0.3">
      <c r="C3688" s="3"/>
      <c r="D3688" s="3"/>
      <c r="E3688" s="3"/>
      <c r="F3688" s="3"/>
    </row>
    <row r="3689" spans="3:6" x14ac:dyDescent="0.3">
      <c r="C3689" s="3"/>
      <c r="D3689" s="3"/>
      <c r="E3689" s="3"/>
      <c r="F3689" s="3"/>
    </row>
    <row r="3690" spans="3:6" x14ac:dyDescent="0.3">
      <c r="C3690" s="3"/>
      <c r="D3690" s="3"/>
      <c r="E3690" s="3"/>
      <c r="F3690" s="3"/>
    </row>
    <row r="3691" spans="3:6" x14ac:dyDescent="0.3">
      <c r="C3691" s="3"/>
      <c r="D3691" s="3"/>
      <c r="E3691" s="3"/>
      <c r="F3691" s="3"/>
    </row>
    <row r="3692" spans="3:6" x14ac:dyDescent="0.3">
      <c r="C3692" s="3"/>
      <c r="D3692" s="3"/>
      <c r="E3692" s="3"/>
      <c r="F3692" s="3"/>
    </row>
    <row r="3693" spans="3:6" x14ac:dyDescent="0.3">
      <c r="C3693" s="3"/>
      <c r="D3693" s="3"/>
      <c r="E3693" s="3"/>
      <c r="F3693" s="3"/>
    </row>
    <row r="3694" spans="3:6" x14ac:dyDescent="0.3">
      <c r="C3694" s="3"/>
      <c r="D3694" s="3"/>
      <c r="E3694" s="3"/>
      <c r="F3694" s="3"/>
    </row>
    <row r="3695" spans="3:6" x14ac:dyDescent="0.3">
      <c r="C3695" s="3"/>
      <c r="D3695" s="3"/>
      <c r="E3695" s="3"/>
      <c r="F3695" s="3"/>
    </row>
    <row r="3696" spans="3:6" x14ac:dyDescent="0.3">
      <c r="C3696" s="3"/>
      <c r="D3696" s="3"/>
      <c r="E3696" s="3"/>
      <c r="F3696" s="3"/>
    </row>
    <row r="3697" spans="3:6" x14ac:dyDescent="0.3">
      <c r="C3697" s="3"/>
      <c r="D3697" s="3"/>
      <c r="E3697" s="3"/>
      <c r="F3697" s="3"/>
    </row>
    <row r="3698" spans="3:6" x14ac:dyDescent="0.3">
      <c r="C3698" s="3"/>
      <c r="D3698" s="3"/>
      <c r="E3698" s="3"/>
      <c r="F3698" s="3"/>
    </row>
    <row r="3699" spans="3:6" x14ac:dyDescent="0.3">
      <c r="C3699" s="3"/>
      <c r="D3699" s="3"/>
      <c r="E3699" s="3"/>
      <c r="F3699" s="3"/>
    </row>
    <row r="3700" spans="3:6" x14ac:dyDescent="0.3">
      <c r="C3700" s="3"/>
      <c r="D3700" s="3"/>
      <c r="E3700" s="3"/>
      <c r="F3700" s="3"/>
    </row>
    <row r="3701" spans="3:6" x14ac:dyDescent="0.3">
      <c r="C3701" s="3"/>
      <c r="D3701" s="3"/>
      <c r="E3701" s="3"/>
      <c r="F3701" s="3"/>
    </row>
    <row r="3702" spans="3:6" x14ac:dyDescent="0.3">
      <c r="C3702" s="3"/>
      <c r="D3702" s="3"/>
      <c r="E3702" s="3"/>
      <c r="F3702" s="3"/>
    </row>
    <row r="3703" spans="3:6" x14ac:dyDescent="0.3">
      <c r="C3703" s="3"/>
      <c r="D3703" s="3"/>
      <c r="E3703" s="3"/>
      <c r="F3703" s="3"/>
    </row>
    <row r="3704" spans="3:6" x14ac:dyDescent="0.3">
      <c r="C3704" s="3"/>
      <c r="D3704" s="3"/>
      <c r="E3704" s="3"/>
      <c r="F3704" s="3"/>
    </row>
    <row r="3705" spans="3:6" x14ac:dyDescent="0.3">
      <c r="C3705" s="3"/>
      <c r="D3705" s="3"/>
      <c r="E3705" s="3"/>
      <c r="F3705" s="3"/>
    </row>
    <row r="3706" spans="3:6" x14ac:dyDescent="0.3">
      <c r="C3706" s="3"/>
      <c r="D3706" s="3"/>
      <c r="E3706" s="3"/>
      <c r="F3706" s="3"/>
    </row>
    <row r="3707" spans="3:6" x14ac:dyDescent="0.3">
      <c r="C3707" s="3"/>
      <c r="D3707" s="3"/>
      <c r="E3707" s="3"/>
      <c r="F3707" s="3"/>
    </row>
    <row r="3708" spans="3:6" x14ac:dyDescent="0.3">
      <c r="C3708" s="3"/>
      <c r="D3708" s="3"/>
      <c r="E3708" s="3"/>
      <c r="F3708" s="3"/>
    </row>
    <row r="3709" spans="3:6" x14ac:dyDescent="0.3">
      <c r="C3709" s="3"/>
      <c r="D3709" s="3"/>
      <c r="E3709" s="3"/>
      <c r="F3709" s="3"/>
    </row>
    <row r="3710" spans="3:6" x14ac:dyDescent="0.3">
      <c r="C3710" s="3"/>
      <c r="D3710" s="3"/>
      <c r="E3710" s="3"/>
      <c r="F3710" s="3"/>
    </row>
    <row r="3711" spans="3:6" x14ac:dyDescent="0.3">
      <c r="C3711" s="3"/>
      <c r="D3711" s="3"/>
      <c r="E3711" s="3"/>
      <c r="F3711" s="3"/>
    </row>
    <row r="3712" spans="3:6" x14ac:dyDescent="0.3">
      <c r="C3712" s="3"/>
      <c r="D3712" s="3"/>
      <c r="E3712" s="3"/>
      <c r="F3712" s="3"/>
    </row>
    <row r="3713" spans="3:6" x14ac:dyDescent="0.3">
      <c r="C3713" s="3"/>
      <c r="D3713" s="3"/>
      <c r="E3713" s="3"/>
      <c r="F3713" s="3"/>
    </row>
    <row r="3714" spans="3:6" x14ac:dyDescent="0.3">
      <c r="C3714" s="3"/>
      <c r="D3714" s="3"/>
      <c r="E3714" s="3"/>
      <c r="F3714" s="3"/>
    </row>
    <row r="3715" spans="3:6" x14ac:dyDescent="0.3">
      <c r="C3715" s="3"/>
      <c r="D3715" s="3"/>
      <c r="E3715" s="3"/>
      <c r="F3715" s="3"/>
    </row>
    <row r="3716" spans="3:6" x14ac:dyDescent="0.3">
      <c r="C3716" s="3"/>
      <c r="D3716" s="3"/>
      <c r="E3716" s="3"/>
      <c r="F3716" s="3"/>
    </row>
    <row r="3717" spans="3:6" x14ac:dyDescent="0.3">
      <c r="C3717" s="3"/>
      <c r="D3717" s="3"/>
      <c r="E3717" s="3"/>
      <c r="F3717" s="3"/>
    </row>
    <row r="3718" spans="3:6" x14ac:dyDescent="0.3">
      <c r="C3718" s="3"/>
      <c r="D3718" s="3"/>
      <c r="E3718" s="3"/>
      <c r="F3718" s="3"/>
    </row>
    <row r="3719" spans="3:6" x14ac:dyDescent="0.3">
      <c r="C3719" s="3"/>
      <c r="D3719" s="3"/>
      <c r="E3719" s="3"/>
      <c r="F3719" s="3"/>
    </row>
    <row r="3720" spans="3:6" x14ac:dyDescent="0.3">
      <c r="C3720" s="3"/>
      <c r="D3720" s="3"/>
      <c r="E3720" s="3"/>
      <c r="F3720" s="3"/>
    </row>
    <row r="3721" spans="3:6" x14ac:dyDescent="0.3">
      <c r="C3721" s="3"/>
      <c r="D3721" s="3"/>
      <c r="E3721" s="3"/>
      <c r="F3721" s="3"/>
    </row>
    <row r="3722" spans="3:6" x14ac:dyDescent="0.3">
      <c r="C3722" s="3"/>
      <c r="D3722" s="3"/>
      <c r="E3722" s="3"/>
      <c r="F3722" s="3"/>
    </row>
    <row r="3723" spans="3:6" x14ac:dyDescent="0.3">
      <c r="C3723" s="3"/>
      <c r="D3723" s="3"/>
      <c r="E3723" s="3"/>
      <c r="F3723" s="3"/>
    </row>
    <row r="3724" spans="3:6" x14ac:dyDescent="0.3">
      <c r="C3724" s="3"/>
      <c r="D3724" s="3"/>
      <c r="E3724" s="3"/>
      <c r="F3724" s="3"/>
    </row>
    <row r="3725" spans="3:6" x14ac:dyDescent="0.3">
      <c r="C3725" s="3"/>
      <c r="D3725" s="3"/>
      <c r="E3725" s="3"/>
      <c r="F3725" s="3"/>
    </row>
    <row r="3726" spans="3:6" x14ac:dyDescent="0.3">
      <c r="C3726" s="3"/>
      <c r="D3726" s="3"/>
      <c r="E3726" s="3"/>
      <c r="F3726" s="3"/>
    </row>
    <row r="3727" spans="3:6" x14ac:dyDescent="0.3">
      <c r="C3727" s="3"/>
      <c r="D3727" s="3"/>
      <c r="E3727" s="3"/>
      <c r="F3727" s="3"/>
    </row>
    <row r="3728" spans="3:6" x14ac:dyDescent="0.3">
      <c r="C3728" s="3"/>
      <c r="D3728" s="3"/>
      <c r="E3728" s="3"/>
      <c r="F3728" s="3"/>
    </row>
    <row r="3729" spans="3:6" x14ac:dyDescent="0.3">
      <c r="C3729" s="3"/>
      <c r="D3729" s="3"/>
      <c r="E3729" s="3"/>
      <c r="F3729" s="3"/>
    </row>
    <row r="3730" spans="3:6" x14ac:dyDescent="0.3">
      <c r="C3730" s="3"/>
      <c r="D3730" s="3"/>
      <c r="E3730" s="3"/>
      <c r="F3730" s="3"/>
    </row>
    <row r="3731" spans="3:6" x14ac:dyDescent="0.3">
      <c r="C3731" s="3"/>
      <c r="D3731" s="3"/>
      <c r="E3731" s="3"/>
      <c r="F3731" s="3"/>
    </row>
    <row r="3732" spans="3:6" x14ac:dyDescent="0.3">
      <c r="C3732" s="3"/>
      <c r="D3732" s="3"/>
      <c r="E3732" s="3"/>
      <c r="F3732" s="3"/>
    </row>
    <row r="3733" spans="3:6" x14ac:dyDescent="0.3">
      <c r="C3733" s="3"/>
      <c r="D3733" s="3"/>
      <c r="E3733" s="3"/>
      <c r="F3733" s="3"/>
    </row>
    <row r="3734" spans="3:6" x14ac:dyDescent="0.3">
      <c r="C3734" s="3"/>
      <c r="D3734" s="3"/>
      <c r="E3734" s="3"/>
      <c r="F3734" s="3"/>
    </row>
    <row r="3735" spans="3:6" x14ac:dyDescent="0.3">
      <c r="C3735" s="3"/>
      <c r="D3735" s="3"/>
      <c r="E3735" s="3"/>
      <c r="F3735" s="3"/>
    </row>
    <row r="3736" spans="3:6" x14ac:dyDescent="0.3">
      <c r="C3736" s="3"/>
      <c r="D3736" s="3"/>
      <c r="E3736" s="3"/>
      <c r="F3736" s="3"/>
    </row>
    <row r="3737" spans="3:6" x14ac:dyDescent="0.3">
      <c r="C3737" s="3"/>
      <c r="D3737" s="3"/>
      <c r="E3737" s="3"/>
      <c r="F3737" s="3"/>
    </row>
    <row r="3738" spans="3:6" x14ac:dyDescent="0.3">
      <c r="C3738" s="3"/>
      <c r="D3738" s="3"/>
      <c r="E3738" s="3"/>
      <c r="F3738" s="3"/>
    </row>
    <row r="3739" spans="3:6" x14ac:dyDescent="0.3">
      <c r="C3739" s="3"/>
      <c r="D3739" s="3"/>
      <c r="E3739" s="3"/>
      <c r="F3739" s="3"/>
    </row>
    <row r="3740" spans="3:6" x14ac:dyDescent="0.3">
      <c r="C3740" s="3"/>
      <c r="D3740" s="3"/>
      <c r="E3740" s="3"/>
      <c r="F3740" s="3"/>
    </row>
    <row r="3741" spans="3:6" x14ac:dyDescent="0.3">
      <c r="C3741" s="3"/>
      <c r="D3741" s="3"/>
      <c r="E3741" s="3"/>
      <c r="F3741" s="3"/>
    </row>
    <row r="3742" spans="3:6" x14ac:dyDescent="0.3">
      <c r="C3742" s="3"/>
      <c r="D3742" s="3"/>
      <c r="E3742" s="3"/>
      <c r="F3742" s="3"/>
    </row>
    <row r="3743" spans="3:6" x14ac:dyDescent="0.3">
      <c r="C3743" s="3"/>
      <c r="D3743" s="3"/>
      <c r="E3743" s="3"/>
      <c r="F3743" s="3"/>
    </row>
    <row r="3744" spans="3:6" x14ac:dyDescent="0.3">
      <c r="C3744" s="3"/>
      <c r="D3744" s="3"/>
      <c r="E3744" s="3"/>
      <c r="F3744" s="3"/>
    </row>
    <row r="3745" spans="3:6" x14ac:dyDescent="0.3">
      <c r="C3745" s="3"/>
      <c r="D3745" s="3"/>
      <c r="E3745" s="3"/>
      <c r="F3745" s="3"/>
    </row>
    <row r="3746" spans="3:6" x14ac:dyDescent="0.3">
      <c r="C3746" s="3"/>
      <c r="D3746" s="3"/>
      <c r="E3746" s="3"/>
      <c r="F3746" s="3"/>
    </row>
    <row r="3747" spans="3:6" x14ac:dyDescent="0.3">
      <c r="C3747" s="3"/>
      <c r="D3747" s="3"/>
      <c r="E3747" s="3"/>
      <c r="F3747" s="3"/>
    </row>
    <row r="3748" spans="3:6" x14ac:dyDescent="0.3">
      <c r="C3748" s="3"/>
      <c r="D3748" s="3"/>
      <c r="E3748" s="3"/>
      <c r="F3748" s="3"/>
    </row>
    <row r="3749" spans="3:6" x14ac:dyDescent="0.3">
      <c r="C3749" s="3"/>
      <c r="D3749" s="3"/>
      <c r="E3749" s="3"/>
      <c r="F3749" s="3"/>
    </row>
    <row r="3750" spans="3:6" x14ac:dyDescent="0.3">
      <c r="C3750" s="3"/>
      <c r="D3750" s="3"/>
      <c r="E3750" s="3"/>
      <c r="F3750" s="3"/>
    </row>
    <row r="3751" spans="3:6" x14ac:dyDescent="0.3">
      <c r="C3751" s="3"/>
      <c r="D3751" s="3"/>
      <c r="E3751" s="3"/>
      <c r="F3751" s="3"/>
    </row>
    <row r="3752" spans="3:6" x14ac:dyDescent="0.3">
      <c r="C3752" s="3"/>
      <c r="D3752" s="3"/>
      <c r="E3752" s="3"/>
      <c r="F3752" s="3"/>
    </row>
    <row r="3753" spans="3:6" x14ac:dyDescent="0.3">
      <c r="C3753" s="3"/>
      <c r="D3753" s="3"/>
      <c r="E3753" s="3"/>
      <c r="F3753" s="3"/>
    </row>
    <row r="3754" spans="3:6" x14ac:dyDescent="0.3">
      <c r="C3754" s="3"/>
      <c r="D3754" s="3"/>
      <c r="E3754" s="3"/>
      <c r="F3754" s="3"/>
    </row>
    <row r="3755" spans="3:6" x14ac:dyDescent="0.3">
      <c r="C3755" s="3"/>
      <c r="D3755" s="3"/>
      <c r="E3755" s="3"/>
      <c r="F3755" s="3"/>
    </row>
    <row r="3756" spans="3:6" x14ac:dyDescent="0.3">
      <c r="C3756" s="3"/>
      <c r="D3756" s="3"/>
      <c r="E3756" s="3"/>
      <c r="F3756" s="3"/>
    </row>
    <row r="3757" spans="3:6" x14ac:dyDescent="0.3">
      <c r="C3757" s="3"/>
      <c r="D3757" s="3"/>
      <c r="E3757" s="3"/>
      <c r="F3757" s="3"/>
    </row>
    <row r="3758" spans="3:6" x14ac:dyDescent="0.3">
      <c r="C3758" s="3"/>
      <c r="D3758" s="3"/>
      <c r="E3758" s="3"/>
      <c r="F3758" s="3"/>
    </row>
    <row r="3759" spans="3:6" x14ac:dyDescent="0.3">
      <c r="C3759" s="3"/>
      <c r="D3759" s="3"/>
      <c r="E3759" s="3"/>
      <c r="F3759" s="3"/>
    </row>
    <row r="3760" spans="3:6" x14ac:dyDescent="0.3">
      <c r="C3760" s="3"/>
      <c r="D3760" s="3"/>
      <c r="E3760" s="3"/>
      <c r="F3760" s="3"/>
    </row>
    <row r="3761" spans="3:6" x14ac:dyDescent="0.3">
      <c r="C3761" s="3"/>
      <c r="D3761" s="3"/>
      <c r="E3761" s="3"/>
      <c r="F3761" s="3"/>
    </row>
    <row r="3762" spans="3:6" x14ac:dyDescent="0.3">
      <c r="C3762" s="3"/>
      <c r="D3762" s="3"/>
      <c r="E3762" s="3"/>
      <c r="F3762" s="3"/>
    </row>
    <row r="3763" spans="3:6" x14ac:dyDescent="0.3">
      <c r="C3763" s="3"/>
      <c r="D3763" s="3"/>
      <c r="E3763" s="3"/>
      <c r="F3763" s="3"/>
    </row>
    <row r="3764" spans="3:6" x14ac:dyDescent="0.3">
      <c r="C3764" s="3"/>
      <c r="D3764" s="3"/>
      <c r="E3764" s="3"/>
      <c r="F3764" s="3"/>
    </row>
    <row r="3765" spans="3:6" x14ac:dyDescent="0.3">
      <c r="C3765" s="3"/>
      <c r="D3765" s="3"/>
      <c r="E3765" s="3"/>
      <c r="F3765" s="3"/>
    </row>
    <row r="3766" spans="3:6" x14ac:dyDescent="0.3">
      <c r="C3766" s="3"/>
      <c r="D3766" s="3"/>
      <c r="E3766" s="3"/>
      <c r="F3766" s="3"/>
    </row>
    <row r="3767" spans="3:6" x14ac:dyDescent="0.3">
      <c r="C3767" s="3"/>
      <c r="D3767" s="3"/>
      <c r="E3767" s="3"/>
      <c r="F3767" s="3"/>
    </row>
    <row r="3768" spans="3:6" x14ac:dyDescent="0.3">
      <c r="C3768" s="3"/>
      <c r="D3768" s="3"/>
      <c r="E3768" s="3"/>
      <c r="F3768" s="3"/>
    </row>
    <row r="3769" spans="3:6" x14ac:dyDescent="0.3">
      <c r="C3769" s="3"/>
      <c r="D3769" s="3"/>
      <c r="E3769" s="3"/>
      <c r="F3769" s="3"/>
    </row>
    <row r="3770" spans="3:6" x14ac:dyDescent="0.3">
      <c r="C3770" s="3"/>
      <c r="D3770" s="3"/>
      <c r="E3770" s="3"/>
      <c r="F3770" s="3"/>
    </row>
    <row r="3771" spans="3:6" x14ac:dyDescent="0.3">
      <c r="C3771" s="3"/>
      <c r="D3771" s="3"/>
      <c r="E3771" s="3"/>
      <c r="F3771" s="3"/>
    </row>
    <row r="3772" spans="3:6" x14ac:dyDescent="0.3">
      <c r="C3772" s="3"/>
      <c r="D3772" s="3"/>
      <c r="E3772" s="3"/>
      <c r="F3772" s="3"/>
    </row>
    <row r="3773" spans="3:6" x14ac:dyDescent="0.3">
      <c r="C3773" s="3"/>
      <c r="D3773" s="3"/>
      <c r="E3773" s="3"/>
      <c r="F3773" s="3"/>
    </row>
    <row r="3774" spans="3:6" x14ac:dyDescent="0.3">
      <c r="C3774" s="3"/>
      <c r="D3774" s="3"/>
      <c r="E3774" s="3"/>
      <c r="F3774" s="3"/>
    </row>
    <row r="3775" spans="3:6" x14ac:dyDescent="0.3">
      <c r="C3775" s="3"/>
      <c r="D3775" s="3"/>
      <c r="E3775" s="3"/>
      <c r="F3775" s="3"/>
    </row>
    <row r="3776" spans="3:6" x14ac:dyDescent="0.3">
      <c r="C3776" s="3"/>
      <c r="D3776" s="3"/>
      <c r="E3776" s="3"/>
      <c r="F3776" s="3"/>
    </row>
    <row r="3777" spans="3:6" x14ac:dyDescent="0.3">
      <c r="C3777" s="3"/>
      <c r="D3777" s="3"/>
      <c r="E3777" s="3"/>
      <c r="F3777" s="3"/>
    </row>
    <row r="3778" spans="3:6" x14ac:dyDescent="0.3">
      <c r="C3778" s="3"/>
      <c r="D3778" s="3"/>
      <c r="E3778" s="3"/>
      <c r="F3778" s="3"/>
    </row>
    <row r="3779" spans="3:6" x14ac:dyDescent="0.3">
      <c r="C3779" s="3"/>
      <c r="D3779" s="3"/>
      <c r="E3779" s="3"/>
      <c r="F3779" s="3"/>
    </row>
    <row r="3780" spans="3:6" x14ac:dyDescent="0.3">
      <c r="C3780" s="3"/>
      <c r="D3780" s="3"/>
      <c r="E3780" s="3"/>
      <c r="F3780" s="3"/>
    </row>
    <row r="3781" spans="3:6" x14ac:dyDescent="0.3">
      <c r="C3781" s="3"/>
      <c r="D3781" s="3"/>
      <c r="E3781" s="3"/>
      <c r="F3781" s="3"/>
    </row>
    <row r="3782" spans="3:6" x14ac:dyDescent="0.3">
      <c r="C3782" s="3"/>
      <c r="D3782" s="3"/>
      <c r="E3782" s="3"/>
      <c r="F3782" s="3"/>
    </row>
    <row r="3783" spans="3:6" x14ac:dyDescent="0.3">
      <c r="C3783" s="3"/>
      <c r="D3783" s="3"/>
      <c r="E3783" s="3"/>
      <c r="F3783" s="3"/>
    </row>
    <row r="3784" spans="3:6" x14ac:dyDescent="0.3">
      <c r="C3784" s="3"/>
      <c r="D3784" s="3"/>
      <c r="E3784" s="3"/>
      <c r="F3784" s="3"/>
    </row>
    <row r="3785" spans="3:6" x14ac:dyDescent="0.3">
      <c r="C3785" s="3"/>
      <c r="D3785" s="3"/>
      <c r="E3785" s="3"/>
      <c r="F3785" s="3"/>
    </row>
    <row r="3786" spans="3:6" x14ac:dyDescent="0.3">
      <c r="C3786" s="3"/>
      <c r="D3786" s="3"/>
      <c r="E3786" s="3"/>
      <c r="F3786" s="3"/>
    </row>
    <row r="3787" spans="3:6" x14ac:dyDescent="0.3">
      <c r="C3787" s="3"/>
      <c r="D3787" s="3"/>
      <c r="E3787" s="3"/>
      <c r="F3787" s="3"/>
    </row>
    <row r="3788" spans="3:6" x14ac:dyDescent="0.3">
      <c r="C3788" s="3"/>
      <c r="D3788" s="3"/>
      <c r="E3788" s="3"/>
      <c r="F3788" s="3"/>
    </row>
    <row r="3789" spans="3:6" x14ac:dyDescent="0.3">
      <c r="C3789" s="3"/>
      <c r="D3789" s="3"/>
      <c r="E3789" s="3"/>
      <c r="F3789" s="3"/>
    </row>
    <row r="3790" spans="3:6" x14ac:dyDescent="0.3">
      <c r="C3790" s="3"/>
      <c r="D3790" s="3"/>
      <c r="E3790" s="3"/>
      <c r="F3790" s="3"/>
    </row>
    <row r="3791" spans="3:6" x14ac:dyDescent="0.3">
      <c r="C3791" s="3"/>
      <c r="D3791" s="3"/>
      <c r="E3791" s="3"/>
      <c r="F3791" s="3"/>
    </row>
    <row r="3792" spans="3:6" x14ac:dyDescent="0.3">
      <c r="C3792" s="3"/>
      <c r="D3792" s="3"/>
      <c r="E3792" s="3"/>
      <c r="F3792" s="3"/>
    </row>
    <row r="3793" spans="3:6" x14ac:dyDescent="0.3">
      <c r="C3793" s="3"/>
      <c r="D3793" s="3"/>
      <c r="E3793" s="3"/>
      <c r="F3793" s="3"/>
    </row>
    <row r="3794" spans="3:6" x14ac:dyDescent="0.3">
      <c r="C3794" s="3"/>
      <c r="D3794" s="3"/>
      <c r="E3794" s="3"/>
      <c r="F3794" s="3"/>
    </row>
    <row r="3795" spans="3:6" x14ac:dyDescent="0.3">
      <c r="C3795" s="3"/>
      <c r="D3795" s="3"/>
      <c r="E3795" s="3"/>
      <c r="F3795" s="3"/>
    </row>
    <row r="3796" spans="3:6" x14ac:dyDescent="0.3">
      <c r="C3796" s="3"/>
      <c r="D3796" s="3"/>
      <c r="E3796" s="3"/>
      <c r="F3796" s="3"/>
    </row>
    <row r="3797" spans="3:6" x14ac:dyDescent="0.3">
      <c r="C3797" s="3"/>
      <c r="D3797" s="3"/>
      <c r="E3797" s="3"/>
      <c r="F3797" s="3"/>
    </row>
    <row r="3798" spans="3:6" x14ac:dyDescent="0.3">
      <c r="C3798" s="3"/>
      <c r="D3798" s="3"/>
      <c r="E3798" s="3"/>
      <c r="F3798" s="3"/>
    </row>
    <row r="3799" spans="3:6" x14ac:dyDescent="0.3">
      <c r="C3799" s="3"/>
      <c r="D3799" s="3"/>
      <c r="E3799" s="3"/>
      <c r="F3799" s="3"/>
    </row>
    <row r="3800" spans="3:6" x14ac:dyDescent="0.3">
      <c r="C3800" s="3"/>
      <c r="D3800" s="3"/>
      <c r="E3800" s="3"/>
      <c r="F3800" s="3"/>
    </row>
    <row r="3801" spans="3:6" x14ac:dyDescent="0.3">
      <c r="C3801" s="3"/>
      <c r="D3801" s="3"/>
      <c r="E3801" s="3"/>
      <c r="F3801" s="3"/>
    </row>
    <row r="3802" spans="3:6" x14ac:dyDescent="0.3">
      <c r="C3802" s="3"/>
      <c r="D3802" s="3"/>
      <c r="E3802" s="3"/>
      <c r="F3802" s="3"/>
    </row>
    <row r="3803" spans="3:6" x14ac:dyDescent="0.3">
      <c r="C3803" s="3"/>
      <c r="D3803" s="3"/>
      <c r="E3803" s="3"/>
      <c r="F3803" s="3"/>
    </row>
    <row r="3804" spans="3:6" x14ac:dyDescent="0.3">
      <c r="C3804" s="3"/>
      <c r="D3804" s="3"/>
      <c r="E3804" s="3"/>
      <c r="F3804" s="3"/>
    </row>
    <row r="3805" spans="3:6" x14ac:dyDescent="0.3">
      <c r="C3805" s="3"/>
      <c r="D3805" s="3"/>
      <c r="E3805" s="3"/>
      <c r="F3805" s="3"/>
    </row>
    <row r="3806" spans="3:6" x14ac:dyDescent="0.3">
      <c r="C3806" s="3"/>
      <c r="D3806" s="3"/>
      <c r="E3806" s="3"/>
      <c r="F3806" s="3"/>
    </row>
    <row r="3807" spans="3:6" x14ac:dyDescent="0.3">
      <c r="C3807" s="3"/>
      <c r="D3807" s="3"/>
      <c r="E3807" s="3"/>
      <c r="F3807" s="3"/>
    </row>
    <row r="3808" spans="3:6" x14ac:dyDescent="0.3">
      <c r="C3808" s="3"/>
      <c r="D3808" s="3"/>
      <c r="E3808" s="3"/>
      <c r="F3808" s="3"/>
    </row>
    <row r="3809" spans="3:6" x14ac:dyDescent="0.3">
      <c r="C3809" s="3"/>
      <c r="D3809" s="3"/>
      <c r="E3809" s="3"/>
      <c r="F3809" s="3"/>
    </row>
    <row r="3810" spans="3:6" x14ac:dyDescent="0.3">
      <c r="C3810" s="3"/>
      <c r="D3810" s="3"/>
      <c r="E3810" s="3"/>
      <c r="F3810" s="3"/>
    </row>
    <row r="3811" spans="3:6" x14ac:dyDescent="0.3">
      <c r="C3811" s="3"/>
      <c r="D3811" s="3"/>
      <c r="E3811" s="3"/>
      <c r="F3811" s="3"/>
    </row>
    <row r="3812" spans="3:6" x14ac:dyDescent="0.3">
      <c r="C3812" s="3"/>
      <c r="D3812" s="3"/>
      <c r="E3812" s="3"/>
      <c r="F3812" s="3"/>
    </row>
    <row r="3813" spans="3:6" x14ac:dyDescent="0.3">
      <c r="C3813" s="3"/>
      <c r="D3813" s="3"/>
      <c r="E3813" s="3"/>
      <c r="F3813" s="3"/>
    </row>
    <row r="3814" spans="3:6" x14ac:dyDescent="0.3">
      <c r="C3814" s="3"/>
      <c r="D3814" s="3"/>
      <c r="E3814" s="3"/>
      <c r="F3814" s="3"/>
    </row>
    <row r="3815" spans="3:6" x14ac:dyDescent="0.3">
      <c r="C3815" s="3"/>
      <c r="D3815" s="3"/>
      <c r="E3815" s="3"/>
      <c r="F3815" s="3"/>
    </row>
    <row r="3816" spans="3:6" x14ac:dyDescent="0.3">
      <c r="C3816" s="3"/>
      <c r="D3816" s="3"/>
      <c r="E3816" s="3"/>
      <c r="F3816" s="3"/>
    </row>
    <row r="3817" spans="3:6" x14ac:dyDescent="0.3">
      <c r="C3817" s="3"/>
      <c r="D3817" s="3"/>
      <c r="E3817" s="3"/>
      <c r="F3817" s="3"/>
    </row>
    <row r="3818" spans="3:6" x14ac:dyDescent="0.3">
      <c r="C3818" s="3"/>
      <c r="D3818" s="3"/>
      <c r="E3818" s="3"/>
      <c r="F3818" s="3"/>
    </row>
    <row r="3819" spans="3:6" x14ac:dyDescent="0.3">
      <c r="C3819" s="3"/>
      <c r="D3819" s="3"/>
      <c r="E3819" s="3"/>
      <c r="F3819" s="3"/>
    </row>
    <row r="3820" spans="3:6" x14ac:dyDescent="0.3">
      <c r="C3820" s="3"/>
      <c r="D3820" s="3"/>
      <c r="E3820" s="3"/>
      <c r="F3820" s="3"/>
    </row>
    <row r="3821" spans="3:6" x14ac:dyDescent="0.3">
      <c r="C3821" s="3"/>
      <c r="D3821" s="3"/>
      <c r="E3821" s="3"/>
      <c r="F3821" s="3"/>
    </row>
    <row r="3822" spans="3:6" x14ac:dyDescent="0.3">
      <c r="C3822" s="3"/>
      <c r="D3822" s="3"/>
      <c r="E3822" s="3"/>
      <c r="F3822" s="3"/>
    </row>
    <row r="3823" spans="3:6" x14ac:dyDescent="0.3">
      <c r="C3823" s="3"/>
      <c r="D3823" s="3"/>
      <c r="E3823" s="3"/>
      <c r="F3823" s="3"/>
    </row>
    <row r="3824" spans="3:6" x14ac:dyDescent="0.3">
      <c r="C3824" s="3"/>
      <c r="D3824" s="3"/>
      <c r="E3824" s="3"/>
      <c r="F3824" s="3"/>
    </row>
    <row r="3825" spans="3:6" x14ac:dyDescent="0.3">
      <c r="C3825" s="3"/>
      <c r="D3825" s="3"/>
      <c r="E3825" s="3"/>
      <c r="F3825" s="3"/>
    </row>
    <row r="3826" spans="3:6" x14ac:dyDescent="0.3">
      <c r="C3826" s="3"/>
      <c r="D3826" s="3"/>
      <c r="E3826" s="3"/>
      <c r="F3826" s="3"/>
    </row>
    <row r="3827" spans="3:6" x14ac:dyDescent="0.3">
      <c r="C3827" s="3"/>
      <c r="D3827" s="3"/>
      <c r="E3827" s="3"/>
      <c r="F3827" s="3"/>
    </row>
    <row r="3828" spans="3:6" x14ac:dyDescent="0.3">
      <c r="C3828" s="3"/>
      <c r="D3828" s="3"/>
      <c r="E3828" s="3"/>
      <c r="F3828" s="3"/>
    </row>
    <row r="3829" spans="3:6" x14ac:dyDescent="0.3">
      <c r="C3829" s="3"/>
      <c r="D3829" s="3"/>
      <c r="E3829" s="3"/>
      <c r="F3829" s="3"/>
    </row>
    <row r="3830" spans="3:6" x14ac:dyDescent="0.3">
      <c r="C3830" s="3"/>
      <c r="D3830" s="3"/>
      <c r="E3830" s="3"/>
      <c r="F3830" s="3"/>
    </row>
    <row r="3831" spans="3:6" x14ac:dyDescent="0.3">
      <c r="C3831" s="3"/>
      <c r="D3831" s="3"/>
      <c r="E3831" s="3"/>
      <c r="F3831" s="3"/>
    </row>
    <row r="3832" spans="3:6" x14ac:dyDescent="0.3">
      <c r="C3832" s="3"/>
      <c r="D3832" s="3"/>
      <c r="E3832" s="3"/>
      <c r="F3832" s="3"/>
    </row>
    <row r="3833" spans="3:6" x14ac:dyDescent="0.3">
      <c r="C3833" s="3"/>
      <c r="D3833" s="3"/>
      <c r="E3833" s="3"/>
      <c r="F3833" s="3"/>
    </row>
    <row r="3834" spans="3:6" x14ac:dyDescent="0.3">
      <c r="C3834" s="3"/>
      <c r="D3834" s="3"/>
      <c r="E3834" s="3"/>
      <c r="F3834" s="3"/>
    </row>
    <row r="3835" spans="3:6" x14ac:dyDescent="0.3">
      <c r="C3835" s="3"/>
      <c r="D3835" s="3"/>
      <c r="E3835" s="3"/>
      <c r="F3835" s="3"/>
    </row>
    <row r="3836" spans="3:6" x14ac:dyDescent="0.3">
      <c r="C3836" s="3"/>
      <c r="D3836" s="3"/>
      <c r="E3836" s="3"/>
      <c r="F3836" s="3"/>
    </row>
    <row r="3837" spans="3:6" x14ac:dyDescent="0.3">
      <c r="C3837" s="3"/>
      <c r="D3837" s="3"/>
      <c r="E3837" s="3"/>
      <c r="F3837" s="3"/>
    </row>
    <row r="3838" spans="3:6" x14ac:dyDescent="0.3">
      <c r="C3838" s="3"/>
      <c r="D3838" s="3"/>
      <c r="E3838" s="3"/>
      <c r="F3838" s="3"/>
    </row>
    <row r="3839" spans="3:6" x14ac:dyDescent="0.3">
      <c r="C3839" s="3"/>
      <c r="D3839" s="3"/>
      <c r="E3839" s="3"/>
      <c r="F3839" s="3"/>
    </row>
    <row r="3840" spans="3:6" x14ac:dyDescent="0.3">
      <c r="C3840" s="3"/>
      <c r="D3840" s="3"/>
      <c r="E3840" s="3"/>
      <c r="F3840" s="3"/>
    </row>
    <row r="3841" spans="3:6" x14ac:dyDescent="0.3">
      <c r="C3841" s="3"/>
      <c r="D3841" s="3"/>
      <c r="E3841" s="3"/>
      <c r="F3841" s="3"/>
    </row>
    <row r="3842" spans="3:6" x14ac:dyDescent="0.3">
      <c r="C3842" s="3"/>
      <c r="D3842" s="3"/>
      <c r="E3842" s="3"/>
      <c r="F3842" s="3"/>
    </row>
    <row r="3843" spans="3:6" x14ac:dyDescent="0.3">
      <c r="C3843" s="3"/>
      <c r="D3843" s="3"/>
      <c r="E3843" s="3"/>
      <c r="F3843" s="3"/>
    </row>
    <row r="3844" spans="3:6" x14ac:dyDescent="0.3">
      <c r="C3844" s="3"/>
      <c r="D3844" s="3"/>
      <c r="E3844" s="3"/>
      <c r="F3844" s="3"/>
    </row>
    <row r="3845" spans="3:6" x14ac:dyDescent="0.3">
      <c r="C3845" s="3"/>
      <c r="D3845" s="3"/>
      <c r="E3845" s="3"/>
      <c r="F3845" s="3"/>
    </row>
    <row r="3846" spans="3:6" x14ac:dyDescent="0.3">
      <c r="C3846" s="3"/>
      <c r="D3846" s="3"/>
      <c r="E3846" s="3"/>
      <c r="F3846" s="3"/>
    </row>
    <row r="3847" spans="3:6" x14ac:dyDescent="0.3">
      <c r="C3847" s="3"/>
      <c r="D3847" s="3"/>
      <c r="E3847" s="3"/>
      <c r="F3847" s="3"/>
    </row>
    <row r="3848" spans="3:6" x14ac:dyDescent="0.3">
      <c r="C3848" s="3"/>
      <c r="D3848" s="3"/>
      <c r="E3848" s="3"/>
      <c r="F3848" s="3"/>
    </row>
    <row r="3849" spans="3:6" x14ac:dyDescent="0.3">
      <c r="C3849" s="3"/>
      <c r="D3849" s="3"/>
      <c r="E3849" s="3"/>
      <c r="F3849" s="3"/>
    </row>
    <row r="3850" spans="3:6" x14ac:dyDescent="0.3">
      <c r="C3850" s="3"/>
      <c r="D3850" s="3"/>
      <c r="E3850" s="3"/>
      <c r="F3850" s="3"/>
    </row>
    <row r="3851" spans="3:6" x14ac:dyDescent="0.3">
      <c r="C3851" s="3"/>
      <c r="D3851" s="3"/>
      <c r="E3851" s="3"/>
      <c r="F3851" s="3"/>
    </row>
    <row r="3852" spans="3:6" x14ac:dyDescent="0.3">
      <c r="C3852" s="3"/>
      <c r="D3852" s="3"/>
      <c r="E3852" s="3"/>
      <c r="F3852" s="3"/>
    </row>
    <row r="3853" spans="3:6" x14ac:dyDescent="0.3">
      <c r="C3853" s="3"/>
      <c r="D3853" s="3"/>
      <c r="E3853" s="3"/>
      <c r="F3853" s="3"/>
    </row>
    <row r="3854" spans="3:6" x14ac:dyDescent="0.3">
      <c r="C3854" s="3"/>
      <c r="D3854" s="3"/>
      <c r="E3854" s="3"/>
      <c r="F3854" s="3"/>
    </row>
    <row r="3855" spans="3:6" x14ac:dyDescent="0.3">
      <c r="C3855" s="3"/>
      <c r="D3855" s="3"/>
      <c r="E3855" s="3"/>
      <c r="F3855" s="3"/>
    </row>
    <row r="3856" spans="3:6" x14ac:dyDescent="0.3">
      <c r="C3856" s="3"/>
      <c r="D3856" s="3"/>
      <c r="E3856" s="3"/>
      <c r="F3856" s="3"/>
    </row>
    <row r="3857" spans="3:6" x14ac:dyDescent="0.3">
      <c r="C3857" s="3"/>
      <c r="D3857" s="3"/>
      <c r="E3857" s="3"/>
      <c r="F3857" s="3"/>
    </row>
    <row r="3858" spans="3:6" x14ac:dyDescent="0.3">
      <c r="C3858" s="3"/>
      <c r="D3858" s="3"/>
      <c r="E3858" s="3"/>
      <c r="F3858" s="3"/>
    </row>
    <row r="3859" spans="3:6" x14ac:dyDescent="0.3">
      <c r="C3859" s="3"/>
      <c r="D3859" s="3"/>
      <c r="E3859" s="3"/>
      <c r="F3859" s="3"/>
    </row>
    <row r="3860" spans="3:6" x14ac:dyDescent="0.3">
      <c r="C3860" s="3"/>
      <c r="D3860" s="3"/>
      <c r="E3860" s="3"/>
      <c r="F3860" s="3"/>
    </row>
    <row r="3861" spans="3:6" x14ac:dyDescent="0.3">
      <c r="C3861" s="3"/>
      <c r="D3861" s="3"/>
      <c r="E3861" s="3"/>
      <c r="F3861" s="3"/>
    </row>
    <row r="3862" spans="3:6" x14ac:dyDescent="0.3">
      <c r="C3862" s="3"/>
      <c r="D3862" s="3"/>
      <c r="E3862" s="3"/>
      <c r="F3862" s="3"/>
    </row>
    <row r="3863" spans="3:6" x14ac:dyDescent="0.3">
      <c r="C3863" s="3"/>
      <c r="D3863" s="3"/>
      <c r="E3863" s="3"/>
      <c r="F3863" s="3"/>
    </row>
    <row r="3864" spans="3:6" x14ac:dyDescent="0.3">
      <c r="C3864" s="3"/>
      <c r="D3864" s="3"/>
      <c r="E3864" s="3"/>
      <c r="F3864" s="3"/>
    </row>
    <row r="3865" spans="3:6" x14ac:dyDescent="0.3">
      <c r="C3865" s="3"/>
      <c r="D3865" s="3"/>
      <c r="E3865" s="3"/>
      <c r="F3865" s="3"/>
    </row>
    <row r="3866" spans="3:6" x14ac:dyDescent="0.3">
      <c r="C3866" s="3"/>
      <c r="D3866" s="3"/>
      <c r="E3866" s="3"/>
      <c r="F3866" s="3"/>
    </row>
    <row r="3867" spans="3:6" x14ac:dyDescent="0.3">
      <c r="C3867" s="3"/>
      <c r="D3867" s="3"/>
      <c r="E3867" s="3"/>
      <c r="F3867" s="3"/>
    </row>
    <row r="3868" spans="3:6" x14ac:dyDescent="0.3">
      <c r="C3868" s="3"/>
      <c r="D3868" s="3"/>
      <c r="E3868" s="3"/>
      <c r="F3868" s="3"/>
    </row>
    <row r="3869" spans="3:6" x14ac:dyDescent="0.3">
      <c r="C3869" s="3"/>
      <c r="D3869" s="3"/>
      <c r="E3869" s="3"/>
      <c r="F3869" s="3"/>
    </row>
    <row r="3870" spans="3:6" x14ac:dyDescent="0.3">
      <c r="C3870" s="3"/>
      <c r="D3870" s="3"/>
      <c r="E3870" s="3"/>
      <c r="F3870" s="3"/>
    </row>
    <row r="3871" spans="3:6" x14ac:dyDescent="0.3">
      <c r="C3871" s="3"/>
      <c r="D3871" s="3"/>
      <c r="E3871" s="3"/>
      <c r="F3871" s="3"/>
    </row>
    <row r="3872" spans="3:6" x14ac:dyDescent="0.3">
      <c r="C3872" s="3"/>
      <c r="D3872" s="3"/>
      <c r="E3872" s="3"/>
      <c r="F3872" s="3"/>
    </row>
    <row r="3873" spans="3:6" x14ac:dyDescent="0.3">
      <c r="C3873" s="3"/>
      <c r="D3873" s="3"/>
      <c r="E3873" s="3"/>
      <c r="F3873" s="3"/>
    </row>
    <row r="3874" spans="3:6" x14ac:dyDescent="0.3">
      <c r="C3874" s="3"/>
      <c r="D3874" s="3"/>
      <c r="E3874" s="3"/>
      <c r="F3874" s="3"/>
    </row>
    <row r="3875" spans="3:6" x14ac:dyDescent="0.3">
      <c r="C3875" s="3"/>
      <c r="D3875" s="3"/>
      <c r="E3875" s="3"/>
      <c r="F3875" s="3"/>
    </row>
    <row r="3876" spans="3:6" x14ac:dyDescent="0.3">
      <c r="C3876" s="3"/>
      <c r="D3876" s="3"/>
      <c r="E3876" s="3"/>
      <c r="F3876" s="3"/>
    </row>
    <row r="3877" spans="3:6" x14ac:dyDescent="0.3">
      <c r="C3877" s="3"/>
      <c r="D3877" s="3"/>
      <c r="E3877" s="3"/>
      <c r="F3877" s="3"/>
    </row>
    <row r="3878" spans="3:6" x14ac:dyDescent="0.3">
      <c r="C3878" s="3"/>
      <c r="D3878" s="3"/>
      <c r="E3878" s="3"/>
      <c r="F3878" s="3"/>
    </row>
    <row r="3879" spans="3:6" x14ac:dyDescent="0.3">
      <c r="C3879" s="3"/>
      <c r="D3879" s="3"/>
      <c r="E3879" s="3"/>
      <c r="F3879" s="3"/>
    </row>
    <row r="3880" spans="3:6" x14ac:dyDescent="0.3">
      <c r="C3880" s="3"/>
      <c r="D3880" s="3"/>
      <c r="E3880" s="3"/>
      <c r="F3880" s="3"/>
    </row>
    <row r="3881" spans="3:6" x14ac:dyDescent="0.3">
      <c r="C3881" s="3"/>
      <c r="D3881" s="3"/>
      <c r="E3881" s="3"/>
      <c r="F3881" s="3"/>
    </row>
    <row r="3882" spans="3:6" x14ac:dyDescent="0.3">
      <c r="C3882" s="3"/>
      <c r="D3882" s="3"/>
      <c r="E3882" s="3"/>
      <c r="F3882" s="3"/>
    </row>
    <row r="3883" spans="3:6" x14ac:dyDescent="0.3">
      <c r="C3883" s="3"/>
      <c r="D3883" s="3"/>
      <c r="E3883" s="3"/>
      <c r="F3883" s="3"/>
    </row>
    <row r="3884" spans="3:6" x14ac:dyDescent="0.3">
      <c r="C3884" s="3"/>
      <c r="D3884" s="3"/>
      <c r="E3884" s="3"/>
      <c r="F3884" s="3"/>
    </row>
    <row r="3885" spans="3:6" x14ac:dyDescent="0.3">
      <c r="C3885" s="3"/>
      <c r="D3885" s="3"/>
      <c r="E3885" s="3"/>
      <c r="F3885" s="3"/>
    </row>
    <row r="3886" spans="3:6" x14ac:dyDescent="0.3">
      <c r="C3886" s="3"/>
      <c r="D3886" s="3"/>
      <c r="E3886" s="3"/>
      <c r="F3886" s="3"/>
    </row>
    <row r="3887" spans="3:6" x14ac:dyDescent="0.3">
      <c r="C3887" s="3"/>
      <c r="D3887" s="3"/>
      <c r="E3887" s="3"/>
      <c r="F3887" s="3"/>
    </row>
    <row r="3888" spans="3:6" x14ac:dyDescent="0.3">
      <c r="C3888" s="3"/>
      <c r="D3888" s="3"/>
      <c r="E3888" s="3"/>
      <c r="F3888" s="3"/>
    </row>
    <row r="3889" spans="3:6" x14ac:dyDescent="0.3">
      <c r="C3889" s="3"/>
      <c r="D3889" s="3"/>
      <c r="E3889" s="3"/>
      <c r="F3889" s="3"/>
    </row>
    <row r="3890" spans="3:6" x14ac:dyDescent="0.3">
      <c r="C3890" s="3"/>
      <c r="D3890" s="3"/>
      <c r="E3890" s="3"/>
      <c r="F3890" s="3"/>
    </row>
    <row r="3891" spans="3:6" x14ac:dyDescent="0.3">
      <c r="C3891" s="3"/>
      <c r="D3891" s="3"/>
      <c r="E3891" s="3"/>
      <c r="F3891" s="3"/>
    </row>
    <row r="3892" spans="3:6" x14ac:dyDescent="0.3">
      <c r="C3892" s="3"/>
      <c r="D3892" s="3"/>
      <c r="E3892" s="3"/>
      <c r="F3892" s="3"/>
    </row>
    <row r="3893" spans="3:6" x14ac:dyDescent="0.3">
      <c r="C3893" s="3"/>
      <c r="D3893" s="3"/>
      <c r="E3893" s="3"/>
      <c r="F3893" s="3"/>
    </row>
    <row r="3894" spans="3:6" x14ac:dyDescent="0.3">
      <c r="C3894" s="3"/>
      <c r="D3894" s="3"/>
      <c r="E3894" s="3"/>
      <c r="F3894" s="3"/>
    </row>
    <row r="3895" spans="3:6" x14ac:dyDescent="0.3">
      <c r="C3895" s="3"/>
      <c r="D3895" s="3"/>
      <c r="E3895" s="3"/>
      <c r="F3895" s="3"/>
    </row>
    <row r="3896" spans="3:6" x14ac:dyDescent="0.3">
      <c r="C3896" s="3"/>
      <c r="D3896" s="3"/>
      <c r="E3896" s="3"/>
      <c r="F3896" s="3"/>
    </row>
    <row r="3897" spans="3:6" x14ac:dyDescent="0.3">
      <c r="C3897" s="3"/>
      <c r="D3897" s="3"/>
      <c r="E3897" s="3"/>
      <c r="F3897" s="3"/>
    </row>
    <row r="3898" spans="3:6" x14ac:dyDescent="0.3">
      <c r="C3898" s="3"/>
      <c r="D3898" s="3"/>
      <c r="E3898" s="3"/>
      <c r="F3898" s="3"/>
    </row>
    <row r="3899" spans="3:6" x14ac:dyDescent="0.3">
      <c r="C3899" s="3"/>
      <c r="D3899" s="3"/>
      <c r="E3899" s="3"/>
      <c r="F3899" s="3"/>
    </row>
    <row r="3900" spans="3:6" x14ac:dyDescent="0.3">
      <c r="C3900" s="3"/>
      <c r="D3900" s="3"/>
      <c r="E3900" s="3"/>
      <c r="F3900" s="3"/>
    </row>
    <row r="3901" spans="3:6" x14ac:dyDescent="0.3">
      <c r="C3901" s="3"/>
      <c r="D3901" s="3"/>
      <c r="E3901" s="3"/>
      <c r="F3901" s="3"/>
    </row>
    <row r="3902" spans="3:6" x14ac:dyDescent="0.3">
      <c r="C3902" s="3"/>
      <c r="D3902" s="3"/>
      <c r="E3902" s="3"/>
      <c r="F3902" s="3"/>
    </row>
    <row r="3903" spans="3:6" x14ac:dyDescent="0.3">
      <c r="C3903" s="3"/>
      <c r="D3903" s="3"/>
      <c r="E3903" s="3"/>
      <c r="F3903" s="3"/>
    </row>
    <row r="3904" spans="3:6" x14ac:dyDescent="0.3">
      <c r="C3904" s="3"/>
      <c r="D3904" s="3"/>
      <c r="E3904" s="3"/>
      <c r="F3904" s="3"/>
    </row>
    <row r="3905" spans="3:6" x14ac:dyDescent="0.3">
      <c r="C3905" s="3"/>
      <c r="D3905" s="3"/>
      <c r="E3905" s="3"/>
      <c r="F3905" s="3"/>
    </row>
    <row r="3906" spans="3:6" x14ac:dyDescent="0.3">
      <c r="C3906" s="3"/>
      <c r="D3906" s="3"/>
      <c r="E3906" s="3"/>
      <c r="F3906" s="3"/>
    </row>
    <row r="3907" spans="3:6" x14ac:dyDescent="0.3">
      <c r="C3907" s="3"/>
      <c r="D3907" s="3"/>
      <c r="E3907" s="3"/>
      <c r="F3907" s="3"/>
    </row>
    <row r="3908" spans="3:6" x14ac:dyDescent="0.3">
      <c r="C3908" s="3"/>
      <c r="D3908" s="3"/>
      <c r="E3908" s="3"/>
      <c r="F3908" s="3"/>
    </row>
    <row r="3909" spans="3:6" x14ac:dyDescent="0.3">
      <c r="C3909" s="3"/>
      <c r="D3909" s="3"/>
      <c r="E3909" s="3"/>
      <c r="F3909" s="3"/>
    </row>
    <row r="3910" spans="3:6" x14ac:dyDescent="0.3">
      <c r="C3910" s="3"/>
      <c r="D3910" s="3"/>
      <c r="E3910" s="3"/>
      <c r="F3910" s="3"/>
    </row>
    <row r="3911" spans="3:6" x14ac:dyDescent="0.3">
      <c r="C3911" s="3"/>
      <c r="D3911" s="3"/>
      <c r="E3911" s="3"/>
      <c r="F3911" s="3"/>
    </row>
    <row r="3912" spans="3:6" x14ac:dyDescent="0.3">
      <c r="C3912" s="3"/>
      <c r="D3912" s="3"/>
      <c r="E3912" s="3"/>
      <c r="F3912" s="3"/>
    </row>
    <row r="3913" spans="3:6" x14ac:dyDescent="0.3">
      <c r="C3913" s="3"/>
      <c r="D3913" s="3"/>
      <c r="E3913" s="3"/>
      <c r="F3913" s="3"/>
    </row>
    <row r="3914" spans="3:6" x14ac:dyDescent="0.3">
      <c r="C3914" s="3"/>
      <c r="D3914" s="3"/>
      <c r="E3914" s="3"/>
      <c r="F3914" s="3"/>
    </row>
    <row r="3915" spans="3:6" x14ac:dyDescent="0.3">
      <c r="C3915" s="3"/>
      <c r="D3915" s="3"/>
      <c r="E3915" s="3"/>
      <c r="F3915" s="3"/>
    </row>
    <row r="3916" spans="3:6" x14ac:dyDescent="0.3">
      <c r="C3916" s="3"/>
      <c r="D3916" s="3"/>
      <c r="E3916" s="3"/>
      <c r="F3916" s="3"/>
    </row>
    <row r="3917" spans="3:6" x14ac:dyDescent="0.3">
      <c r="C3917" s="3"/>
      <c r="D3917" s="3"/>
      <c r="E3917" s="3"/>
      <c r="F3917" s="3"/>
    </row>
    <row r="3918" spans="3:6" x14ac:dyDescent="0.3">
      <c r="C3918" s="3"/>
      <c r="D3918" s="3"/>
      <c r="E3918" s="3"/>
      <c r="F3918" s="3"/>
    </row>
    <row r="3919" spans="3:6" x14ac:dyDescent="0.3">
      <c r="C3919" s="3"/>
      <c r="D3919" s="3"/>
      <c r="E3919" s="3"/>
      <c r="F3919" s="3"/>
    </row>
    <row r="3920" spans="3:6" x14ac:dyDescent="0.3">
      <c r="C3920" s="3"/>
      <c r="D3920" s="3"/>
      <c r="E3920" s="3"/>
      <c r="F3920" s="3"/>
    </row>
    <row r="3921" spans="3:6" x14ac:dyDescent="0.3">
      <c r="C3921" s="3"/>
      <c r="D3921" s="3"/>
      <c r="E3921" s="3"/>
      <c r="F3921" s="3"/>
    </row>
    <row r="3922" spans="3:6" x14ac:dyDescent="0.3">
      <c r="C3922" s="3"/>
      <c r="D3922" s="3"/>
      <c r="E3922" s="3"/>
      <c r="F3922" s="3"/>
    </row>
    <row r="3923" spans="3:6" x14ac:dyDescent="0.3">
      <c r="C3923" s="3"/>
      <c r="D3923" s="3"/>
      <c r="E3923" s="3"/>
      <c r="F3923" s="3"/>
    </row>
    <row r="3924" spans="3:6" x14ac:dyDescent="0.3">
      <c r="C3924" s="3"/>
      <c r="D3924" s="3"/>
      <c r="E3924" s="3"/>
      <c r="F3924" s="3"/>
    </row>
    <row r="3925" spans="3:6" x14ac:dyDescent="0.3">
      <c r="C3925" s="3"/>
      <c r="D3925" s="3"/>
      <c r="E3925" s="3"/>
      <c r="F3925" s="3"/>
    </row>
    <row r="3926" spans="3:6" x14ac:dyDescent="0.3">
      <c r="C3926" s="3"/>
      <c r="D3926" s="3"/>
      <c r="E3926" s="3"/>
      <c r="F3926" s="3"/>
    </row>
    <row r="3927" spans="3:6" x14ac:dyDescent="0.3">
      <c r="C3927" s="3"/>
      <c r="D3927" s="3"/>
      <c r="E3927" s="3"/>
      <c r="F3927" s="3"/>
    </row>
    <row r="3928" spans="3:6" x14ac:dyDescent="0.3">
      <c r="C3928" s="3"/>
      <c r="D3928" s="3"/>
      <c r="E3928" s="3"/>
      <c r="F3928" s="3"/>
    </row>
    <row r="3929" spans="3:6" x14ac:dyDescent="0.3">
      <c r="C3929" s="3"/>
      <c r="D3929" s="3"/>
      <c r="E3929" s="3"/>
      <c r="F3929" s="3"/>
    </row>
    <row r="3930" spans="3:6" x14ac:dyDescent="0.3">
      <c r="C3930" s="3"/>
      <c r="D3930" s="3"/>
      <c r="E3930" s="3"/>
      <c r="F3930" s="3"/>
    </row>
    <row r="3931" spans="3:6" x14ac:dyDescent="0.3">
      <c r="C3931" s="3"/>
      <c r="D3931" s="3"/>
      <c r="E3931" s="3"/>
      <c r="F3931" s="3"/>
    </row>
    <row r="3932" spans="3:6" x14ac:dyDescent="0.3">
      <c r="C3932" s="3"/>
      <c r="D3932" s="3"/>
      <c r="E3932" s="3"/>
      <c r="F3932" s="3"/>
    </row>
    <row r="3933" spans="3:6" x14ac:dyDescent="0.3">
      <c r="C3933" s="3"/>
      <c r="D3933" s="3"/>
      <c r="E3933" s="3"/>
      <c r="F3933" s="3"/>
    </row>
    <row r="3934" spans="3:6" x14ac:dyDescent="0.3">
      <c r="C3934" s="3"/>
      <c r="D3934" s="3"/>
      <c r="E3934" s="3"/>
      <c r="F3934" s="3"/>
    </row>
    <row r="3935" spans="3:6" x14ac:dyDescent="0.3">
      <c r="C3935" s="3"/>
      <c r="D3935" s="3"/>
      <c r="E3935" s="3"/>
      <c r="F3935" s="3"/>
    </row>
    <row r="3936" spans="3:6" x14ac:dyDescent="0.3">
      <c r="C3936" s="3"/>
      <c r="D3936" s="3"/>
      <c r="E3936" s="3"/>
      <c r="F3936" s="3"/>
    </row>
    <row r="3937" spans="3:6" x14ac:dyDescent="0.3">
      <c r="C3937" s="3"/>
      <c r="D3937" s="3"/>
      <c r="E3937" s="3"/>
      <c r="F3937" s="3"/>
    </row>
    <row r="3938" spans="3:6" x14ac:dyDescent="0.3">
      <c r="C3938" s="3"/>
      <c r="D3938" s="3"/>
      <c r="E3938" s="3"/>
      <c r="F3938" s="3"/>
    </row>
    <row r="3939" spans="3:6" x14ac:dyDescent="0.3">
      <c r="C3939" s="3"/>
      <c r="D3939" s="3"/>
      <c r="E3939" s="3"/>
      <c r="F3939" s="3"/>
    </row>
    <row r="3940" spans="3:6" x14ac:dyDescent="0.3">
      <c r="C3940" s="3"/>
      <c r="D3940" s="3"/>
      <c r="E3940" s="3"/>
      <c r="F3940" s="3"/>
    </row>
    <row r="3941" spans="3:6" x14ac:dyDescent="0.3">
      <c r="C3941" s="3"/>
      <c r="D3941" s="3"/>
      <c r="E3941" s="3"/>
      <c r="F3941" s="3"/>
    </row>
    <row r="3942" spans="3:6" x14ac:dyDescent="0.3">
      <c r="C3942" s="3"/>
      <c r="D3942" s="3"/>
      <c r="E3942" s="3"/>
      <c r="F3942" s="3"/>
    </row>
    <row r="3943" spans="3:6" x14ac:dyDescent="0.3">
      <c r="C3943" s="3"/>
      <c r="D3943" s="3"/>
      <c r="E3943" s="3"/>
      <c r="F3943" s="3"/>
    </row>
    <row r="3944" spans="3:6" x14ac:dyDescent="0.3">
      <c r="C3944" s="3"/>
      <c r="D3944" s="3"/>
      <c r="E3944" s="3"/>
      <c r="F3944" s="3"/>
    </row>
    <row r="3945" spans="3:6" x14ac:dyDescent="0.3">
      <c r="C3945" s="3"/>
      <c r="D3945" s="3"/>
      <c r="E3945" s="3"/>
      <c r="F3945" s="3"/>
    </row>
    <row r="3946" spans="3:6" x14ac:dyDescent="0.3">
      <c r="C3946" s="3"/>
      <c r="D3946" s="3"/>
      <c r="E3946" s="3"/>
      <c r="F3946" s="3"/>
    </row>
    <row r="3947" spans="3:6" x14ac:dyDescent="0.3">
      <c r="C3947" s="3"/>
      <c r="D3947" s="3"/>
      <c r="E3947" s="3"/>
      <c r="F3947" s="3"/>
    </row>
    <row r="3948" spans="3:6" x14ac:dyDescent="0.3">
      <c r="C3948" s="3"/>
      <c r="D3948" s="3"/>
      <c r="E3948" s="3"/>
      <c r="F3948" s="3"/>
    </row>
    <row r="3949" spans="3:6" x14ac:dyDescent="0.3">
      <c r="C3949" s="3"/>
      <c r="D3949" s="3"/>
      <c r="E3949" s="3"/>
      <c r="F3949" s="3"/>
    </row>
    <row r="3950" spans="3:6" x14ac:dyDescent="0.3">
      <c r="C3950" s="3"/>
      <c r="D3950" s="3"/>
      <c r="E3950" s="3"/>
      <c r="F3950" s="3"/>
    </row>
    <row r="3951" spans="3:6" x14ac:dyDescent="0.3">
      <c r="C3951" s="3"/>
      <c r="D3951" s="3"/>
      <c r="E3951" s="3"/>
      <c r="F3951" s="3"/>
    </row>
    <row r="3952" spans="3:6" x14ac:dyDescent="0.3">
      <c r="C3952" s="3"/>
      <c r="D3952" s="3"/>
      <c r="E3952" s="3"/>
      <c r="F3952" s="3"/>
    </row>
    <row r="3953" spans="3:6" x14ac:dyDescent="0.3">
      <c r="C3953" s="3"/>
      <c r="D3953" s="3"/>
      <c r="E3953" s="3"/>
      <c r="F3953" s="3"/>
    </row>
    <row r="3954" spans="3:6" x14ac:dyDescent="0.3">
      <c r="C3954" s="3"/>
      <c r="D3954" s="3"/>
      <c r="E3954" s="3"/>
      <c r="F3954" s="3"/>
    </row>
    <row r="3955" spans="3:6" x14ac:dyDescent="0.3">
      <c r="C3955" s="3"/>
      <c r="D3955" s="3"/>
      <c r="E3955" s="3"/>
      <c r="F3955" s="3"/>
    </row>
    <row r="3956" spans="3:6" x14ac:dyDescent="0.3">
      <c r="C3956" s="3"/>
      <c r="D3956" s="3"/>
      <c r="E3956" s="3"/>
      <c r="F3956" s="3"/>
    </row>
    <row r="3957" spans="3:6" x14ac:dyDescent="0.3">
      <c r="C3957" s="3"/>
      <c r="D3957" s="3"/>
      <c r="E3957" s="3"/>
      <c r="F3957" s="3"/>
    </row>
    <row r="3958" spans="3:6" x14ac:dyDescent="0.3">
      <c r="C3958" s="3"/>
      <c r="D3958" s="3"/>
      <c r="E3958" s="3"/>
      <c r="F3958" s="3"/>
    </row>
    <row r="3959" spans="3:6" x14ac:dyDescent="0.3">
      <c r="C3959" s="3"/>
      <c r="D3959" s="3"/>
      <c r="E3959" s="3"/>
      <c r="F3959" s="3"/>
    </row>
    <row r="3960" spans="3:6" x14ac:dyDescent="0.3">
      <c r="C3960" s="3"/>
      <c r="D3960" s="3"/>
      <c r="E3960" s="3"/>
      <c r="F3960" s="3"/>
    </row>
    <row r="3961" spans="3:6" x14ac:dyDescent="0.3">
      <c r="C3961" s="3"/>
      <c r="D3961" s="3"/>
      <c r="E3961" s="3"/>
      <c r="F3961" s="3"/>
    </row>
    <row r="3962" spans="3:6" x14ac:dyDescent="0.3">
      <c r="C3962" s="3"/>
      <c r="D3962" s="3"/>
      <c r="E3962" s="3"/>
      <c r="F3962" s="3"/>
    </row>
    <row r="3963" spans="3:6" x14ac:dyDescent="0.3">
      <c r="C3963" s="3"/>
      <c r="D3963" s="3"/>
      <c r="E3963" s="3"/>
      <c r="F3963" s="3"/>
    </row>
    <row r="3964" spans="3:6" x14ac:dyDescent="0.3">
      <c r="C3964" s="3"/>
      <c r="D3964" s="3"/>
      <c r="E3964" s="3"/>
      <c r="F3964" s="3"/>
    </row>
    <row r="3965" spans="3:6" x14ac:dyDescent="0.3">
      <c r="C3965" s="3"/>
      <c r="D3965" s="3"/>
      <c r="E3965" s="3"/>
      <c r="F3965" s="3"/>
    </row>
    <row r="3966" spans="3:6" x14ac:dyDescent="0.3">
      <c r="C3966" s="3"/>
      <c r="D3966" s="3"/>
      <c r="E3966" s="3"/>
      <c r="F3966" s="3"/>
    </row>
    <row r="3967" spans="3:6" x14ac:dyDescent="0.3">
      <c r="C3967" s="3"/>
      <c r="D3967" s="3"/>
      <c r="E3967" s="3"/>
      <c r="F3967" s="3"/>
    </row>
    <row r="3968" spans="3:6" x14ac:dyDescent="0.3">
      <c r="C3968" s="3"/>
      <c r="D3968" s="3"/>
      <c r="E3968" s="3"/>
      <c r="F3968" s="3"/>
    </row>
    <row r="3969" spans="3:6" x14ac:dyDescent="0.3">
      <c r="C3969" s="3"/>
      <c r="D3969" s="3"/>
      <c r="E3969" s="3"/>
      <c r="F3969" s="3"/>
    </row>
    <row r="3970" spans="3:6" x14ac:dyDescent="0.3">
      <c r="C3970" s="3"/>
      <c r="D3970" s="3"/>
      <c r="E3970" s="3"/>
      <c r="F3970" s="3"/>
    </row>
    <row r="3971" spans="3:6" x14ac:dyDescent="0.3">
      <c r="C3971" s="3"/>
      <c r="D3971" s="3"/>
      <c r="E3971" s="3"/>
      <c r="F3971" s="3"/>
    </row>
    <row r="3972" spans="3:6" x14ac:dyDescent="0.3">
      <c r="C3972" s="3"/>
      <c r="D3972" s="3"/>
      <c r="E3972" s="3"/>
      <c r="F3972" s="3"/>
    </row>
    <row r="3973" spans="3:6" x14ac:dyDescent="0.3">
      <c r="C3973" s="3"/>
      <c r="D3973" s="3"/>
      <c r="E3973" s="3"/>
      <c r="F3973" s="3"/>
    </row>
    <row r="3974" spans="3:6" x14ac:dyDescent="0.3">
      <c r="C3974" s="3"/>
      <c r="D3974" s="3"/>
      <c r="E3974" s="3"/>
      <c r="F3974" s="3"/>
    </row>
    <row r="3975" spans="3:6" x14ac:dyDescent="0.3">
      <c r="C3975" s="3"/>
      <c r="D3975" s="3"/>
      <c r="E3975" s="3"/>
      <c r="F3975" s="3"/>
    </row>
    <row r="3976" spans="3:6" x14ac:dyDescent="0.3">
      <c r="C3976" s="3"/>
      <c r="D3976" s="3"/>
      <c r="E3976" s="3"/>
      <c r="F3976" s="3"/>
    </row>
    <row r="3977" spans="3:6" x14ac:dyDescent="0.3">
      <c r="C3977" s="3"/>
      <c r="D3977" s="3"/>
      <c r="E3977" s="3"/>
      <c r="F3977" s="3"/>
    </row>
    <row r="3978" spans="3:6" x14ac:dyDescent="0.3">
      <c r="C3978" s="3"/>
      <c r="D3978" s="3"/>
      <c r="E3978" s="3"/>
      <c r="F3978" s="3"/>
    </row>
    <row r="3979" spans="3:6" x14ac:dyDescent="0.3">
      <c r="C3979" s="3"/>
      <c r="D3979" s="3"/>
      <c r="E3979" s="3"/>
      <c r="F3979" s="3"/>
    </row>
    <row r="3980" spans="3:6" x14ac:dyDescent="0.3">
      <c r="C3980" s="3"/>
      <c r="D3980" s="3"/>
      <c r="E3980" s="3"/>
      <c r="F3980" s="3"/>
    </row>
    <row r="3981" spans="3:6" x14ac:dyDescent="0.3">
      <c r="C3981" s="3"/>
      <c r="D3981" s="3"/>
      <c r="E3981" s="3"/>
      <c r="F3981" s="3"/>
    </row>
    <row r="3982" spans="3:6" x14ac:dyDescent="0.3">
      <c r="C3982" s="3"/>
      <c r="D3982" s="3"/>
      <c r="E3982" s="3"/>
      <c r="F3982" s="3"/>
    </row>
    <row r="3983" spans="3:6" x14ac:dyDescent="0.3">
      <c r="C3983" s="3"/>
      <c r="D3983" s="3"/>
      <c r="E3983" s="3"/>
      <c r="F3983" s="3"/>
    </row>
    <row r="3984" spans="3:6" x14ac:dyDescent="0.3">
      <c r="C3984" s="3"/>
      <c r="D3984" s="3"/>
      <c r="E3984" s="3"/>
      <c r="F3984" s="3"/>
    </row>
    <row r="3985" spans="3:6" x14ac:dyDescent="0.3">
      <c r="C3985" s="3"/>
      <c r="D3985" s="3"/>
      <c r="E3985" s="3"/>
      <c r="F3985" s="3"/>
    </row>
    <row r="3986" spans="3:6" x14ac:dyDescent="0.3">
      <c r="C3986" s="3"/>
      <c r="D3986" s="3"/>
      <c r="E3986" s="3"/>
      <c r="F3986" s="3"/>
    </row>
    <row r="3987" spans="3:6" x14ac:dyDescent="0.3">
      <c r="C3987" s="3"/>
      <c r="D3987" s="3"/>
      <c r="E3987" s="3"/>
      <c r="F3987" s="3"/>
    </row>
    <row r="3988" spans="3:6" x14ac:dyDescent="0.3">
      <c r="C3988" s="3"/>
      <c r="D3988" s="3"/>
      <c r="E3988" s="3"/>
      <c r="F3988" s="3"/>
    </row>
    <row r="3989" spans="3:6" x14ac:dyDescent="0.3">
      <c r="C3989" s="3"/>
      <c r="D3989" s="3"/>
      <c r="E3989" s="3"/>
      <c r="F3989" s="3"/>
    </row>
    <row r="3990" spans="3:6" x14ac:dyDescent="0.3">
      <c r="C3990" s="3"/>
      <c r="D3990" s="3"/>
      <c r="E3990" s="3"/>
      <c r="F3990" s="3"/>
    </row>
    <row r="3991" spans="3:6" x14ac:dyDescent="0.3">
      <c r="C3991" s="3"/>
      <c r="D3991" s="3"/>
      <c r="E3991" s="3"/>
      <c r="F3991" s="3"/>
    </row>
    <row r="3992" spans="3:6" x14ac:dyDescent="0.3">
      <c r="C3992" s="3"/>
      <c r="D3992" s="3"/>
      <c r="E3992" s="3"/>
      <c r="F3992" s="3"/>
    </row>
    <row r="3993" spans="3:6" x14ac:dyDescent="0.3">
      <c r="C3993" s="3"/>
      <c r="D3993" s="3"/>
      <c r="E3993" s="3"/>
      <c r="F3993" s="3"/>
    </row>
    <row r="3994" spans="3:6" x14ac:dyDescent="0.3">
      <c r="C3994" s="3"/>
      <c r="D3994" s="3"/>
      <c r="E3994" s="3"/>
      <c r="F3994" s="3"/>
    </row>
    <row r="3995" spans="3:6" x14ac:dyDescent="0.3">
      <c r="C3995" s="3"/>
      <c r="D3995" s="3"/>
      <c r="E3995" s="3"/>
      <c r="F3995" s="3"/>
    </row>
    <row r="3996" spans="3:6" x14ac:dyDescent="0.3">
      <c r="C3996" s="3"/>
      <c r="D3996" s="3"/>
      <c r="E3996" s="3"/>
      <c r="F3996" s="3"/>
    </row>
    <row r="3997" spans="3:6" x14ac:dyDescent="0.3">
      <c r="C3997" s="3"/>
      <c r="D3997" s="3"/>
      <c r="E3997" s="3"/>
      <c r="F3997" s="3"/>
    </row>
    <row r="3998" spans="3:6" x14ac:dyDescent="0.3">
      <c r="C3998" s="3"/>
      <c r="D3998" s="3"/>
      <c r="E3998" s="3"/>
      <c r="F3998" s="3"/>
    </row>
    <row r="3999" spans="3:6" x14ac:dyDescent="0.3">
      <c r="C3999" s="3"/>
      <c r="D3999" s="3"/>
      <c r="E3999" s="3"/>
      <c r="F3999" s="3"/>
    </row>
    <row r="4000" spans="3:6" x14ac:dyDescent="0.3">
      <c r="C4000" s="3"/>
      <c r="D4000" s="3"/>
      <c r="E4000" s="3"/>
      <c r="F4000" s="3"/>
    </row>
    <row r="4001" spans="3:6" x14ac:dyDescent="0.3">
      <c r="C4001" s="3"/>
      <c r="D4001" s="3"/>
      <c r="E4001" s="3"/>
      <c r="F4001" s="3"/>
    </row>
    <row r="4002" spans="3:6" x14ac:dyDescent="0.3">
      <c r="C4002" s="3"/>
      <c r="D4002" s="3"/>
      <c r="E4002" s="3"/>
      <c r="F4002" s="3"/>
    </row>
    <row r="4003" spans="3:6" x14ac:dyDescent="0.3">
      <c r="C4003" s="3"/>
      <c r="D4003" s="3"/>
      <c r="E4003" s="3"/>
      <c r="F4003" s="3"/>
    </row>
    <row r="4004" spans="3:6" x14ac:dyDescent="0.3">
      <c r="C4004" s="3"/>
      <c r="D4004" s="3"/>
      <c r="E4004" s="3"/>
      <c r="F4004" s="3"/>
    </row>
    <row r="4005" spans="3:6" x14ac:dyDescent="0.3">
      <c r="C4005" s="3"/>
      <c r="D4005" s="3"/>
      <c r="E4005" s="3"/>
      <c r="F4005" s="3"/>
    </row>
    <row r="4006" spans="3:6" x14ac:dyDescent="0.3">
      <c r="C4006" s="3"/>
      <c r="D4006" s="3"/>
      <c r="E4006" s="3"/>
      <c r="F4006" s="3"/>
    </row>
    <row r="4007" spans="3:6" x14ac:dyDescent="0.3">
      <c r="C4007" s="3"/>
      <c r="D4007" s="3"/>
      <c r="E4007" s="3"/>
      <c r="F4007" s="3"/>
    </row>
    <row r="4008" spans="3:6" x14ac:dyDescent="0.3">
      <c r="C4008" s="3"/>
      <c r="D4008" s="3"/>
      <c r="E4008" s="3"/>
      <c r="F4008" s="3"/>
    </row>
    <row r="4009" spans="3:6" x14ac:dyDescent="0.3">
      <c r="C4009" s="3"/>
      <c r="D4009" s="3"/>
      <c r="E4009" s="3"/>
      <c r="F4009" s="3"/>
    </row>
    <row r="4010" spans="3:6" x14ac:dyDescent="0.3">
      <c r="C4010" s="3"/>
      <c r="D4010" s="3"/>
      <c r="E4010" s="3"/>
      <c r="F4010" s="3"/>
    </row>
    <row r="4011" spans="3:6" x14ac:dyDescent="0.3">
      <c r="C4011" s="3"/>
      <c r="D4011" s="3"/>
      <c r="E4011" s="3"/>
      <c r="F4011" s="3"/>
    </row>
    <row r="4012" spans="3:6" x14ac:dyDescent="0.3">
      <c r="C4012" s="3"/>
      <c r="D4012" s="3"/>
      <c r="E4012" s="3"/>
      <c r="F4012" s="3"/>
    </row>
    <row r="4013" spans="3:6" x14ac:dyDescent="0.3">
      <c r="C4013" s="3"/>
      <c r="D4013" s="3"/>
      <c r="E4013" s="3"/>
      <c r="F4013" s="3"/>
    </row>
    <row r="4014" spans="3:6" x14ac:dyDescent="0.3">
      <c r="C4014" s="3"/>
      <c r="D4014" s="3"/>
      <c r="E4014" s="3"/>
      <c r="F4014" s="3"/>
    </row>
    <row r="4015" spans="3:6" x14ac:dyDescent="0.3">
      <c r="C4015" s="3"/>
      <c r="D4015" s="3"/>
      <c r="E4015" s="3"/>
      <c r="F4015" s="3"/>
    </row>
    <row r="4016" spans="3:6" x14ac:dyDescent="0.3">
      <c r="C4016" s="3"/>
      <c r="D4016" s="3"/>
      <c r="E4016" s="3"/>
      <c r="F4016" s="3"/>
    </row>
    <row r="4017" spans="3:6" x14ac:dyDescent="0.3">
      <c r="C4017" s="3"/>
      <c r="D4017" s="3"/>
      <c r="E4017" s="3"/>
      <c r="F4017" s="3"/>
    </row>
    <row r="4018" spans="3:6" x14ac:dyDescent="0.3">
      <c r="C4018" s="3"/>
      <c r="D4018" s="3"/>
      <c r="E4018" s="3"/>
      <c r="F4018" s="3"/>
    </row>
    <row r="4019" spans="3:6" x14ac:dyDescent="0.3">
      <c r="C4019" s="3"/>
      <c r="D4019" s="3"/>
      <c r="E4019" s="3"/>
      <c r="F4019" s="3"/>
    </row>
    <row r="4020" spans="3:6" x14ac:dyDescent="0.3">
      <c r="C4020" s="3"/>
      <c r="D4020" s="3"/>
      <c r="E4020" s="3"/>
      <c r="F4020" s="3"/>
    </row>
    <row r="4021" spans="3:6" x14ac:dyDescent="0.3">
      <c r="C4021" s="3"/>
      <c r="D4021" s="3"/>
      <c r="E4021" s="3"/>
      <c r="F4021" s="3"/>
    </row>
    <row r="4022" spans="3:6" x14ac:dyDescent="0.3">
      <c r="C4022" s="3"/>
      <c r="D4022" s="3"/>
      <c r="E4022" s="3"/>
      <c r="F4022" s="3"/>
    </row>
    <row r="4023" spans="3:6" x14ac:dyDescent="0.3">
      <c r="C4023" s="3"/>
      <c r="D4023" s="3"/>
      <c r="E4023" s="3"/>
      <c r="F4023" s="3"/>
    </row>
    <row r="4024" spans="3:6" x14ac:dyDescent="0.3">
      <c r="C4024" s="3"/>
      <c r="D4024" s="3"/>
      <c r="E4024" s="3"/>
      <c r="F4024" s="3"/>
    </row>
    <row r="4025" spans="3:6" x14ac:dyDescent="0.3">
      <c r="C4025" s="3"/>
      <c r="D4025" s="3"/>
      <c r="E4025" s="3"/>
      <c r="F4025" s="3"/>
    </row>
    <row r="4026" spans="3:6" x14ac:dyDescent="0.3">
      <c r="C4026" s="3"/>
      <c r="D4026" s="3"/>
      <c r="E4026" s="3"/>
      <c r="F4026" s="3"/>
    </row>
    <row r="4027" spans="3:6" x14ac:dyDescent="0.3">
      <c r="C4027" s="3"/>
      <c r="D4027" s="3"/>
      <c r="E4027" s="3"/>
      <c r="F4027" s="3"/>
    </row>
    <row r="4028" spans="3:6" x14ac:dyDescent="0.3">
      <c r="C4028" s="3"/>
      <c r="D4028" s="3"/>
      <c r="E4028" s="3"/>
      <c r="F4028" s="3"/>
    </row>
    <row r="4029" spans="3:6" x14ac:dyDescent="0.3">
      <c r="C4029" s="3"/>
      <c r="D4029" s="3"/>
      <c r="E4029" s="3"/>
      <c r="F4029" s="3"/>
    </row>
    <row r="4030" spans="3:6" x14ac:dyDescent="0.3">
      <c r="C4030" s="3"/>
      <c r="D4030" s="3"/>
      <c r="E4030" s="3"/>
      <c r="F4030" s="3"/>
    </row>
    <row r="4031" spans="3:6" x14ac:dyDescent="0.3">
      <c r="C4031" s="3"/>
      <c r="D4031" s="3"/>
      <c r="E4031" s="3"/>
      <c r="F4031" s="3"/>
    </row>
    <row r="4032" spans="3:6" x14ac:dyDescent="0.3">
      <c r="C4032" s="3"/>
      <c r="D4032" s="3"/>
      <c r="E4032" s="3"/>
      <c r="F4032" s="3"/>
    </row>
    <row r="4033" spans="3:6" x14ac:dyDescent="0.3">
      <c r="C4033" s="3"/>
      <c r="D4033" s="3"/>
      <c r="E4033" s="3"/>
      <c r="F4033" s="3"/>
    </row>
    <row r="4034" spans="3:6" x14ac:dyDescent="0.3">
      <c r="C4034" s="3"/>
      <c r="D4034" s="3"/>
      <c r="E4034" s="3"/>
      <c r="F4034" s="3"/>
    </row>
    <row r="4035" spans="3:6" x14ac:dyDescent="0.3">
      <c r="C4035" s="3"/>
      <c r="D4035" s="3"/>
      <c r="E4035" s="3"/>
      <c r="F4035" s="3"/>
    </row>
    <row r="4036" spans="3:6" x14ac:dyDescent="0.3">
      <c r="C4036" s="3"/>
      <c r="D4036" s="3"/>
      <c r="E4036" s="3"/>
      <c r="F4036" s="3"/>
    </row>
    <row r="4037" spans="3:6" x14ac:dyDescent="0.3">
      <c r="C4037" s="3"/>
      <c r="D4037" s="3"/>
      <c r="E4037" s="3"/>
      <c r="F4037" s="3"/>
    </row>
    <row r="4038" spans="3:6" x14ac:dyDescent="0.3">
      <c r="C4038" s="3"/>
      <c r="D4038" s="3"/>
      <c r="E4038" s="3"/>
      <c r="F4038" s="3"/>
    </row>
    <row r="4039" spans="3:6" x14ac:dyDescent="0.3">
      <c r="C4039" s="3"/>
      <c r="D4039" s="3"/>
      <c r="E4039" s="3"/>
      <c r="F4039" s="3"/>
    </row>
    <row r="4040" spans="3:6" x14ac:dyDescent="0.3">
      <c r="C4040" s="3"/>
      <c r="D4040" s="3"/>
      <c r="E4040" s="3"/>
      <c r="F4040" s="3"/>
    </row>
    <row r="4041" spans="3:6" x14ac:dyDescent="0.3">
      <c r="C4041" s="3"/>
      <c r="D4041" s="3"/>
      <c r="E4041" s="3"/>
      <c r="F4041" s="3"/>
    </row>
    <row r="4042" spans="3:6" x14ac:dyDescent="0.3">
      <c r="C4042" s="3"/>
      <c r="D4042" s="3"/>
      <c r="E4042" s="3"/>
      <c r="F4042" s="3"/>
    </row>
    <row r="4043" spans="3:6" x14ac:dyDescent="0.3">
      <c r="C4043" s="3"/>
      <c r="D4043" s="3"/>
      <c r="E4043" s="3"/>
      <c r="F4043" s="3"/>
    </row>
    <row r="4044" spans="3:6" x14ac:dyDescent="0.3">
      <c r="C4044" s="3"/>
      <c r="D4044" s="3"/>
      <c r="E4044" s="3"/>
      <c r="F4044" s="3"/>
    </row>
    <row r="4045" spans="3:6" x14ac:dyDescent="0.3">
      <c r="C4045" s="3"/>
      <c r="D4045" s="3"/>
      <c r="E4045" s="3"/>
      <c r="F4045" s="3"/>
    </row>
    <row r="4046" spans="3:6" x14ac:dyDescent="0.3">
      <c r="C4046" s="3"/>
      <c r="D4046" s="3"/>
      <c r="E4046" s="3"/>
      <c r="F4046" s="3"/>
    </row>
    <row r="4047" spans="3:6" x14ac:dyDescent="0.3">
      <c r="C4047" s="3"/>
      <c r="D4047" s="3"/>
      <c r="E4047" s="3"/>
      <c r="F4047" s="3"/>
    </row>
    <row r="4048" spans="3:6" x14ac:dyDescent="0.3">
      <c r="C4048" s="3"/>
      <c r="D4048" s="3"/>
      <c r="E4048" s="3"/>
      <c r="F4048" s="3"/>
    </row>
    <row r="4049" spans="3:6" x14ac:dyDescent="0.3">
      <c r="C4049" s="3"/>
      <c r="D4049" s="3"/>
      <c r="E4049" s="3"/>
      <c r="F4049" s="3"/>
    </row>
    <row r="4050" spans="3:6" x14ac:dyDescent="0.3">
      <c r="C4050" s="3"/>
      <c r="D4050" s="3"/>
      <c r="E4050" s="3"/>
      <c r="F4050" s="3"/>
    </row>
    <row r="4051" spans="3:6" x14ac:dyDescent="0.3">
      <c r="C4051" s="3"/>
      <c r="D4051" s="3"/>
      <c r="E4051" s="3"/>
      <c r="F4051" s="3"/>
    </row>
    <row r="4052" spans="3:6" x14ac:dyDescent="0.3">
      <c r="C4052" s="3"/>
      <c r="D4052" s="3"/>
      <c r="E4052" s="3"/>
      <c r="F4052" s="3"/>
    </row>
    <row r="4053" spans="3:6" x14ac:dyDescent="0.3">
      <c r="C4053" s="3"/>
      <c r="D4053" s="3"/>
      <c r="E4053" s="3"/>
      <c r="F4053" s="3"/>
    </row>
    <row r="4054" spans="3:6" x14ac:dyDescent="0.3">
      <c r="C4054" s="3"/>
      <c r="D4054" s="3"/>
      <c r="E4054" s="3"/>
      <c r="F4054" s="3"/>
    </row>
    <row r="4055" spans="3:6" x14ac:dyDescent="0.3">
      <c r="C4055" s="3"/>
      <c r="D4055" s="3"/>
      <c r="E4055" s="3"/>
      <c r="F4055" s="3"/>
    </row>
    <row r="4056" spans="3:6" x14ac:dyDescent="0.3">
      <c r="C4056" s="3"/>
      <c r="D4056" s="3"/>
      <c r="E4056" s="3"/>
      <c r="F4056" s="3"/>
    </row>
    <row r="4057" spans="3:6" x14ac:dyDescent="0.3">
      <c r="C4057" s="3"/>
      <c r="D4057" s="3"/>
      <c r="E4057" s="3"/>
      <c r="F4057" s="3"/>
    </row>
    <row r="4058" spans="3:6" x14ac:dyDescent="0.3">
      <c r="C4058" s="3"/>
      <c r="D4058" s="3"/>
      <c r="E4058" s="3"/>
      <c r="F4058" s="3"/>
    </row>
    <row r="4059" spans="3:6" x14ac:dyDescent="0.3">
      <c r="C4059" s="3"/>
      <c r="D4059" s="3"/>
      <c r="E4059" s="3"/>
      <c r="F4059" s="3"/>
    </row>
    <row r="4060" spans="3:6" x14ac:dyDescent="0.3">
      <c r="C4060" s="3"/>
      <c r="D4060" s="3"/>
      <c r="E4060" s="3"/>
      <c r="F4060" s="3"/>
    </row>
    <row r="4061" spans="3:6" x14ac:dyDescent="0.3">
      <c r="C4061" s="3"/>
      <c r="D4061" s="3"/>
      <c r="E4061" s="3"/>
      <c r="F4061" s="3"/>
    </row>
    <row r="4062" spans="3:6" x14ac:dyDescent="0.3">
      <c r="C4062" s="3"/>
      <c r="D4062" s="3"/>
      <c r="E4062" s="3"/>
      <c r="F4062" s="3"/>
    </row>
    <row r="4063" spans="3:6" x14ac:dyDescent="0.3">
      <c r="C4063" s="3"/>
      <c r="D4063" s="3"/>
      <c r="E4063" s="3"/>
      <c r="F4063" s="3"/>
    </row>
    <row r="4064" spans="3:6" x14ac:dyDescent="0.3">
      <c r="C4064" s="3"/>
      <c r="D4064" s="3"/>
      <c r="E4064" s="3"/>
      <c r="F4064" s="3"/>
    </row>
    <row r="4065" spans="3:6" x14ac:dyDescent="0.3">
      <c r="C4065" s="3"/>
      <c r="D4065" s="3"/>
      <c r="E4065" s="3"/>
      <c r="F4065" s="3"/>
    </row>
    <row r="4066" spans="3:6" x14ac:dyDescent="0.3">
      <c r="C4066" s="3"/>
      <c r="D4066" s="3"/>
      <c r="E4066" s="3"/>
      <c r="F4066" s="3"/>
    </row>
    <row r="4067" spans="3:6" x14ac:dyDescent="0.3">
      <c r="C4067" s="3"/>
      <c r="D4067" s="3"/>
      <c r="E4067" s="3"/>
      <c r="F4067" s="3"/>
    </row>
    <row r="4068" spans="3:6" x14ac:dyDescent="0.3">
      <c r="C4068" s="3"/>
      <c r="D4068" s="3"/>
      <c r="E4068" s="3"/>
      <c r="F4068" s="3"/>
    </row>
    <row r="4069" spans="3:6" x14ac:dyDescent="0.3">
      <c r="C4069" s="3"/>
      <c r="D4069" s="3"/>
      <c r="E4069" s="3"/>
      <c r="F4069" s="3"/>
    </row>
    <row r="4070" spans="3:6" x14ac:dyDescent="0.3">
      <c r="C4070" s="3"/>
      <c r="D4070" s="3"/>
      <c r="E4070" s="3"/>
      <c r="F4070" s="3"/>
    </row>
    <row r="4071" spans="3:6" x14ac:dyDescent="0.3">
      <c r="C4071" s="3"/>
      <c r="D4071" s="3"/>
      <c r="E4071" s="3"/>
      <c r="F4071" s="3"/>
    </row>
    <row r="4072" spans="3:6" x14ac:dyDescent="0.3">
      <c r="C4072" s="3"/>
      <c r="D4072" s="3"/>
      <c r="E4072" s="3"/>
      <c r="F4072" s="3"/>
    </row>
    <row r="4073" spans="3:6" x14ac:dyDescent="0.3">
      <c r="C4073" s="3"/>
      <c r="D4073" s="3"/>
      <c r="E4073" s="3"/>
      <c r="F4073" s="3"/>
    </row>
    <row r="4074" spans="3:6" x14ac:dyDescent="0.3">
      <c r="C4074" s="3"/>
      <c r="D4074" s="3"/>
      <c r="E4074" s="3"/>
      <c r="F4074" s="3"/>
    </row>
    <row r="4075" spans="3:6" x14ac:dyDescent="0.3">
      <c r="C4075" s="3"/>
      <c r="D4075" s="3"/>
      <c r="E4075" s="3"/>
      <c r="F4075" s="3"/>
    </row>
    <row r="4076" spans="3:6" x14ac:dyDescent="0.3">
      <c r="C4076" s="3"/>
      <c r="D4076" s="3"/>
      <c r="E4076" s="3"/>
      <c r="F4076" s="3"/>
    </row>
    <row r="4077" spans="3:6" x14ac:dyDescent="0.3">
      <c r="C4077" s="3"/>
      <c r="D4077" s="3"/>
      <c r="E4077" s="3"/>
      <c r="F4077" s="3"/>
    </row>
    <row r="4078" spans="3:6" x14ac:dyDescent="0.3">
      <c r="C4078" s="3"/>
      <c r="D4078" s="3"/>
      <c r="E4078" s="3"/>
      <c r="F4078" s="3"/>
    </row>
    <row r="4079" spans="3:6" x14ac:dyDescent="0.3">
      <c r="C4079" s="3"/>
      <c r="D4079" s="3"/>
      <c r="E4079" s="3"/>
      <c r="F4079" s="3"/>
    </row>
    <row r="4080" spans="3:6" x14ac:dyDescent="0.3">
      <c r="C4080" s="3"/>
      <c r="D4080" s="3"/>
      <c r="E4080" s="3"/>
      <c r="F4080" s="3"/>
    </row>
    <row r="4081" spans="3:6" x14ac:dyDescent="0.3">
      <c r="C4081" s="3"/>
      <c r="D4081" s="3"/>
      <c r="E4081" s="3"/>
      <c r="F4081" s="3"/>
    </row>
    <row r="4082" spans="3:6" x14ac:dyDescent="0.3">
      <c r="C4082" s="3"/>
      <c r="D4082" s="3"/>
      <c r="E4082" s="3"/>
      <c r="F4082" s="3"/>
    </row>
    <row r="4083" spans="3:6" x14ac:dyDescent="0.3">
      <c r="C4083" s="3"/>
      <c r="D4083" s="3"/>
      <c r="E4083" s="3"/>
      <c r="F4083" s="3"/>
    </row>
    <row r="4084" spans="3:6" x14ac:dyDescent="0.3">
      <c r="C4084" s="3"/>
      <c r="D4084" s="3"/>
      <c r="E4084" s="3"/>
      <c r="F4084" s="3"/>
    </row>
    <row r="4085" spans="3:6" x14ac:dyDescent="0.3">
      <c r="C4085" s="3"/>
      <c r="D4085" s="3"/>
      <c r="E4085" s="3"/>
      <c r="F4085" s="3"/>
    </row>
    <row r="4086" spans="3:6" x14ac:dyDescent="0.3">
      <c r="C4086" s="3"/>
      <c r="D4086" s="3"/>
      <c r="E4086" s="3"/>
      <c r="F4086" s="3"/>
    </row>
    <row r="4087" spans="3:6" x14ac:dyDescent="0.3">
      <c r="C4087" s="3"/>
      <c r="D4087" s="3"/>
      <c r="E4087" s="3"/>
      <c r="F4087" s="3"/>
    </row>
    <row r="4088" spans="3:6" x14ac:dyDescent="0.3">
      <c r="C4088" s="3"/>
      <c r="D4088" s="3"/>
      <c r="E4088" s="3"/>
      <c r="F4088" s="3"/>
    </row>
    <row r="4089" spans="3:6" x14ac:dyDescent="0.3">
      <c r="C4089" s="3"/>
      <c r="D4089" s="3"/>
      <c r="E4089" s="3"/>
      <c r="F4089" s="3"/>
    </row>
    <row r="4090" spans="3:6" x14ac:dyDescent="0.3">
      <c r="C4090" s="3"/>
      <c r="D4090" s="3"/>
      <c r="E4090" s="3"/>
      <c r="F4090" s="3"/>
    </row>
    <row r="4091" spans="3:6" x14ac:dyDescent="0.3">
      <c r="C4091" s="3"/>
      <c r="D4091" s="3"/>
      <c r="E4091" s="3"/>
      <c r="F4091" s="3"/>
    </row>
    <row r="4092" spans="3:6" x14ac:dyDescent="0.3">
      <c r="C4092" s="3"/>
      <c r="D4092" s="3"/>
      <c r="E4092" s="3"/>
      <c r="F4092" s="3"/>
    </row>
    <row r="4093" spans="3:6" x14ac:dyDescent="0.3">
      <c r="C4093" s="3"/>
      <c r="D4093" s="3"/>
      <c r="E4093" s="3"/>
      <c r="F4093" s="3"/>
    </row>
    <row r="4094" spans="3:6" x14ac:dyDescent="0.3">
      <c r="C4094" s="3"/>
      <c r="D4094" s="3"/>
      <c r="E4094" s="3"/>
      <c r="F4094" s="3"/>
    </row>
    <row r="4095" spans="3:6" x14ac:dyDescent="0.3">
      <c r="C4095" s="3"/>
      <c r="D4095" s="3"/>
      <c r="E4095" s="3"/>
      <c r="F4095" s="3"/>
    </row>
    <row r="4096" spans="3:6" x14ac:dyDescent="0.3">
      <c r="C4096" s="3"/>
      <c r="D4096" s="3"/>
      <c r="E4096" s="3"/>
      <c r="F4096" s="3"/>
    </row>
    <row r="4097" spans="3:6" x14ac:dyDescent="0.3">
      <c r="C4097" s="3"/>
      <c r="D4097" s="3"/>
      <c r="E4097" s="3"/>
      <c r="F4097" s="3"/>
    </row>
    <row r="4098" spans="3:6" x14ac:dyDescent="0.3">
      <c r="C4098" s="3"/>
      <c r="D4098" s="3"/>
      <c r="E4098" s="3"/>
      <c r="F4098" s="3"/>
    </row>
    <row r="4099" spans="3:6" x14ac:dyDescent="0.3">
      <c r="C4099" s="3"/>
      <c r="D4099" s="3"/>
      <c r="E4099" s="3"/>
      <c r="F4099" s="3"/>
    </row>
    <row r="4100" spans="3:6" x14ac:dyDescent="0.3">
      <c r="C4100" s="3"/>
      <c r="D4100" s="3"/>
      <c r="E4100" s="3"/>
      <c r="F4100" s="3"/>
    </row>
    <row r="4101" spans="3:6" x14ac:dyDescent="0.3">
      <c r="C4101" s="3"/>
      <c r="D4101" s="3"/>
      <c r="E4101" s="3"/>
      <c r="F4101" s="3"/>
    </row>
    <row r="4102" spans="3:6" x14ac:dyDescent="0.3">
      <c r="C4102" s="3"/>
      <c r="D4102" s="3"/>
      <c r="E4102" s="3"/>
      <c r="F4102" s="3"/>
    </row>
    <row r="4103" spans="3:6" x14ac:dyDescent="0.3">
      <c r="C4103" s="3"/>
      <c r="D4103" s="3"/>
      <c r="E4103" s="3"/>
      <c r="F4103" s="3"/>
    </row>
    <row r="4104" spans="3:6" x14ac:dyDescent="0.3">
      <c r="C4104" s="3"/>
      <c r="D4104" s="3"/>
      <c r="E4104" s="3"/>
      <c r="F4104" s="3"/>
    </row>
    <row r="4105" spans="3:6" x14ac:dyDescent="0.3">
      <c r="C4105" s="3"/>
      <c r="D4105" s="3"/>
      <c r="E4105" s="3"/>
      <c r="F4105" s="3"/>
    </row>
    <row r="4106" spans="3:6" x14ac:dyDescent="0.3">
      <c r="C4106" s="3"/>
      <c r="D4106" s="3"/>
      <c r="E4106" s="3"/>
      <c r="F4106" s="3"/>
    </row>
    <row r="4107" spans="3:6" x14ac:dyDescent="0.3">
      <c r="C4107" s="3"/>
      <c r="D4107" s="3"/>
      <c r="E4107" s="3"/>
      <c r="F4107" s="3"/>
    </row>
    <row r="4108" spans="3:6" x14ac:dyDescent="0.3">
      <c r="C4108" s="3"/>
      <c r="D4108" s="3"/>
      <c r="E4108" s="3"/>
      <c r="F4108" s="3"/>
    </row>
    <row r="4109" spans="3:6" x14ac:dyDescent="0.3">
      <c r="C4109" s="3"/>
      <c r="D4109" s="3"/>
      <c r="E4109" s="3"/>
      <c r="F4109" s="3"/>
    </row>
    <row r="4110" spans="3:6" x14ac:dyDescent="0.3">
      <c r="C4110" s="3"/>
      <c r="D4110" s="3"/>
      <c r="E4110" s="3"/>
      <c r="F4110" s="3"/>
    </row>
    <row r="4111" spans="3:6" x14ac:dyDescent="0.3">
      <c r="C4111" s="3"/>
      <c r="D4111" s="3"/>
      <c r="E4111" s="3"/>
      <c r="F4111" s="3"/>
    </row>
    <row r="4112" spans="3:6" x14ac:dyDescent="0.3">
      <c r="C4112" s="3"/>
      <c r="D4112" s="3"/>
      <c r="E4112" s="3"/>
      <c r="F4112" s="3"/>
    </row>
    <row r="4113" spans="3:6" x14ac:dyDescent="0.3">
      <c r="C4113" s="3"/>
      <c r="D4113" s="3"/>
      <c r="E4113" s="3"/>
      <c r="F4113" s="3"/>
    </row>
    <row r="4114" spans="3:6" x14ac:dyDescent="0.3">
      <c r="C4114" s="3"/>
      <c r="D4114" s="3"/>
      <c r="E4114" s="3"/>
      <c r="F4114" s="3"/>
    </row>
    <row r="4115" spans="3:6" x14ac:dyDescent="0.3">
      <c r="C4115" s="3"/>
      <c r="D4115" s="3"/>
      <c r="E4115" s="3"/>
      <c r="F4115" s="3"/>
    </row>
    <row r="4116" spans="3:6" x14ac:dyDescent="0.3">
      <c r="C4116" s="3"/>
      <c r="D4116" s="3"/>
      <c r="E4116" s="3"/>
      <c r="F4116" s="3"/>
    </row>
    <row r="4117" spans="3:6" x14ac:dyDescent="0.3">
      <c r="C4117" s="3"/>
      <c r="D4117" s="3"/>
      <c r="E4117" s="3"/>
      <c r="F4117" s="3"/>
    </row>
    <row r="4118" spans="3:6" x14ac:dyDescent="0.3">
      <c r="C4118" s="3"/>
      <c r="D4118" s="3"/>
      <c r="E4118" s="3"/>
      <c r="F4118" s="3"/>
    </row>
    <row r="4119" spans="3:6" x14ac:dyDescent="0.3">
      <c r="C4119" s="3"/>
      <c r="D4119" s="3"/>
      <c r="E4119" s="3"/>
      <c r="F4119" s="3"/>
    </row>
    <row r="4120" spans="3:6" x14ac:dyDescent="0.3">
      <c r="C4120" s="3"/>
      <c r="D4120" s="3"/>
      <c r="E4120" s="3"/>
      <c r="F4120" s="3"/>
    </row>
    <row r="4121" spans="3:6" x14ac:dyDescent="0.3">
      <c r="C4121" s="3"/>
      <c r="D4121" s="3"/>
      <c r="E4121" s="3"/>
      <c r="F4121" s="3"/>
    </row>
    <row r="4122" spans="3:6" x14ac:dyDescent="0.3">
      <c r="C4122" s="3"/>
      <c r="D4122" s="3"/>
      <c r="E4122" s="3"/>
      <c r="F4122" s="3"/>
    </row>
    <row r="4123" spans="3:6" x14ac:dyDescent="0.3">
      <c r="C4123" s="3"/>
      <c r="D4123" s="3"/>
      <c r="E4123" s="3"/>
      <c r="F4123" s="3"/>
    </row>
    <row r="4124" spans="3:6" x14ac:dyDescent="0.3">
      <c r="C4124" s="3"/>
      <c r="D4124" s="3"/>
      <c r="E4124" s="3"/>
      <c r="F4124" s="3"/>
    </row>
    <row r="4125" spans="3:6" x14ac:dyDescent="0.3">
      <c r="C4125" s="3"/>
      <c r="D4125" s="3"/>
      <c r="E4125" s="3"/>
      <c r="F4125" s="3"/>
    </row>
    <row r="4126" spans="3:6" x14ac:dyDescent="0.3">
      <c r="C4126" s="3"/>
      <c r="D4126" s="3"/>
      <c r="E4126" s="3"/>
      <c r="F4126" s="3"/>
    </row>
    <row r="4127" spans="3:6" x14ac:dyDescent="0.3">
      <c r="C4127" s="3"/>
      <c r="D4127" s="3"/>
      <c r="E4127" s="3"/>
      <c r="F4127" s="3"/>
    </row>
    <row r="4128" spans="3:6" x14ac:dyDescent="0.3">
      <c r="C4128" s="3"/>
      <c r="D4128" s="3"/>
      <c r="E4128" s="3"/>
      <c r="F4128" s="3"/>
    </row>
    <row r="4129" spans="3:6" x14ac:dyDescent="0.3">
      <c r="C4129" s="3"/>
      <c r="D4129" s="3"/>
      <c r="E4129" s="3"/>
      <c r="F4129" s="3"/>
    </row>
    <row r="4130" spans="3:6" x14ac:dyDescent="0.3">
      <c r="C4130" s="3"/>
      <c r="D4130" s="3"/>
      <c r="E4130" s="3"/>
      <c r="F4130" s="3"/>
    </row>
    <row r="4131" spans="3:6" x14ac:dyDescent="0.3">
      <c r="C4131" s="3"/>
      <c r="D4131" s="3"/>
      <c r="E4131" s="3"/>
      <c r="F4131" s="3"/>
    </row>
    <row r="4132" spans="3:6" x14ac:dyDescent="0.3">
      <c r="C4132" s="3"/>
      <c r="D4132" s="3"/>
      <c r="E4132" s="3"/>
      <c r="F4132" s="3"/>
    </row>
    <row r="4133" spans="3:6" x14ac:dyDescent="0.3">
      <c r="C4133" s="3"/>
      <c r="D4133" s="3"/>
      <c r="E4133" s="3"/>
      <c r="F4133" s="3"/>
    </row>
    <row r="4134" spans="3:6" x14ac:dyDescent="0.3">
      <c r="C4134" s="3"/>
      <c r="D4134" s="3"/>
      <c r="E4134" s="3"/>
      <c r="F4134" s="3"/>
    </row>
    <row r="4135" spans="3:6" x14ac:dyDescent="0.3">
      <c r="C4135" s="3"/>
      <c r="D4135" s="3"/>
      <c r="E4135" s="3"/>
      <c r="F4135" s="3"/>
    </row>
    <row r="4136" spans="3:6" x14ac:dyDescent="0.3">
      <c r="C4136" s="3"/>
      <c r="D4136" s="3"/>
      <c r="E4136" s="3"/>
      <c r="F4136" s="3"/>
    </row>
    <row r="4137" spans="3:6" x14ac:dyDescent="0.3">
      <c r="C4137" s="3"/>
      <c r="D4137" s="3"/>
      <c r="E4137" s="3"/>
      <c r="F4137" s="3"/>
    </row>
    <row r="4138" spans="3:6" x14ac:dyDescent="0.3">
      <c r="C4138" s="3"/>
      <c r="D4138" s="3"/>
      <c r="E4138" s="3"/>
      <c r="F4138" s="3"/>
    </row>
    <row r="4139" spans="3:6" x14ac:dyDescent="0.3">
      <c r="C4139" s="3"/>
      <c r="D4139" s="3"/>
      <c r="E4139" s="3"/>
      <c r="F4139" s="3"/>
    </row>
    <row r="4140" spans="3:6" x14ac:dyDescent="0.3">
      <c r="C4140" s="3"/>
      <c r="D4140" s="3"/>
      <c r="E4140" s="3"/>
      <c r="F4140" s="3"/>
    </row>
    <row r="4141" spans="3:6" x14ac:dyDescent="0.3">
      <c r="C4141" s="3"/>
      <c r="D4141" s="3"/>
      <c r="E4141" s="3"/>
      <c r="F4141" s="3"/>
    </row>
    <row r="4142" spans="3:6" x14ac:dyDescent="0.3">
      <c r="C4142" s="3"/>
      <c r="D4142" s="3"/>
      <c r="E4142" s="3"/>
      <c r="F4142" s="3"/>
    </row>
    <row r="4143" spans="3:6" x14ac:dyDescent="0.3">
      <c r="C4143" s="3"/>
      <c r="D4143" s="3"/>
      <c r="E4143" s="3"/>
      <c r="F4143" s="3"/>
    </row>
    <row r="4144" spans="3:6" x14ac:dyDescent="0.3">
      <c r="C4144" s="3"/>
      <c r="D4144" s="3"/>
      <c r="E4144" s="3"/>
      <c r="F4144" s="3"/>
    </row>
    <row r="4145" spans="3:6" x14ac:dyDescent="0.3">
      <c r="C4145" s="3"/>
      <c r="D4145" s="3"/>
      <c r="E4145" s="3"/>
      <c r="F4145" s="3"/>
    </row>
    <row r="4146" spans="3:6" x14ac:dyDescent="0.3">
      <c r="C4146" s="3"/>
      <c r="D4146" s="3"/>
      <c r="E4146" s="3"/>
      <c r="F4146" s="3"/>
    </row>
    <row r="4147" spans="3:6" x14ac:dyDescent="0.3">
      <c r="C4147" s="3"/>
      <c r="D4147" s="3"/>
      <c r="E4147" s="3"/>
      <c r="F4147" s="3"/>
    </row>
    <row r="4148" spans="3:6" x14ac:dyDescent="0.3">
      <c r="C4148" s="3"/>
      <c r="D4148" s="3"/>
      <c r="E4148" s="3"/>
      <c r="F4148" s="3"/>
    </row>
    <row r="4149" spans="3:6" x14ac:dyDescent="0.3">
      <c r="C4149" s="3"/>
      <c r="D4149" s="3"/>
      <c r="E4149" s="3"/>
      <c r="F4149" s="3"/>
    </row>
    <row r="4150" spans="3:6" x14ac:dyDescent="0.3">
      <c r="C4150" s="3"/>
      <c r="D4150" s="3"/>
      <c r="E4150" s="3"/>
      <c r="F4150" s="3"/>
    </row>
    <row r="4151" spans="3:6" x14ac:dyDescent="0.3">
      <c r="C4151" s="3"/>
      <c r="D4151" s="3"/>
      <c r="E4151" s="3"/>
      <c r="F4151" s="3"/>
    </row>
    <row r="4152" spans="3:6" x14ac:dyDescent="0.3">
      <c r="C4152" s="3"/>
      <c r="D4152" s="3"/>
      <c r="E4152" s="3"/>
      <c r="F4152" s="3"/>
    </row>
    <row r="4153" spans="3:6" x14ac:dyDescent="0.3">
      <c r="C4153" s="3"/>
      <c r="D4153" s="3"/>
      <c r="E4153" s="3"/>
      <c r="F4153" s="3"/>
    </row>
    <row r="4154" spans="3:6" x14ac:dyDescent="0.3">
      <c r="C4154" s="3"/>
      <c r="D4154" s="3"/>
      <c r="E4154" s="3"/>
      <c r="F4154" s="3"/>
    </row>
    <row r="4155" spans="3:6" x14ac:dyDescent="0.3">
      <c r="C4155" s="3"/>
      <c r="D4155" s="3"/>
      <c r="E4155" s="3"/>
      <c r="F4155" s="3"/>
    </row>
    <row r="4156" spans="3:6" x14ac:dyDescent="0.3">
      <c r="C4156" s="3"/>
      <c r="D4156" s="3"/>
      <c r="E4156" s="3"/>
      <c r="F4156" s="3"/>
    </row>
    <row r="4157" spans="3:6" x14ac:dyDescent="0.3">
      <c r="C4157" s="3"/>
      <c r="D4157" s="3"/>
      <c r="E4157" s="3"/>
      <c r="F4157" s="3"/>
    </row>
    <row r="4158" spans="3:6" x14ac:dyDescent="0.3">
      <c r="C4158" s="3"/>
      <c r="D4158" s="3"/>
      <c r="E4158" s="3"/>
      <c r="F4158" s="3"/>
    </row>
    <row r="4159" spans="3:6" x14ac:dyDescent="0.3">
      <c r="C4159" s="3"/>
      <c r="D4159" s="3"/>
      <c r="E4159" s="3"/>
      <c r="F4159" s="3"/>
    </row>
    <row r="4160" spans="3:6" x14ac:dyDescent="0.3">
      <c r="C4160" s="3"/>
      <c r="D4160" s="3"/>
      <c r="E4160" s="3"/>
      <c r="F4160" s="3"/>
    </row>
    <row r="4161" spans="3:6" x14ac:dyDescent="0.3">
      <c r="C4161" s="3"/>
      <c r="D4161" s="3"/>
      <c r="E4161" s="3"/>
      <c r="F4161" s="3"/>
    </row>
    <row r="4162" spans="3:6" x14ac:dyDescent="0.3">
      <c r="C4162" s="3"/>
      <c r="D4162" s="3"/>
      <c r="E4162" s="3"/>
      <c r="F4162" s="3"/>
    </row>
    <row r="4163" spans="3:6" x14ac:dyDescent="0.3">
      <c r="C4163" s="3"/>
      <c r="D4163" s="3"/>
      <c r="E4163" s="3"/>
      <c r="F4163" s="3"/>
    </row>
    <row r="4164" spans="3:6" x14ac:dyDescent="0.3">
      <c r="C4164" s="3"/>
      <c r="D4164" s="3"/>
      <c r="E4164" s="3"/>
      <c r="F4164" s="3"/>
    </row>
    <row r="4165" spans="3:6" x14ac:dyDescent="0.3">
      <c r="C4165" s="3"/>
      <c r="D4165" s="3"/>
      <c r="E4165" s="3"/>
      <c r="F4165" s="3"/>
    </row>
    <row r="4166" spans="3:6" x14ac:dyDescent="0.3">
      <c r="C4166" s="3"/>
      <c r="D4166" s="3"/>
      <c r="E4166" s="3"/>
      <c r="F4166" s="3"/>
    </row>
    <row r="4167" spans="3:6" x14ac:dyDescent="0.3">
      <c r="C4167" s="3"/>
      <c r="D4167" s="3"/>
      <c r="E4167" s="3"/>
      <c r="F4167" s="3"/>
    </row>
    <row r="4168" spans="3:6" x14ac:dyDescent="0.3">
      <c r="C4168" s="3"/>
      <c r="D4168" s="3"/>
      <c r="E4168" s="3"/>
      <c r="F4168" s="3"/>
    </row>
    <row r="4169" spans="3:6" x14ac:dyDescent="0.3">
      <c r="C4169" s="3"/>
      <c r="D4169" s="3"/>
      <c r="E4169" s="3"/>
      <c r="F4169" s="3"/>
    </row>
    <row r="4170" spans="3:6" x14ac:dyDescent="0.3">
      <c r="C4170" s="3"/>
      <c r="D4170" s="3"/>
      <c r="E4170" s="3"/>
      <c r="F4170" s="3"/>
    </row>
    <row r="4171" spans="3:6" x14ac:dyDescent="0.3">
      <c r="C4171" s="3"/>
      <c r="D4171" s="3"/>
      <c r="E4171" s="3"/>
      <c r="F4171" s="3"/>
    </row>
    <row r="4172" spans="3:6" x14ac:dyDescent="0.3">
      <c r="C4172" s="3"/>
      <c r="D4172" s="3"/>
      <c r="E4172" s="3"/>
      <c r="F4172" s="3"/>
    </row>
    <row r="4173" spans="3:6" x14ac:dyDescent="0.3">
      <c r="C4173" s="3"/>
      <c r="D4173" s="3"/>
      <c r="E4173" s="3"/>
      <c r="F4173" s="3"/>
    </row>
    <row r="4174" spans="3:6" x14ac:dyDescent="0.3">
      <c r="C4174" s="3"/>
      <c r="D4174" s="3"/>
      <c r="E4174" s="3"/>
      <c r="F4174" s="3"/>
    </row>
    <row r="4175" spans="3:6" x14ac:dyDescent="0.3">
      <c r="C4175" s="3"/>
      <c r="D4175" s="3"/>
      <c r="E4175" s="3"/>
      <c r="F4175" s="3"/>
    </row>
    <row r="4176" spans="3:6" x14ac:dyDescent="0.3">
      <c r="C4176" s="3"/>
      <c r="D4176" s="3"/>
      <c r="E4176" s="3"/>
      <c r="F4176" s="3"/>
    </row>
    <row r="4177" spans="3:6" x14ac:dyDescent="0.3">
      <c r="C4177" s="3"/>
      <c r="D4177" s="3"/>
      <c r="E4177" s="3"/>
      <c r="F4177" s="3"/>
    </row>
    <row r="4178" spans="3:6" x14ac:dyDescent="0.3">
      <c r="C4178" s="3"/>
      <c r="D4178" s="3"/>
      <c r="E4178" s="3"/>
      <c r="F4178" s="3"/>
    </row>
    <row r="4179" spans="3:6" x14ac:dyDescent="0.3">
      <c r="C4179" s="3"/>
      <c r="D4179" s="3"/>
      <c r="E4179" s="3"/>
      <c r="F4179" s="3"/>
    </row>
    <row r="4180" spans="3:6" x14ac:dyDescent="0.3">
      <c r="C4180" s="3"/>
      <c r="D4180" s="3"/>
      <c r="E4180" s="3"/>
      <c r="F4180" s="3"/>
    </row>
    <row r="4181" spans="3:6" x14ac:dyDescent="0.3">
      <c r="C4181" s="3"/>
      <c r="D4181" s="3"/>
      <c r="E4181" s="3"/>
      <c r="F4181" s="3"/>
    </row>
    <row r="4182" spans="3:6" x14ac:dyDescent="0.3">
      <c r="C4182" s="3"/>
      <c r="D4182" s="3"/>
      <c r="E4182" s="3"/>
      <c r="F4182" s="3"/>
    </row>
    <row r="4183" spans="3:6" x14ac:dyDescent="0.3">
      <c r="C4183" s="3"/>
      <c r="D4183" s="3"/>
      <c r="E4183" s="3"/>
      <c r="F4183" s="3"/>
    </row>
    <row r="4184" spans="3:6" x14ac:dyDescent="0.3">
      <c r="C4184" s="3"/>
      <c r="D4184" s="3"/>
      <c r="E4184" s="3"/>
      <c r="F4184" s="3"/>
    </row>
    <row r="4185" spans="3:6" x14ac:dyDescent="0.3">
      <c r="C4185" s="3"/>
      <c r="D4185" s="3"/>
      <c r="E4185" s="3"/>
      <c r="F4185" s="3"/>
    </row>
    <row r="4186" spans="3:6" x14ac:dyDescent="0.3">
      <c r="C4186" s="3"/>
      <c r="D4186" s="3"/>
      <c r="E4186" s="3"/>
      <c r="F4186" s="3"/>
    </row>
    <row r="4187" spans="3:6" x14ac:dyDescent="0.3">
      <c r="C4187" s="3"/>
      <c r="D4187" s="3"/>
      <c r="E4187" s="3"/>
      <c r="F4187" s="3"/>
    </row>
    <row r="4188" spans="3:6" x14ac:dyDescent="0.3">
      <c r="C4188" s="3"/>
      <c r="D4188" s="3"/>
      <c r="E4188" s="3"/>
      <c r="F4188" s="3"/>
    </row>
    <row r="4189" spans="3:6" x14ac:dyDescent="0.3">
      <c r="C4189" s="3"/>
      <c r="D4189" s="3"/>
      <c r="E4189" s="3"/>
      <c r="F4189" s="3"/>
    </row>
    <row r="4190" spans="3:6" x14ac:dyDescent="0.3">
      <c r="C4190" s="3"/>
      <c r="D4190" s="3"/>
      <c r="E4190" s="3"/>
      <c r="F4190" s="3"/>
    </row>
    <row r="4191" spans="3:6" x14ac:dyDescent="0.3">
      <c r="C4191" s="3"/>
      <c r="D4191" s="3"/>
      <c r="E4191" s="3"/>
      <c r="F4191" s="3"/>
    </row>
    <row r="4192" spans="3:6" x14ac:dyDescent="0.3">
      <c r="C4192" s="3"/>
      <c r="D4192" s="3"/>
      <c r="E4192" s="3"/>
      <c r="F4192" s="3"/>
    </row>
    <row r="4193" spans="3:6" x14ac:dyDescent="0.3">
      <c r="C4193" s="3"/>
      <c r="D4193" s="3"/>
      <c r="E4193" s="3"/>
      <c r="F4193" s="3"/>
    </row>
    <row r="4194" spans="3:6" x14ac:dyDescent="0.3">
      <c r="C4194" s="3"/>
      <c r="D4194" s="3"/>
      <c r="E4194" s="3"/>
      <c r="F4194" s="3"/>
    </row>
    <row r="4195" spans="3:6" x14ac:dyDescent="0.3">
      <c r="C4195" s="3"/>
      <c r="D4195" s="3"/>
      <c r="E4195" s="3"/>
      <c r="F4195" s="3"/>
    </row>
    <row r="4196" spans="3:6" x14ac:dyDescent="0.3">
      <c r="C4196" s="3"/>
      <c r="D4196" s="3"/>
      <c r="E4196" s="3"/>
      <c r="F4196" s="3"/>
    </row>
    <row r="4197" spans="3:6" x14ac:dyDescent="0.3">
      <c r="C4197" s="3"/>
      <c r="D4197" s="3"/>
      <c r="E4197" s="3"/>
      <c r="F4197" s="3"/>
    </row>
    <row r="4198" spans="3:6" x14ac:dyDescent="0.3">
      <c r="C4198" s="3"/>
      <c r="D4198" s="3"/>
      <c r="E4198" s="3"/>
      <c r="F4198" s="3"/>
    </row>
    <row r="4199" spans="3:6" x14ac:dyDescent="0.3">
      <c r="C4199" s="3"/>
      <c r="D4199" s="3"/>
      <c r="E4199" s="3"/>
      <c r="F4199" s="3"/>
    </row>
    <row r="4200" spans="3:6" x14ac:dyDescent="0.3">
      <c r="C4200" s="3"/>
      <c r="D4200" s="3"/>
      <c r="E4200" s="3"/>
      <c r="F4200" s="3"/>
    </row>
    <row r="4201" spans="3:6" x14ac:dyDescent="0.3">
      <c r="C4201" s="3"/>
      <c r="D4201" s="3"/>
      <c r="E4201" s="3"/>
      <c r="F4201" s="3"/>
    </row>
    <row r="4202" spans="3:6" x14ac:dyDescent="0.3">
      <c r="C4202" s="3"/>
      <c r="D4202" s="3"/>
      <c r="E4202" s="3"/>
      <c r="F4202" s="3"/>
    </row>
    <row r="4203" spans="3:6" x14ac:dyDescent="0.3">
      <c r="C4203" s="3"/>
      <c r="D4203" s="3"/>
      <c r="E4203" s="3"/>
      <c r="F4203" s="3"/>
    </row>
    <row r="4204" spans="3:6" x14ac:dyDescent="0.3">
      <c r="C4204" s="3"/>
      <c r="D4204" s="3"/>
      <c r="E4204" s="3"/>
      <c r="F4204" s="3"/>
    </row>
    <row r="4205" spans="3:6" x14ac:dyDescent="0.3">
      <c r="C4205" s="3"/>
      <c r="D4205" s="3"/>
      <c r="E4205" s="3"/>
      <c r="F4205" s="3"/>
    </row>
    <row r="4206" spans="3:6" x14ac:dyDescent="0.3">
      <c r="C4206" s="3"/>
      <c r="D4206" s="3"/>
      <c r="E4206" s="3"/>
      <c r="F4206" s="3"/>
    </row>
    <row r="4207" spans="3:6" x14ac:dyDescent="0.3">
      <c r="C4207" s="3"/>
      <c r="D4207" s="3"/>
      <c r="E4207" s="3"/>
      <c r="F4207" s="3"/>
    </row>
    <row r="4208" spans="3:6" x14ac:dyDescent="0.3">
      <c r="C4208" s="3"/>
      <c r="D4208" s="3"/>
      <c r="E4208" s="3"/>
      <c r="F4208" s="3"/>
    </row>
    <row r="4209" spans="3:6" x14ac:dyDescent="0.3">
      <c r="C4209" s="3"/>
      <c r="D4209" s="3"/>
      <c r="E4209" s="3"/>
      <c r="F4209" s="3"/>
    </row>
    <row r="4210" spans="3:6" x14ac:dyDescent="0.3">
      <c r="C4210" s="3"/>
      <c r="D4210" s="3"/>
      <c r="E4210" s="3"/>
      <c r="F4210" s="3"/>
    </row>
    <row r="4211" spans="3:6" x14ac:dyDescent="0.3">
      <c r="C4211" s="3"/>
      <c r="D4211" s="3"/>
      <c r="E4211" s="3"/>
      <c r="F4211" s="3"/>
    </row>
    <row r="4212" spans="3:6" x14ac:dyDescent="0.3">
      <c r="C4212" s="3"/>
      <c r="D4212" s="3"/>
      <c r="E4212" s="3"/>
      <c r="F4212" s="3"/>
    </row>
    <row r="4213" spans="3:6" x14ac:dyDescent="0.3">
      <c r="C4213" s="3"/>
      <c r="D4213" s="3"/>
      <c r="E4213" s="3"/>
      <c r="F4213" s="3"/>
    </row>
    <row r="4214" spans="3:6" x14ac:dyDescent="0.3">
      <c r="C4214" s="3"/>
      <c r="D4214" s="3"/>
      <c r="E4214" s="3"/>
      <c r="F4214" s="3"/>
    </row>
    <row r="4215" spans="3:6" x14ac:dyDescent="0.3">
      <c r="C4215" s="3"/>
      <c r="D4215" s="3"/>
      <c r="E4215" s="3"/>
      <c r="F4215" s="3"/>
    </row>
    <row r="4216" spans="3:6" x14ac:dyDescent="0.3">
      <c r="C4216" s="3"/>
      <c r="D4216" s="3"/>
      <c r="E4216" s="3"/>
      <c r="F4216" s="3"/>
    </row>
    <row r="4217" spans="3:6" x14ac:dyDescent="0.3">
      <c r="C4217" s="3"/>
      <c r="D4217" s="3"/>
      <c r="E4217" s="3"/>
      <c r="F4217" s="3"/>
    </row>
    <row r="4218" spans="3:6" x14ac:dyDescent="0.3">
      <c r="C4218" s="3"/>
      <c r="D4218" s="3"/>
      <c r="E4218" s="3"/>
      <c r="F4218" s="3"/>
    </row>
    <row r="4219" spans="3:6" x14ac:dyDescent="0.3">
      <c r="C4219" s="3"/>
      <c r="D4219" s="3"/>
      <c r="E4219" s="3"/>
      <c r="F4219" s="3"/>
    </row>
    <row r="4220" spans="3:6" x14ac:dyDescent="0.3">
      <c r="C4220" s="3"/>
      <c r="D4220" s="3"/>
      <c r="E4220" s="3"/>
      <c r="F4220" s="3"/>
    </row>
    <row r="4221" spans="3:6" x14ac:dyDescent="0.3">
      <c r="C4221" s="3"/>
      <c r="D4221" s="3"/>
      <c r="E4221" s="3"/>
      <c r="F4221" s="3"/>
    </row>
    <row r="4222" spans="3:6" x14ac:dyDescent="0.3">
      <c r="C4222" s="3"/>
      <c r="D4222" s="3"/>
      <c r="E4222" s="3"/>
      <c r="F4222" s="3"/>
    </row>
    <row r="4223" spans="3:6" x14ac:dyDescent="0.3">
      <c r="C4223" s="3"/>
      <c r="D4223" s="3"/>
      <c r="E4223" s="3"/>
      <c r="F4223" s="3"/>
    </row>
    <row r="4224" spans="3:6" x14ac:dyDescent="0.3">
      <c r="C4224" s="3"/>
      <c r="D4224" s="3"/>
      <c r="E4224" s="3"/>
      <c r="F4224" s="3"/>
    </row>
    <row r="4225" spans="3:6" x14ac:dyDescent="0.3">
      <c r="C4225" s="3"/>
      <c r="D4225" s="3"/>
      <c r="E4225" s="3"/>
      <c r="F4225" s="3"/>
    </row>
    <row r="4226" spans="3:6" x14ac:dyDescent="0.3">
      <c r="C4226" s="3"/>
      <c r="D4226" s="3"/>
      <c r="E4226" s="3"/>
      <c r="F4226" s="3"/>
    </row>
    <row r="4227" spans="3:6" x14ac:dyDescent="0.3">
      <c r="C4227" s="3"/>
      <c r="D4227" s="3"/>
      <c r="E4227" s="3"/>
      <c r="F4227" s="3"/>
    </row>
    <row r="4228" spans="3:6" x14ac:dyDescent="0.3">
      <c r="C4228" s="3"/>
      <c r="D4228" s="3"/>
      <c r="E4228" s="3"/>
      <c r="F4228" s="3"/>
    </row>
    <row r="4229" spans="3:6" x14ac:dyDescent="0.3">
      <c r="C4229" s="3"/>
      <c r="D4229" s="3"/>
      <c r="E4229" s="3"/>
      <c r="F4229" s="3"/>
    </row>
    <row r="4230" spans="3:6" x14ac:dyDescent="0.3">
      <c r="C4230" s="3"/>
      <c r="D4230" s="3"/>
      <c r="E4230" s="3"/>
      <c r="F4230" s="3"/>
    </row>
    <row r="4231" spans="3:6" x14ac:dyDescent="0.3">
      <c r="C4231" s="3"/>
      <c r="D4231" s="3"/>
      <c r="E4231" s="3"/>
      <c r="F4231" s="3"/>
    </row>
    <row r="4232" spans="3:6" x14ac:dyDescent="0.3">
      <c r="C4232" s="3"/>
      <c r="D4232" s="3"/>
      <c r="E4232" s="3"/>
      <c r="F4232" s="3"/>
    </row>
    <row r="4233" spans="3:6" x14ac:dyDescent="0.3">
      <c r="C4233" s="3"/>
      <c r="D4233" s="3"/>
      <c r="E4233" s="3"/>
      <c r="F4233" s="3"/>
    </row>
    <row r="4234" spans="3:6" x14ac:dyDescent="0.3">
      <c r="C4234" s="3"/>
      <c r="D4234" s="3"/>
      <c r="E4234" s="3"/>
      <c r="F4234" s="3"/>
    </row>
    <row r="4235" spans="3:6" x14ac:dyDescent="0.3">
      <c r="C4235" s="3"/>
      <c r="D4235" s="3"/>
      <c r="E4235" s="3"/>
      <c r="F4235" s="3"/>
    </row>
    <row r="4236" spans="3:6" x14ac:dyDescent="0.3">
      <c r="C4236" s="3"/>
      <c r="D4236" s="3"/>
      <c r="E4236" s="3"/>
      <c r="F4236" s="3"/>
    </row>
    <row r="4237" spans="3:6" x14ac:dyDescent="0.3">
      <c r="C4237" s="3"/>
      <c r="D4237" s="3"/>
      <c r="E4237" s="3"/>
      <c r="F4237" s="3"/>
    </row>
    <row r="4238" spans="3:6" x14ac:dyDescent="0.3">
      <c r="C4238" s="3"/>
      <c r="D4238" s="3"/>
      <c r="E4238" s="3"/>
      <c r="F4238" s="3"/>
    </row>
    <row r="4239" spans="3:6" x14ac:dyDescent="0.3">
      <c r="C4239" s="3"/>
      <c r="D4239" s="3"/>
      <c r="E4239" s="3"/>
      <c r="F4239" s="3"/>
    </row>
    <row r="4240" spans="3:6" x14ac:dyDescent="0.3">
      <c r="C4240" s="3"/>
      <c r="D4240" s="3"/>
      <c r="E4240" s="3"/>
      <c r="F4240" s="3"/>
    </row>
    <row r="4241" spans="3:6" x14ac:dyDescent="0.3">
      <c r="C4241" s="3"/>
      <c r="D4241" s="3"/>
      <c r="E4241" s="3"/>
      <c r="F4241" s="3"/>
    </row>
    <row r="4242" spans="3:6" x14ac:dyDescent="0.3">
      <c r="C4242" s="3"/>
      <c r="D4242" s="3"/>
      <c r="E4242" s="3"/>
      <c r="F4242" s="3"/>
    </row>
    <row r="4243" spans="3:6" x14ac:dyDescent="0.3">
      <c r="C4243" s="3"/>
      <c r="D4243" s="3"/>
      <c r="E4243" s="3"/>
      <c r="F4243" s="3"/>
    </row>
    <row r="4244" spans="3:6" x14ac:dyDescent="0.3">
      <c r="C4244" s="3"/>
      <c r="D4244" s="3"/>
      <c r="E4244" s="3"/>
      <c r="F4244" s="3"/>
    </row>
    <row r="4245" spans="3:6" x14ac:dyDescent="0.3">
      <c r="C4245" s="3"/>
      <c r="D4245" s="3"/>
      <c r="E4245" s="3"/>
      <c r="F4245" s="3"/>
    </row>
    <row r="4246" spans="3:6" x14ac:dyDescent="0.3">
      <c r="C4246" s="3"/>
      <c r="D4246" s="3"/>
      <c r="E4246" s="3"/>
      <c r="F4246" s="3"/>
    </row>
    <row r="4247" spans="3:6" x14ac:dyDescent="0.3">
      <c r="C4247" s="3"/>
      <c r="D4247" s="3"/>
      <c r="E4247" s="3"/>
      <c r="F4247" s="3"/>
    </row>
    <row r="4248" spans="3:6" x14ac:dyDescent="0.3">
      <c r="C4248" s="3"/>
      <c r="D4248" s="3"/>
      <c r="E4248" s="3"/>
      <c r="F4248" s="3"/>
    </row>
    <row r="4249" spans="3:6" x14ac:dyDescent="0.3">
      <c r="C4249" s="3"/>
      <c r="D4249" s="3"/>
      <c r="E4249" s="3"/>
      <c r="F4249" s="3"/>
    </row>
    <row r="4250" spans="3:6" x14ac:dyDescent="0.3">
      <c r="C4250" s="3"/>
      <c r="D4250" s="3"/>
      <c r="E4250" s="3"/>
      <c r="F4250" s="3"/>
    </row>
    <row r="4251" spans="3:6" x14ac:dyDescent="0.3">
      <c r="C4251" s="3"/>
      <c r="D4251" s="3"/>
      <c r="E4251" s="3"/>
      <c r="F4251" s="3"/>
    </row>
    <row r="4252" spans="3:6" x14ac:dyDescent="0.3">
      <c r="C4252" s="3"/>
      <c r="D4252" s="3"/>
      <c r="E4252" s="3"/>
      <c r="F4252" s="3"/>
    </row>
    <row r="4253" spans="3:6" x14ac:dyDescent="0.3">
      <c r="C4253" s="3"/>
      <c r="D4253" s="3"/>
      <c r="E4253" s="3"/>
      <c r="F4253" s="3"/>
    </row>
    <row r="4254" spans="3:6" x14ac:dyDescent="0.3">
      <c r="C4254" s="3"/>
      <c r="D4254" s="3"/>
      <c r="E4254" s="3"/>
      <c r="F4254" s="3"/>
    </row>
    <row r="4255" spans="3:6" x14ac:dyDescent="0.3">
      <c r="C4255" s="3"/>
      <c r="D4255" s="3"/>
      <c r="E4255" s="3"/>
      <c r="F4255" s="3"/>
    </row>
    <row r="4256" spans="3:6" x14ac:dyDescent="0.3">
      <c r="C4256" s="3"/>
      <c r="D4256" s="3"/>
      <c r="E4256" s="3"/>
      <c r="F4256" s="3"/>
    </row>
    <row r="4257" spans="3:6" x14ac:dyDescent="0.3">
      <c r="C4257" s="3"/>
      <c r="D4257" s="3"/>
      <c r="E4257" s="3"/>
      <c r="F4257" s="3"/>
    </row>
    <row r="4258" spans="3:6" x14ac:dyDescent="0.3">
      <c r="C4258" s="3"/>
      <c r="D4258" s="3"/>
      <c r="E4258" s="3"/>
      <c r="F4258" s="3"/>
    </row>
    <row r="4259" spans="3:6" x14ac:dyDescent="0.3">
      <c r="C4259" s="3"/>
      <c r="D4259" s="3"/>
      <c r="E4259" s="3"/>
      <c r="F4259" s="3"/>
    </row>
    <row r="4260" spans="3:6" x14ac:dyDescent="0.3">
      <c r="C4260" s="3"/>
      <c r="D4260" s="3"/>
      <c r="E4260" s="3"/>
      <c r="F4260" s="3"/>
    </row>
    <row r="4261" spans="3:6" x14ac:dyDescent="0.3">
      <c r="C4261" s="3"/>
      <c r="D4261" s="3"/>
      <c r="E4261" s="3"/>
      <c r="F4261" s="3"/>
    </row>
    <row r="4262" spans="3:6" x14ac:dyDescent="0.3">
      <c r="C4262" s="3"/>
      <c r="D4262" s="3"/>
      <c r="E4262" s="3"/>
      <c r="F4262" s="3"/>
    </row>
    <row r="4263" spans="3:6" x14ac:dyDescent="0.3">
      <c r="C4263" s="3"/>
      <c r="D4263" s="3"/>
      <c r="E4263" s="3"/>
      <c r="F4263" s="3"/>
    </row>
    <row r="4264" spans="3:6" x14ac:dyDescent="0.3">
      <c r="C4264" s="3"/>
      <c r="D4264" s="3"/>
      <c r="E4264" s="3"/>
      <c r="F4264" s="3"/>
    </row>
    <row r="4265" spans="3:6" x14ac:dyDescent="0.3">
      <c r="C4265" s="3"/>
      <c r="D4265" s="3"/>
      <c r="E4265" s="3"/>
      <c r="F4265" s="3"/>
    </row>
    <row r="4266" spans="3:6" x14ac:dyDescent="0.3">
      <c r="C4266" s="3"/>
      <c r="D4266" s="3"/>
      <c r="E4266" s="3"/>
      <c r="F4266" s="3"/>
    </row>
    <row r="4267" spans="3:6" x14ac:dyDescent="0.3">
      <c r="C4267" s="3"/>
      <c r="D4267" s="3"/>
      <c r="E4267" s="3"/>
      <c r="F4267" s="3"/>
    </row>
    <row r="4268" spans="3:6" x14ac:dyDescent="0.3">
      <c r="C4268" s="3"/>
      <c r="D4268" s="3"/>
      <c r="E4268" s="3"/>
      <c r="F4268" s="3"/>
    </row>
    <row r="4269" spans="3:6" x14ac:dyDescent="0.3">
      <c r="C4269" s="3"/>
      <c r="D4269" s="3"/>
      <c r="E4269" s="3"/>
      <c r="F4269" s="3"/>
    </row>
    <row r="4270" spans="3:6" x14ac:dyDescent="0.3">
      <c r="C4270" s="3"/>
      <c r="D4270" s="3"/>
      <c r="E4270" s="3"/>
      <c r="F4270" s="3"/>
    </row>
    <row r="4271" spans="3:6" x14ac:dyDescent="0.3">
      <c r="C4271" s="3"/>
      <c r="D4271" s="3"/>
      <c r="E4271" s="3"/>
      <c r="F4271" s="3"/>
    </row>
    <row r="4272" spans="3:6" x14ac:dyDescent="0.3">
      <c r="C4272" s="3"/>
      <c r="D4272" s="3"/>
      <c r="E4272" s="3"/>
      <c r="F4272" s="3"/>
    </row>
    <row r="4273" spans="3:6" x14ac:dyDescent="0.3">
      <c r="C4273" s="3"/>
      <c r="D4273" s="3"/>
      <c r="E4273" s="3"/>
      <c r="F4273" s="3"/>
    </row>
    <row r="4274" spans="3:6" x14ac:dyDescent="0.3">
      <c r="C4274" s="3"/>
      <c r="D4274" s="3"/>
      <c r="E4274" s="3"/>
      <c r="F4274" s="3"/>
    </row>
    <row r="4275" spans="3:6" x14ac:dyDescent="0.3">
      <c r="C4275" s="3"/>
      <c r="D4275" s="3"/>
      <c r="E4275" s="3"/>
      <c r="F4275" s="3"/>
    </row>
    <row r="4276" spans="3:6" x14ac:dyDescent="0.3">
      <c r="C4276" s="3"/>
      <c r="D4276" s="3"/>
      <c r="E4276" s="3"/>
      <c r="F4276" s="3"/>
    </row>
    <row r="4277" spans="3:6" x14ac:dyDescent="0.3">
      <c r="C4277" s="3"/>
      <c r="D4277" s="3"/>
      <c r="E4277" s="3"/>
      <c r="F4277" s="3"/>
    </row>
    <row r="4278" spans="3:6" x14ac:dyDescent="0.3">
      <c r="C4278" s="3"/>
      <c r="D4278" s="3"/>
      <c r="E4278" s="3"/>
      <c r="F4278" s="3"/>
    </row>
    <row r="4279" spans="3:6" x14ac:dyDescent="0.3">
      <c r="C4279" s="3"/>
      <c r="D4279" s="3"/>
      <c r="E4279" s="3"/>
      <c r="F4279" s="3"/>
    </row>
    <row r="4280" spans="3:6" x14ac:dyDescent="0.3">
      <c r="C4280" s="3"/>
      <c r="D4280" s="3"/>
      <c r="E4280" s="3"/>
      <c r="F4280" s="3"/>
    </row>
    <row r="4281" spans="3:6" x14ac:dyDescent="0.3">
      <c r="C4281" s="3"/>
      <c r="D4281" s="3"/>
      <c r="E4281" s="3"/>
      <c r="F4281" s="3"/>
    </row>
    <row r="4282" spans="3:6" x14ac:dyDescent="0.3">
      <c r="C4282" s="3"/>
      <c r="D4282" s="3"/>
      <c r="E4282" s="3"/>
      <c r="F4282" s="3"/>
    </row>
    <row r="4283" spans="3:6" x14ac:dyDescent="0.3">
      <c r="C4283" s="3"/>
      <c r="D4283" s="3"/>
      <c r="E4283" s="3"/>
      <c r="F4283" s="3"/>
    </row>
    <row r="4284" spans="3:6" x14ac:dyDescent="0.3">
      <c r="C4284" s="3"/>
      <c r="D4284" s="3"/>
      <c r="E4284" s="3"/>
      <c r="F4284" s="3"/>
    </row>
    <row r="4285" spans="3:6" x14ac:dyDescent="0.3">
      <c r="C4285" s="3"/>
      <c r="D4285" s="3"/>
      <c r="E4285" s="3"/>
      <c r="F4285" s="3"/>
    </row>
    <row r="4286" spans="3:6" x14ac:dyDescent="0.3">
      <c r="C4286" s="3"/>
      <c r="D4286" s="3"/>
      <c r="E4286" s="3"/>
      <c r="F4286" s="3"/>
    </row>
    <row r="4287" spans="3:6" x14ac:dyDescent="0.3">
      <c r="C4287" s="3"/>
      <c r="D4287" s="3"/>
      <c r="E4287" s="3"/>
      <c r="F4287" s="3"/>
    </row>
    <row r="4288" spans="3:6" x14ac:dyDescent="0.3">
      <c r="C4288" s="3"/>
      <c r="D4288" s="3"/>
      <c r="E4288" s="3"/>
      <c r="F4288" s="3"/>
    </row>
    <row r="4289" spans="3:6" x14ac:dyDescent="0.3">
      <c r="C4289" s="3"/>
      <c r="D4289" s="3"/>
      <c r="E4289" s="3"/>
      <c r="F4289" s="3"/>
    </row>
    <row r="4290" spans="3:6" x14ac:dyDescent="0.3">
      <c r="C4290" s="3"/>
      <c r="D4290" s="3"/>
      <c r="E4290" s="3"/>
      <c r="F4290" s="3"/>
    </row>
    <row r="4291" spans="3:6" x14ac:dyDescent="0.3">
      <c r="C4291" s="3"/>
      <c r="D4291" s="3"/>
      <c r="E4291" s="3"/>
      <c r="F4291" s="3"/>
    </row>
    <row r="4292" spans="3:6" x14ac:dyDescent="0.3">
      <c r="C4292" s="3"/>
      <c r="D4292" s="3"/>
      <c r="E4292" s="3"/>
      <c r="F4292" s="3"/>
    </row>
    <row r="4293" spans="3:6" x14ac:dyDescent="0.3">
      <c r="C4293" s="3"/>
      <c r="D4293" s="3"/>
      <c r="E4293" s="3"/>
      <c r="F4293" s="3"/>
    </row>
    <row r="4294" spans="3:6" x14ac:dyDescent="0.3">
      <c r="C4294" s="3"/>
      <c r="D4294" s="3"/>
      <c r="E4294" s="3"/>
      <c r="F4294" s="3"/>
    </row>
    <row r="4295" spans="3:6" x14ac:dyDescent="0.3">
      <c r="C4295" s="3"/>
      <c r="D4295" s="3"/>
      <c r="E4295" s="3"/>
      <c r="F4295" s="3"/>
    </row>
    <row r="4296" spans="3:6" x14ac:dyDescent="0.3">
      <c r="C4296" s="3"/>
      <c r="D4296" s="3"/>
      <c r="E4296" s="3"/>
      <c r="F4296" s="3"/>
    </row>
    <row r="4297" spans="3:6" x14ac:dyDescent="0.3">
      <c r="C4297" s="3"/>
      <c r="D4297" s="3"/>
      <c r="E4297" s="3"/>
      <c r="F4297" s="3"/>
    </row>
    <row r="4298" spans="3:6" x14ac:dyDescent="0.3">
      <c r="C4298" s="3"/>
      <c r="D4298" s="3"/>
      <c r="E4298" s="3"/>
      <c r="F4298" s="3"/>
    </row>
    <row r="4299" spans="3:6" x14ac:dyDescent="0.3">
      <c r="C4299" s="3"/>
      <c r="D4299" s="3"/>
      <c r="E4299" s="3"/>
      <c r="F4299" s="3"/>
    </row>
    <row r="4300" spans="3:6" x14ac:dyDescent="0.3">
      <c r="C4300" s="3"/>
      <c r="D4300" s="3"/>
      <c r="E4300" s="3"/>
      <c r="F4300" s="3"/>
    </row>
    <row r="4301" spans="3:6" x14ac:dyDescent="0.3">
      <c r="C4301" s="3"/>
      <c r="D4301" s="3"/>
      <c r="E4301" s="3"/>
      <c r="F4301" s="3"/>
    </row>
    <row r="4302" spans="3:6" x14ac:dyDescent="0.3">
      <c r="C4302" s="3"/>
      <c r="D4302" s="3"/>
      <c r="E4302" s="3"/>
      <c r="F4302" s="3"/>
    </row>
    <row r="4303" spans="3:6" x14ac:dyDescent="0.3">
      <c r="C4303" s="3"/>
      <c r="D4303" s="3"/>
      <c r="E4303" s="3"/>
      <c r="F4303" s="3"/>
    </row>
    <row r="4304" spans="3:6" x14ac:dyDescent="0.3">
      <c r="C4304" s="3"/>
      <c r="D4304" s="3"/>
      <c r="E4304" s="3"/>
      <c r="F4304" s="3"/>
    </row>
    <row r="4305" spans="3:6" x14ac:dyDescent="0.3">
      <c r="C4305" s="3"/>
      <c r="D4305" s="3"/>
      <c r="E4305" s="3"/>
      <c r="F4305" s="3"/>
    </row>
    <row r="4306" spans="3:6" x14ac:dyDescent="0.3">
      <c r="C4306" s="3"/>
      <c r="D4306" s="3"/>
      <c r="E4306" s="3"/>
      <c r="F4306" s="3"/>
    </row>
    <row r="4307" spans="3:6" x14ac:dyDescent="0.3">
      <c r="C4307" s="3"/>
      <c r="D4307" s="3"/>
      <c r="E4307" s="3"/>
      <c r="F4307" s="3"/>
    </row>
    <row r="4308" spans="3:6" x14ac:dyDescent="0.3">
      <c r="C4308" s="3"/>
      <c r="D4308" s="3"/>
      <c r="E4308" s="3"/>
      <c r="F4308" s="3"/>
    </row>
    <row r="4309" spans="3:6" x14ac:dyDescent="0.3">
      <c r="C4309" s="3"/>
      <c r="D4309" s="3"/>
      <c r="E4309" s="3"/>
      <c r="F4309" s="3"/>
    </row>
    <row r="4310" spans="3:6" x14ac:dyDescent="0.3">
      <c r="C4310" s="3"/>
      <c r="D4310" s="3"/>
      <c r="E4310" s="3"/>
      <c r="F4310" s="3"/>
    </row>
    <row r="4311" spans="3:6" x14ac:dyDescent="0.3">
      <c r="C4311" s="3"/>
      <c r="D4311" s="3"/>
      <c r="E4311" s="3"/>
      <c r="F4311" s="3"/>
    </row>
    <row r="4312" spans="3:6" x14ac:dyDescent="0.3">
      <c r="C4312" s="3"/>
      <c r="D4312" s="3"/>
      <c r="E4312" s="3"/>
      <c r="F4312" s="3"/>
    </row>
    <row r="4313" spans="3:6" x14ac:dyDescent="0.3">
      <c r="C4313" s="3"/>
      <c r="D4313" s="3"/>
      <c r="E4313" s="3"/>
      <c r="F4313" s="3"/>
    </row>
    <row r="4314" spans="3:6" x14ac:dyDescent="0.3">
      <c r="C4314" s="3"/>
      <c r="D4314" s="3"/>
      <c r="E4314" s="3"/>
      <c r="F4314" s="3"/>
    </row>
    <row r="4315" spans="3:6" x14ac:dyDescent="0.3">
      <c r="C4315" s="3"/>
      <c r="D4315" s="3"/>
      <c r="E4315" s="3"/>
      <c r="F4315" s="3"/>
    </row>
    <row r="4316" spans="3:6" x14ac:dyDescent="0.3">
      <c r="C4316" s="3"/>
      <c r="D4316" s="3"/>
      <c r="E4316" s="3"/>
      <c r="F4316" s="3"/>
    </row>
    <row r="4317" spans="3:6" x14ac:dyDescent="0.3">
      <c r="C4317" s="3"/>
      <c r="D4317" s="3"/>
      <c r="E4317" s="3"/>
      <c r="F4317" s="3"/>
    </row>
    <row r="4318" spans="3:6" x14ac:dyDescent="0.3">
      <c r="C4318" s="3"/>
      <c r="D4318" s="3"/>
      <c r="E4318" s="3"/>
      <c r="F4318" s="3"/>
    </row>
    <row r="4319" spans="3:6" x14ac:dyDescent="0.3">
      <c r="C4319" s="3"/>
      <c r="D4319" s="3"/>
      <c r="E4319" s="3"/>
      <c r="F4319" s="3"/>
    </row>
    <row r="4320" spans="3:6" x14ac:dyDescent="0.3">
      <c r="C4320" s="3"/>
      <c r="D4320" s="3"/>
      <c r="E4320" s="3"/>
      <c r="F4320" s="3"/>
    </row>
    <row r="4321" spans="3:6" x14ac:dyDescent="0.3">
      <c r="C4321" s="3"/>
      <c r="D4321" s="3"/>
      <c r="E4321" s="3"/>
      <c r="F4321" s="3"/>
    </row>
    <row r="4322" spans="3:6" x14ac:dyDescent="0.3">
      <c r="C4322" s="3"/>
      <c r="D4322" s="3"/>
      <c r="E4322" s="3"/>
      <c r="F4322" s="3"/>
    </row>
    <row r="4323" spans="3:6" x14ac:dyDescent="0.3">
      <c r="C4323" s="3"/>
      <c r="D4323" s="3"/>
      <c r="E4323" s="3"/>
      <c r="F4323" s="3"/>
    </row>
    <row r="4324" spans="3:6" x14ac:dyDescent="0.3">
      <c r="C4324" s="3"/>
      <c r="D4324" s="3"/>
      <c r="E4324" s="3"/>
      <c r="F4324" s="3"/>
    </row>
    <row r="4325" spans="3:6" x14ac:dyDescent="0.3">
      <c r="C4325" s="3"/>
      <c r="D4325" s="3"/>
      <c r="E4325" s="3"/>
      <c r="F4325" s="3"/>
    </row>
    <row r="4326" spans="3:6" x14ac:dyDescent="0.3">
      <c r="C4326" s="3"/>
      <c r="D4326" s="3"/>
      <c r="E4326" s="3"/>
      <c r="F4326" s="3"/>
    </row>
    <row r="4327" spans="3:6" x14ac:dyDescent="0.3">
      <c r="C4327" s="3"/>
      <c r="D4327" s="3"/>
      <c r="E4327" s="3"/>
      <c r="F4327" s="3"/>
    </row>
    <row r="4328" spans="3:6" x14ac:dyDescent="0.3">
      <c r="C4328" s="3"/>
      <c r="D4328" s="3"/>
      <c r="E4328" s="3"/>
      <c r="F4328" s="3"/>
    </row>
    <row r="4329" spans="3:6" x14ac:dyDescent="0.3">
      <c r="C4329" s="3"/>
      <c r="D4329" s="3"/>
      <c r="E4329" s="3"/>
      <c r="F4329" s="3"/>
    </row>
    <row r="4330" spans="3:6" x14ac:dyDescent="0.3">
      <c r="C4330" s="3"/>
      <c r="D4330" s="3"/>
      <c r="E4330" s="3"/>
      <c r="F4330" s="3"/>
    </row>
    <row r="4331" spans="3:6" x14ac:dyDescent="0.3">
      <c r="C4331" s="3"/>
      <c r="D4331" s="3"/>
      <c r="E4331" s="3"/>
      <c r="F4331" s="3"/>
    </row>
    <row r="4332" spans="3:6" x14ac:dyDescent="0.3">
      <c r="C4332" s="3"/>
      <c r="D4332" s="3"/>
      <c r="E4332" s="3"/>
      <c r="F4332" s="3"/>
    </row>
    <row r="4333" spans="3:6" x14ac:dyDescent="0.3">
      <c r="C4333" s="3"/>
      <c r="D4333" s="3"/>
      <c r="E4333" s="3"/>
      <c r="F4333" s="3"/>
    </row>
    <row r="4334" spans="3:6" x14ac:dyDescent="0.3">
      <c r="C4334" s="3"/>
      <c r="D4334" s="3"/>
      <c r="E4334" s="3"/>
      <c r="F4334" s="3"/>
    </row>
    <row r="4335" spans="3:6" x14ac:dyDescent="0.3">
      <c r="C4335" s="3"/>
      <c r="D4335" s="3"/>
      <c r="E4335" s="3"/>
      <c r="F4335" s="3"/>
    </row>
    <row r="4336" spans="3:6" x14ac:dyDescent="0.3">
      <c r="C4336" s="3"/>
      <c r="D4336" s="3"/>
      <c r="E4336" s="3"/>
      <c r="F4336" s="3"/>
    </row>
    <row r="4337" spans="3:6" x14ac:dyDescent="0.3">
      <c r="C4337" s="3"/>
      <c r="D4337" s="3"/>
      <c r="E4337" s="3"/>
      <c r="F4337" s="3"/>
    </row>
    <row r="4338" spans="3:6" x14ac:dyDescent="0.3">
      <c r="C4338" s="3"/>
      <c r="D4338" s="3"/>
      <c r="E4338" s="3"/>
      <c r="F4338" s="3"/>
    </row>
    <row r="4339" spans="3:6" x14ac:dyDescent="0.3">
      <c r="C4339" s="3"/>
      <c r="D4339" s="3"/>
      <c r="E4339" s="3"/>
      <c r="F4339" s="3"/>
    </row>
    <row r="4340" spans="3:6" x14ac:dyDescent="0.3">
      <c r="C4340" s="3"/>
      <c r="D4340" s="3"/>
      <c r="E4340" s="3"/>
      <c r="F4340" s="3"/>
    </row>
    <row r="4341" spans="3:6" x14ac:dyDescent="0.3">
      <c r="C4341" s="3"/>
      <c r="D4341" s="3"/>
      <c r="E4341" s="3"/>
      <c r="F4341" s="3"/>
    </row>
    <row r="4342" spans="3:6" x14ac:dyDescent="0.3">
      <c r="C4342" s="3"/>
      <c r="D4342" s="3"/>
      <c r="E4342" s="3"/>
      <c r="F4342" s="3"/>
    </row>
    <row r="4343" spans="3:6" x14ac:dyDescent="0.3">
      <c r="C4343" s="3"/>
      <c r="D4343" s="3"/>
      <c r="E4343" s="3"/>
      <c r="F4343" s="3"/>
    </row>
    <row r="4344" spans="3:6" x14ac:dyDescent="0.3">
      <c r="C4344" s="3"/>
      <c r="D4344" s="3"/>
      <c r="E4344" s="3"/>
      <c r="F4344" s="3"/>
    </row>
    <row r="4345" spans="3:6" x14ac:dyDescent="0.3">
      <c r="C4345" s="3"/>
      <c r="D4345" s="3"/>
      <c r="E4345" s="3"/>
      <c r="F4345" s="3"/>
    </row>
    <row r="4346" spans="3:6" x14ac:dyDescent="0.3">
      <c r="C4346" s="3"/>
      <c r="D4346" s="3"/>
      <c r="E4346" s="3"/>
      <c r="F4346" s="3"/>
    </row>
    <row r="4347" spans="3:6" x14ac:dyDescent="0.3">
      <c r="C4347" s="3"/>
      <c r="D4347" s="3"/>
      <c r="E4347" s="3"/>
      <c r="F4347" s="3"/>
    </row>
    <row r="4348" spans="3:6" x14ac:dyDescent="0.3">
      <c r="C4348" s="3"/>
      <c r="D4348" s="3"/>
      <c r="E4348" s="3"/>
      <c r="F4348" s="3"/>
    </row>
    <row r="4349" spans="3:6" x14ac:dyDescent="0.3">
      <c r="C4349" s="3"/>
      <c r="D4349" s="3"/>
      <c r="E4349" s="3"/>
      <c r="F4349" s="3"/>
    </row>
    <row r="4350" spans="3:6" x14ac:dyDescent="0.3">
      <c r="C4350" s="3"/>
      <c r="D4350" s="3"/>
      <c r="E4350" s="3"/>
      <c r="F4350" s="3"/>
    </row>
    <row r="4351" spans="3:6" x14ac:dyDescent="0.3">
      <c r="C4351" s="3"/>
      <c r="D4351" s="3"/>
      <c r="E4351" s="3"/>
      <c r="F4351" s="3"/>
    </row>
    <row r="4352" spans="3:6" x14ac:dyDescent="0.3">
      <c r="C4352" s="3"/>
      <c r="D4352" s="3"/>
      <c r="E4352" s="3"/>
      <c r="F4352" s="3"/>
    </row>
    <row r="4353" spans="3:6" x14ac:dyDescent="0.3">
      <c r="C4353" s="3"/>
      <c r="D4353" s="3"/>
      <c r="E4353" s="3"/>
      <c r="F4353" s="3"/>
    </row>
    <row r="4354" spans="3:6" x14ac:dyDescent="0.3">
      <c r="C4354" s="3"/>
      <c r="D4354" s="3"/>
      <c r="E4354" s="3"/>
      <c r="F4354" s="3"/>
    </row>
    <row r="4355" spans="3:6" x14ac:dyDescent="0.3">
      <c r="C4355" s="3"/>
      <c r="D4355" s="3"/>
      <c r="E4355" s="3"/>
      <c r="F4355" s="3"/>
    </row>
    <row r="4356" spans="3:6" x14ac:dyDescent="0.3">
      <c r="C4356" s="3"/>
      <c r="D4356" s="3"/>
      <c r="E4356" s="3"/>
      <c r="F4356" s="3"/>
    </row>
    <row r="4357" spans="3:6" x14ac:dyDescent="0.3">
      <c r="C4357" s="3"/>
      <c r="D4357" s="3"/>
      <c r="E4357" s="3"/>
      <c r="F4357" s="3"/>
    </row>
    <row r="4358" spans="3:6" x14ac:dyDescent="0.3">
      <c r="C4358" s="3"/>
      <c r="D4358" s="3"/>
      <c r="E4358" s="3"/>
      <c r="F4358" s="3"/>
    </row>
    <row r="4359" spans="3:6" x14ac:dyDescent="0.3">
      <c r="C4359" s="3"/>
      <c r="D4359" s="3"/>
      <c r="E4359" s="3"/>
      <c r="F4359" s="3"/>
    </row>
    <row r="4360" spans="3:6" x14ac:dyDescent="0.3">
      <c r="C4360" s="3"/>
      <c r="D4360" s="3"/>
      <c r="E4360" s="3"/>
      <c r="F4360" s="3"/>
    </row>
    <row r="4361" spans="3:6" x14ac:dyDescent="0.3">
      <c r="C4361" s="3"/>
      <c r="D4361" s="3"/>
      <c r="E4361" s="3"/>
      <c r="F4361" s="3"/>
    </row>
    <row r="4362" spans="3:6" x14ac:dyDescent="0.3">
      <c r="C4362" s="3"/>
      <c r="D4362" s="3"/>
      <c r="E4362" s="3"/>
      <c r="F4362" s="3"/>
    </row>
    <row r="4363" spans="3:6" x14ac:dyDescent="0.3">
      <c r="C4363" s="3"/>
      <c r="D4363" s="3"/>
      <c r="E4363" s="3"/>
      <c r="F4363" s="3"/>
    </row>
    <row r="4364" spans="3:6" x14ac:dyDescent="0.3">
      <c r="C4364" s="3"/>
      <c r="D4364" s="3"/>
      <c r="E4364" s="3"/>
      <c r="F4364" s="3"/>
    </row>
    <row r="4365" spans="3:6" x14ac:dyDescent="0.3">
      <c r="C4365" s="3"/>
      <c r="D4365" s="3"/>
      <c r="E4365" s="3"/>
      <c r="F4365" s="3"/>
    </row>
    <row r="4366" spans="3:6" x14ac:dyDescent="0.3">
      <c r="C4366" s="3"/>
      <c r="D4366" s="3"/>
      <c r="E4366" s="3"/>
      <c r="F4366" s="3"/>
    </row>
    <row r="4367" spans="3:6" x14ac:dyDescent="0.3">
      <c r="C4367" s="3"/>
      <c r="D4367" s="3"/>
      <c r="E4367" s="3"/>
      <c r="F4367" s="3"/>
    </row>
    <row r="4368" spans="3:6" x14ac:dyDescent="0.3">
      <c r="C4368" s="3"/>
      <c r="D4368" s="3"/>
      <c r="E4368" s="3"/>
      <c r="F4368" s="3"/>
    </row>
    <row r="4369" spans="3:6" x14ac:dyDescent="0.3">
      <c r="C4369" s="3"/>
      <c r="D4369" s="3"/>
      <c r="E4369" s="3"/>
      <c r="F4369" s="3"/>
    </row>
    <row r="4370" spans="3:6" x14ac:dyDescent="0.3">
      <c r="C4370" s="3"/>
      <c r="D4370" s="3"/>
      <c r="E4370" s="3"/>
      <c r="F4370" s="3"/>
    </row>
    <row r="4371" spans="3:6" x14ac:dyDescent="0.3">
      <c r="C4371" s="3"/>
      <c r="D4371" s="3"/>
      <c r="E4371" s="3"/>
      <c r="F4371" s="3"/>
    </row>
    <row r="4372" spans="3:6" x14ac:dyDescent="0.3">
      <c r="C4372" s="3"/>
      <c r="D4372" s="3"/>
      <c r="E4372" s="3"/>
      <c r="F4372" s="3"/>
    </row>
    <row r="4373" spans="3:6" x14ac:dyDescent="0.3">
      <c r="C4373" s="3"/>
      <c r="D4373" s="3"/>
      <c r="E4373" s="3"/>
      <c r="F4373" s="3"/>
    </row>
    <row r="4374" spans="3:6" x14ac:dyDescent="0.3">
      <c r="C4374" s="3"/>
      <c r="D4374" s="3"/>
      <c r="E4374" s="3"/>
      <c r="F4374" s="3"/>
    </row>
    <row r="4375" spans="3:6" x14ac:dyDescent="0.3">
      <c r="C4375" s="3"/>
      <c r="D4375" s="3"/>
      <c r="E4375" s="3"/>
      <c r="F4375" s="3"/>
    </row>
    <row r="4376" spans="3:6" x14ac:dyDescent="0.3">
      <c r="C4376" s="3"/>
      <c r="D4376" s="3"/>
      <c r="E4376" s="3"/>
      <c r="F4376" s="3"/>
    </row>
    <row r="4377" spans="3:6" x14ac:dyDescent="0.3">
      <c r="C4377" s="3"/>
      <c r="D4377" s="3"/>
      <c r="E4377" s="3"/>
      <c r="F4377" s="3"/>
    </row>
    <row r="4378" spans="3:6" x14ac:dyDescent="0.3">
      <c r="C4378" s="3"/>
      <c r="D4378" s="3"/>
      <c r="E4378" s="3"/>
      <c r="F4378" s="3"/>
    </row>
    <row r="4379" spans="3:6" x14ac:dyDescent="0.3">
      <c r="C4379" s="3"/>
      <c r="D4379" s="3"/>
      <c r="E4379" s="3"/>
      <c r="F4379" s="3"/>
    </row>
    <row r="4380" spans="3:6" x14ac:dyDescent="0.3">
      <c r="C4380" s="3"/>
      <c r="D4380" s="3"/>
      <c r="E4380" s="3"/>
      <c r="F4380" s="3"/>
    </row>
    <row r="4381" spans="3:6" x14ac:dyDescent="0.3">
      <c r="C4381" s="3"/>
      <c r="D4381" s="3"/>
      <c r="E4381" s="3"/>
      <c r="F4381" s="3"/>
    </row>
    <row r="4382" spans="3:6" x14ac:dyDescent="0.3">
      <c r="C4382" s="3"/>
      <c r="D4382" s="3"/>
      <c r="E4382" s="3"/>
      <c r="F4382" s="3"/>
    </row>
    <row r="4383" spans="3:6" x14ac:dyDescent="0.3">
      <c r="C4383" s="3"/>
      <c r="D4383" s="3"/>
      <c r="E4383" s="3"/>
      <c r="F4383" s="3"/>
    </row>
    <row r="4384" spans="3:6" x14ac:dyDescent="0.3">
      <c r="C4384" s="3"/>
      <c r="D4384" s="3"/>
      <c r="E4384" s="3"/>
      <c r="F4384" s="3"/>
    </row>
    <row r="4385" spans="3:6" x14ac:dyDescent="0.3">
      <c r="C4385" s="3"/>
      <c r="D4385" s="3"/>
      <c r="E4385" s="3"/>
      <c r="F4385" s="3"/>
    </row>
    <row r="4386" spans="3:6" x14ac:dyDescent="0.3">
      <c r="C4386" s="3"/>
      <c r="D4386" s="3"/>
      <c r="E4386" s="3"/>
      <c r="F4386" s="3"/>
    </row>
    <row r="4387" spans="3:6" x14ac:dyDescent="0.3">
      <c r="C4387" s="3"/>
      <c r="D4387" s="3"/>
      <c r="E4387" s="3"/>
      <c r="F4387" s="3"/>
    </row>
    <row r="4388" spans="3:6" x14ac:dyDescent="0.3">
      <c r="C4388" s="3"/>
      <c r="D4388" s="3"/>
      <c r="E4388" s="3"/>
      <c r="F4388" s="3"/>
    </row>
    <row r="4389" spans="3:6" x14ac:dyDescent="0.3">
      <c r="C4389" s="3"/>
      <c r="D4389" s="3"/>
      <c r="E4389" s="3"/>
      <c r="F4389" s="3"/>
    </row>
    <row r="4390" spans="3:6" x14ac:dyDescent="0.3">
      <c r="C4390" s="3"/>
      <c r="D4390" s="3"/>
      <c r="E4390" s="3"/>
      <c r="F4390" s="3"/>
    </row>
    <row r="4391" spans="3:6" x14ac:dyDescent="0.3">
      <c r="C4391" s="3"/>
      <c r="D4391" s="3"/>
      <c r="E4391" s="3"/>
      <c r="F4391" s="3"/>
    </row>
    <row r="4392" spans="3:6" x14ac:dyDescent="0.3">
      <c r="C4392" s="3"/>
      <c r="D4392" s="3"/>
      <c r="E4392" s="3"/>
      <c r="F4392" s="3"/>
    </row>
    <row r="4393" spans="3:6" x14ac:dyDescent="0.3">
      <c r="C4393" s="3"/>
      <c r="D4393" s="3"/>
      <c r="E4393" s="3"/>
      <c r="F4393" s="3"/>
    </row>
    <row r="4394" spans="3:6" x14ac:dyDescent="0.3">
      <c r="C4394" s="3"/>
      <c r="D4394" s="3"/>
      <c r="E4394" s="3"/>
      <c r="F4394" s="3"/>
    </row>
    <row r="4395" spans="3:6" x14ac:dyDescent="0.3">
      <c r="C4395" s="3"/>
      <c r="D4395" s="3"/>
      <c r="E4395" s="3"/>
      <c r="F4395" s="3"/>
    </row>
    <row r="4396" spans="3:6" x14ac:dyDescent="0.3">
      <c r="C4396" s="3"/>
      <c r="D4396" s="3"/>
      <c r="E4396" s="3"/>
      <c r="F4396" s="3"/>
    </row>
    <row r="4397" spans="3:6" x14ac:dyDescent="0.3">
      <c r="C4397" s="3"/>
      <c r="D4397" s="3"/>
      <c r="E4397" s="3"/>
      <c r="F4397" s="3"/>
    </row>
    <row r="4398" spans="3:6" x14ac:dyDescent="0.3">
      <c r="C4398" s="3"/>
      <c r="D4398" s="3"/>
      <c r="E4398" s="3"/>
      <c r="F4398" s="3"/>
    </row>
    <row r="4399" spans="3:6" x14ac:dyDescent="0.3">
      <c r="C4399" s="3"/>
      <c r="D4399" s="3"/>
      <c r="E4399" s="3"/>
      <c r="F4399" s="3"/>
    </row>
    <row r="4400" spans="3:6" x14ac:dyDescent="0.3">
      <c r="C4400" s="3"/>
      <c r="D4400" s="3"/>
      <c r="E4400" s="3"/>
      <c r="F4400" s="3"/>
    </row>
    <row r="4401" spans="3:6" x14ac:dyDescent="0.3">
      <c r="C4401" s="3"/>
      <c r="D4401" s="3"/>
      <c r="E4401" s="3"/>
      <c r="F4401" s="3"/>
    </row>
    <row r="4402" spans="3:6" x14ac:dyDescent="0.3">
      <c r="C4402" s="3"/>
      <c r="D4402" s="3"/>
      <c r="E4402" s="3"/>
      <c r="F4402" s="3"/>
    </row>
    <row r="4403" spans="3:6" x14ac:dyDescent="0.3">
      <c r="C4403" s="3"/>
      <c r="D4403" s="3"/>
      <c r="E4403" s="3"/>
      <c r="F4403" s="3"/>
    </row>
    <row r="4404" spans="3:6" x14ac:dyDescent="0.3">
      <c r="C4404" s="3"/>
      <c r="D4404" s="3"/>
      <c r="E4404" s="3"/>
      <c r="F4404" s="3"/>
    </row>
    <row r="4405" spans="3:6" x14ac:dyDescent="0.3">
      <c r="C4405" s="3"/>
      <c r="D4405" s="3"/>
      <c r="E4405" s="3"/>
      <c r="F4405" s="3"/>
    </row>
    <row r="4406" spans="3:6" x14ac:dyDescent="0.3">
      <c r="C4406" s="3"/>
      <c r="D4406" s="3"/>
      <c r="E4406" s="3"/>
      <c r="F4406" s="3"/>
    </row>
    <row r="4407" spans="3:6" x14ac:dyDescent="0.3">
      <c r="C4407" s="3"/>
      <c r="D4407" s="3"/>
      <c r="E4407" s="3"/>
      <c r="F4407" s="3"/>
    </row>
    <row r="4408" spans="3:6" x14ac:dyDescent="0.3">
      <c r="C4408" s="3"/>
      <c r="D4408" s="3"/>
      <c r="E4408" s="3"/>
      <c r="F4408" s="3"/>
    </row>
    <row r="4409" spans="3:6" x14ac:dyDescent="0.3">
      <c r="C4409" s="3"/>
      <c r="D4409" s="3"/>
      <c r="E4409" s="3"/>
      <c r="F4409" s="3"/>
    </row>
    <row r="4410" spans="3:6" x14ac:dyDescent="0.3">
      <c r="C4410" s="3"/>
      <c r="D4410" s="3"/>
      <c r="E4410" s="3"/>
      <c r="F4410" s="3"/>
    </row>
    <row r="4411" spans="3:6" x14ac:dyDescent="0.3">
      <c r="C4411" s="3"/>
      <c r="D4411" s="3"/>
      <c r="E4411" s="3"/>
      <c r="F4411" s="3"/>
    </row>
    <row r="4412" spans="3:6" x14ac:dyDescent="0.3">
      <c r="C4412" s="3"/>
      <c r="D4412" s="3"/>
      <c r="E4412" s="3"/>
      <c r="F4412" s="3"/>
    </row>
    <row r="4413" spans="3:6" x14ac:dyDescent="0.3">
      <c r="C4413" s="3"/>
      <c r="D4413" s="3"/>
      <c r="E4413" s="3"/>
      <c r="F4413" s="3"/>
    </row>
    <row r="4414" spans="3:6" x14ac:dyDescent="0.3">
      <c r="C4414" s="3"/>
      <c r="D4414" s="3"/>
      <c r="E4414" s="3"/>
      <c r="F4414" s="3"/>
    </row>
    <row r="4415" spans="3:6" x14ac:dyDescent="0.3">
      <c r="C4415" s="3"/>
      <c r="D4415" s="3"/>
      <c r="E4415" s="3"/>
      <c r="F4415" s="3"/>
    </row>
    <row r="4416" spans="3:6" x14ac:dyDescent="0.3">
      <c r="C4416" s="3"/>
      <c r="D4416" s="3"/>
      <c r="E4416" s="3"/>
      <c r="F4416" s="3"/>
    </row>
    <row r="4417" spans="3:6" x14ac:dyDescent="0.3">
      <c r="C4417" s="3"/>
      <c r="D4417" s="3"/>
      <c r="E4417" s="3"/>
      <c r="F4417" s="3"/>
    </row>
    <row r="4418" spans="3:6" x14ac:dyDescent="0.3">
      <c r="C4418" s="3"/>
      <c r="D4418" s="3"/>
      <c r="E4418" s="3"/>
      <c r="F4418" s="3"/>
    </row>
    <row r="4419" spans="3:6" x14ac:dyDescent="0.3">
      <c r="C4419" s="3"/>
      <c r="D4419" s="3"/>
      <c r="E4419" s="3"/>
      <c r="F4419" s="3"/>
    </row>
    <row r="4420" spans="3:6" x14ac:dyDescent="0.3">
      <c r="C4420" s="3"/>
      <c r="D4420" s="3"/>
      <c r="E4420" s="3"/>
      <c r="F4420" s="3"/>
    </row>
    <row r="4421" spans="3:6" x14ac:dyDescent="0.3">
      <c r="C4421" s="3"/>
      <c r="D4421" s="3"/>
      <c r="E4421" s="3"/>
      <c r="F4421" s="3"/>
    </row>
    <row r="4422" spans="3:6" x14ac:dyDescent="0.3">
      <c r="C4422" s="3"/>
      <c r="D4422" s="3"/>
      <c r="E4422" s="3"/>
      <c r="F4422" s="3"/>
    </row>
    <row r="4423" spans="3:6" x14ac:dyDescent="0.3">
      <c r="C4423" s="3"/>
      <c r="D4423" s="3"/>
      <c r="E4423" s="3"/>
      <c r="F4423" s="3"/>
    </row>
    <row r="4424" spans="3:6" x14ac:dyDescent="0.3">
      <c r="C4424" s="3"/>
      <c r="D4424" s="3"/>
      <c r="E4424" s="3"/>
      <c r="F4424" s="3"/>
    </row>
    <row r="4425" spans="3:6" x14ac:dyDescent="0.3">
      <c r="C4425" s="3"/>
      <c r="D4425" s="3"/>
      <c r="E4425" s="3"/>
      <c r="F4425" s="3"/>
    </row>
    <row r="4426" spans="3:6" x14ac:dyDescent="0.3">
      <c r="C4426" s="3"/>
      <c r="D4426" s="3"/>
      <c r="E4426" s="3"/>
      <c r="F4426" s="3"/>
    </row>
    <row r="4427" spans="3:6" x14ac:dyDescent="0.3">
      <c r="C4427" s="3"/>
      <c r="D4427" s="3"/>
      <c r="E4427" s="3"/>
      <c r="F4427" s="3"/>
    </row>
    <row r="4428" spans="3:6" x14ac:dyDescent="0.3">
      <c r="C4428" s="3"/>
      <c r="D4428" s="3"/>
      <c r="E4428" s="3"/>
      <c r="F4428" s="3"/>
    </row>
    <row r="4429" spans="3:6" x14ac:dyDescent="0.3">
      <c r="C4429" s="3"/>
      <c r="D4429" s="3"/>
      <c r="E4429" s="3"/>
      <c r="F4429" s="3"/>
    </row>
    <row r="4430" spans="3:6" x14ac:dyDescent="0.3">
      <c r="C4430" s="3"/>
      <c r="D4430" s="3"/>
      <c r="E4430" s="3"/>
      <c r="F4430" s="3"/>
    </row>
    <row r="4431" spans="3:6" x14ac:dyDescent="0.3">
      <c r="C4431" s="3"/>
      <c r="D4431" s="3"/>
      <c r="E4431" s="3"/>
      <c r="F4431" s="3"/>
    </row>
    <row r="4432" spans="3:6" x14ac:dyDescent="0.3">
      <c r="C4432" s="3"/>
      <c r="D4432" s="3"/>
      <c r="E4432" s="3"/>
      <c r="F4432" s="3"/>
    </row>
    <row r="4433" spans="3:6" x14ac:dyDescent="0.3">
      <c r="C4433" s="3"/>
      <c r="D4433" s="3"/>
      <c r="E4433" s="3"/>
      <c r="F4433" s="3"/>
    </row>
    <row r="4434" spans="3:6" x14ac:dyDescent="0.3">
      <c r="C4434" s="3"/>
      <c r="D4434" s="3"/>
      <c r="E4434" s="3"/>
      <c r="F4434" s="3"/>
    </row>
    <row r="4435" spans="3:6" x14ac:dyDescent="0.3">
      <c r="C4435" s="3"/>
      <c r="D4435" s="3"/>
      <c r="E4435" s="3"/>
      <c r="F4435" s="3"/>
    </row>
    <row r="4436" spans="3:6" x14ac:dyDescent="0.3">
      <c r="C4436" s="3"/>
      <c r="D4436" s="3"/>
      <c r="E4436" s="3"/>
      <c r="F4436" s="3"/>
    </row>
    <row r="4437" spans="3:6" x14ac:dyDescent="0.3">
      <c r="C4437" s="3"/>
      <c r="D4437" s="3"/>
      <c r="E4437" s="3"/>
      <c r="F4437" s="3"/>
    </row>
    <row r="4438" spans="3:6" x14ac:dyDescent="0.3">
      <c r="C4438" s="3"/>
      <c r="D4438" s="3"/>
      <c r="E4438" s="3"/>
      <c r="F4438" s="3"/>
    </row>
    <row r="4439" spans="3:6" x14ac:dyDescent="0.3">
      <c r="C4439" s="3"/>
      <c r="D4439" s="3"/>
      <c r="E4439" s="3"/>
      <c r="F4439" s="3"/>
    </row>
    <row r="4440" spans="3:6" x14ac:dyDescent="0.3">
      <c r="C4440" s="3"/>
      <c r="D4440" s="3"/>
      <c r="E4440" s="3"/>
      <c r="F4440" s="3"/>
    </row>
    <row r="4441" spans="3:6" x14ac:dyDescent="0.3">
      <c r="C4441" s="3"/>
      <c r="D4441" s="3"/>
      <c r="E4441" s="3"/>
      <c r="F4441" s="3"/>
    </row>
    <row r="4442" spans="3:6" x14ac:dyDescent="0.3">
      <c r="C4442" s="3"/>
      <c r="D4442" s="3"/>
      <c r="E4442" s="3"/>
      <c r="F4442" s="3"/>
    </row>
    <row r="4443" spans="3:6" x14ac:dyDescent="0.3">
      <c r="C4443" s="3"/>
      <c r="D4443" s="3"/>
      <c r="E4443" s="3"/>
      <c r="F4443" s="3"/>
    </row>
    <row r="4444" spans="3:6" x14ac:dyDescent="0.3">
      <c r="C4444" s="3"/>
      <c r="D4444" s="3"/>
      <c r="E4444" s="3"/>
      <c r="F4444" s="3"/>
    </row>
    <row r="4445" spans="3:6" x14ac:dyDescent="0.3">
      <c r="C4445" s="3"/>
      <c r="D4445" s="3"/>
      <c r="E4445" s="3"/>
      <c r="F4445" s="3"/>
    </row>
    <row r="4446" spans="3:6" x14ac:dyDescent="0.3">
      <c r="C4446" s="3"/>
      <c r="D4446" s="3"/>
      <c r="E4446" s="3"/>
      <c r="F4446" s="3"/>
    </row>
    <row r="4447" spans="3:6" x14ac:dyDescent="0.3">
      <c r="C4447" s="3"/>
      <c r="D4447" s="3"/>
      <c r="E4447" s="3"/>
      <c r="F4447" s="3"/>
    </row>
    <row r="4448" spans="3:6" x14ac:dyDescent="0.3">
      <c r="C4448" s="3"/>
      <c r="D4448" s="3"/>
      <c r="E4448" s="3"/>
      <c r="F4448" s="3"/>
    </row>
    <row r="4449" spans="3:6" x14ac:dyDescent="0.3">
      <c r="C4449" s="3"/>
      <c r="D4449" s="3"/>
      <c r="E4449" s="3"/>
      <c r="F4449" s="3"/>
    </row>
    <row r="4450" spans="3:6" x14ac:dyDescent="0.3">
      <c r="C4450" s="3"/>
      <c r="D4450" s="3"/>
      <c r="E4450" s="3"/>
      <c r="F4450" s="3"/>
    </row>
    <row r="4451" spans="3:6" x14ac:dyDescent="0.3">
      <c r="C4451" s="3"/>
      <c r="D4451" s="3"/>
      <c r="E4451" s="3"/>
      <c r="F4451" s="3"/>
    </row>
    <row r="4452" spans="3:6" x14ac:dyDescent="0.3">
      <c r="C4452" s="3"/>
      <c r="D4452" s="3"/>
      <c r="E4452" s="3"/>
      <c r="F4452" s="3"/>
    </row>
    <row r="4453" spans="3:6" x14ac:dyDescent="0.3">
      <c r="C4453" s="3"/>
      <c r="D4453" s="3"/>
      <c r="E4453" s="3"/>
      <c r="F4453" s="3"/>
    </row>
    <row r="4454" spans="3:6" x14ac:dyDescent="0.3">
      <c r="C4454" s="3"/>
      <c r="D4454" s="3"/>
      <c r="E4454" s="3"/>
      <c r="F4454" s="3"/>
    </row>
    <row r="4455" spans="3:6" x14ac:dyDescent="0.3">
      <c r="C4455" s="3"/>
      <c r="D4455" s="3"/>
      <c r="E4455" s="3"/>
      <c r="F4455" s="3"/>
    </row>
    <row r="4456" spans="3:6" x14ac:dyDescent="0.3">
      <c r="C4456" s="3"/>
      <c r="D4456" s="3"/>
      <c r="E4456" s="3"/>
      <c r="F4456" s="3"/>
    </row>
    <row r="4457" spans="3:6" x14ac:dyDescent="0.3">
      <c r="C4457" s="3"/>
      <c r="D4457" s="3"/>
      <c r="E4457" s="3"/>
      <c r="F4457" s="3"/>
    </row>
    <row r="4458" spans="3:6" x14ac:dyDescent="0.3">
      <c r="C4458" s="3"/>
      <c r="D4458" s="3"/>
      <c r="E4458" s="3"/>
      <c r="F4458" s="3"/>
    </row>
    <row r="4459" spans="3:6" x14ac:dyDescent="0.3">
      <c r="C4459" s="3"/>
      <c r="D4459" s="3"/>
      <c r="E4459" s="3"/>
      <c r="F4459" s="3"/>
    </row>
    <row r="4460" spans="3:6" x14ac:dyDescent="0.3">
      <c r="C4460" s="3"/>
      <c r="D4460" s="3"/>
      <c r="E4460" s="3"/>
      <c r="F4460" s="3"/>
    </row>
    <row r="4461" spans="3:6" x14ac:dyDescent="0.3">
      <c r="C4461" s="3"/>
      <c r="D4461" s="3"/>
      <c r="E4461" s="3"/>
      <c r="F4461" s="3"/>
    </row>
    <row r="4462" spans="3:6" x14ac:dyDescent="0.3">
      <c r="C4462" s="3"/>
      <c r="D4462" s="3"/>
      <c r="E4462" s="3"/>
      <c r="F4462" s="3"/>
    </row>
    <row r="4463" spans="3:6" x14ac:dyDescent="0.3">
      <c r="C4463" s="3"/>
      <c r="D4463" s="3"/>
      <c r="E4463" s="3"/>
      <c r="F4463" s="3"/>
    </row>
    <row r="4464" spans="3:6" x14ac:dyDescent="0.3">
      <c r="C4464" s="3"/>
      <c r="D4464" s="3"/>
      <c r="E4464" s="3"/>
      <c r="F4464" s="3"/>
    </row>
    <row r="4465" spans="3:6" x14ac:dyDescent="0.3">
      <c r="C4465" s="3"/>
      <c r="D4465" s="3"/>
      <c r="E4465" s="3"/>
      <c r="F4465" s="3"/>
    </row>
    <row r="4466" spans="3:6" x14ac:dyDescent="0.3">
      <c r="C4466" s="3"/>
      <c r="D4466" s="3"/>
      <c r="E4466" s="3"/>
      <c r="F4466" s="3"/>
    </row>
    <row r="4467" spans="3:6" x14ac:dyDescent="0.3">
      <c r="C4467" s="3"/>
      <c r="D4467" s="3"/>
      <c r="E4467" s="3"/>
      <c r="F4467" s="3"/>
    </row>
    <row r="4468" spans="3:6" x14ac:dyDescent="0.3">
      <c r="C4468" s="3"/>
      <c r="D4468" s="3"/>
      <c r="E4468" s="3"/>
      <c r="F4468" s="3"/>
    </row>
    <row r="4469" spans="3:6" x14ac:dyDescent="0.3">
      <c r="C4469" s="3"/>
      <c r="D4469" s="3"/>
      <c r="E4469" s="3"/>
      <c r="F4469" s="3"/>
    </row>
    <row r="4470" spans="3:6" x14ac:dyDescent="0.3">
      <c r="C4470" s="3"/>
      <c r="D4470" s="3"/>
      <c r="E4470" s="3"/>
      <c r="F4470" s="3"/>
    </row>
    <row r="4471" spans="3:6" x14ac:dyDescent="0.3">
      <c r="C4471" s="3"/>
      <c r="D4471" s="3"/>
      <c r="E4471" s="3"/>
      <c r="F4471" s="3"/>
    </row>
    <row r="4472" spans="3:6" x14ac:dyDescent="0.3">
      <c r="C4472" s="3"/>
      <c r="D4472" s="3"/>
      <c r="E4472" s="3"/>
      <c r="F4472" s="3"/>
    </row>
    <row r="4473" spans="3:6" x14ac:dyDescent="0.3">
      <c r="C4473" s="3"/>
      <c r="D4473" s="3"/>
      <c r="E4473" s="3"/>
      <c r="F4473" s="3"/>
    </row>
    <row r="4474" spans="3:6" x14ac:dyDescent="0.3">
      <c r="C4474" s="3"/>
      <c r="D4474" s="3"/>
      <c r="E4474" s="3"/>
      <c r="F4474" s="3"/>
    </row>
    <row r="4475" spans="3:6" x14ac:dyDescent="0.3">
      <c r="C4475" s="3"/>
      <c r="D4475" s="3"/>
      <c r="E4475" s="3"/>
      <c r="F4475" s="3"/>
    </row>
    <row r="4476" spans="3:6" x14ac:dyDescent="0.3">
      <c r="C4476" s="3"/>
      <c r="D4476" s="3"/>
      <c r="E4476" s="3"/>
      <c r="F4476" s="3"/>
    </row>
    <row r="4477" spans="3:6" x14ac:dyDescent="0.3">
      <c r="C4477" s="3"/>
      <c r="D4477" s="3"/>
      <c r="E4477" s="3"/>
      <c r="F4477" s="3"/>
    </row>
    <row r="4478" spans="3:6" x14ac:dyDescent="0.3">
      <c r="C4478" s="3"/>
      <c r="D4478" s="3"/>
      <c r="E4478" s="3"/>
      <c r="F4478" s="3"/>
    </row>
    <row r="4479" spans="3:6" x14ac:dyDescent="0.3">
      <c r="C4479" s="3"/>
      <c r="D4479" s="3"/>
      <c r="E4479" s="3"/>
      <c r="F4479" s="3"/>
    </row>
    <row r="4480" spans="3:6" x14ac:dyDescent="0.3">
      <c r="C4480" s="3"/>
      <c r="D4480" s="3"/>
      <c r="E4480" s="3"/>
      <c r="F4480" s="3"/>
    </row>
    <row r="4481" spans="3:6" x14ac:dyDescent="0.3">
      <c r="C4481" s="3"/>
      <c r="D4481" s="3"/>
      <c r="E4481" s="3"/>
      <c r="F4481" s="3"/>
    </row>
    <row r="4482" spans="3:6" x14ac:dyDescent="0.3">
      <c r="C4482" s="3"/>
      <c r="D4482" s="3"/>
      <c r="E4482" s="3"/>
      <c r="F4482" s="3"/>
    </row>
    <row r="4483" spans="3:6" x14ac:dyDescent="0.3">
      <c r="C4483" s="3"/>
      <c r="D4483" s="3"/>
      <c r="E4483" s="3"/>
      <c r="F4483" s="3"/>
    </row>
    <row r="4484" spans="3:6" x14ac:dyDescent="0.3">
      <c r="C4484" s="3"/>
      <c r="D4484" s="3"/>
      <c r="E4484" s="3"/>
      <c r="F4484" s="3"/>
    </row>
    <row r="4485" spans="3:6" x14ac:dyDescent="0.3">
      <c r="C4485" s="3"/>
      <c r="D4485" s="3"/>
      <c r="E4485" s="3"/>
      <c r="F4485" s="3"/>
    </row>
    <row r="4486" spans="3:6" x14ac:dyDescent="0.3">
      <c r="C4486" s="3"/>
      <c r="D4486" s="3"/>
      <c r="E4486" s="3"/>
      <c r="F4486" s="3"/>
    </row>
    <row r="4487" spans="3:6" x14ac:dyDescent="0.3">
      <c r="C4487" s="3"/>
      <c r="D4487" s="3"/>
      <c r="E4487" s="3"/>
      <c r="F4487" s="3"/>
    </row>
    <row r="4488" spans="3:6" x14ac:dyDescent="0.3">
      <c r="C4488" s="3"/>
      <c r="D4488" s="3"/>
      <c r="E4488" s="3"/>
      <c r="F4488" s="3"/>
    </row>
    <row r="4489" spans="3:6" x14ac:dyDescent="0.3">
      <c r="C4489" s="3"/>
      <c r="D4489" s="3"/>
      <c r="E4489" s="3"/>
      <c r="F4489" s="3"/>
    </row>
    <row r="4490" spans="3:6" x14ac:dyDescent="0.3">
      <c r="C4490" s="3"/>
      <c r="D4490" s="3"/>
      <c r="E4490" s="3"/>
      <c r="F4490" s="3"/>
    </row>
    <row r="4491" spans="3:6" x14ac:dyDescent="0.3">
      <c r="C4491" s="3"/>
      <c r="D4491" s="3"/>
      <c r="E4491" s="3"/>
      <c r="F4491" s="3"/>
    </row>
    <row r="4492" spans="3:6" x14ac:dyDescent="0.3">
      <c r="C4492" s="3"/>
      <c r="D4492" s="3"/>
      <c r="E4492" s="3"/>
      <c r="F4492" s="3"/>
    </row>
    <row r="4493" spans="3:6" x14ac:dyDescent="0.3">
      <c r="C4493" s="3"/>
      <c r="D4493" s="3"/>
      <c r="E4493" s="3"/>
      <c r="F4493" s="3"/>
    </row>
    <row r="4494" spans="3:6" x14ac:dyDescent="0.3">
      <c r="C4494" s="3"/>
      <c r="D4494" s="3"/>
      <c r="E4494" s="3"/>
      <c r="F4494" s="3"/>
    </row>
    <row r="4495" spans="3:6" x14ac:dyDescent="0.3">
      <c r="C4495" s="3"/>
      <c r="D4495" s="3"/>
      <c r="E4495" s="3"/>
      <c r="F4495" s="3"/>
    </row>
    <row r="4496" spans="3:6" x14ac:dyDescent="0.3">
      <c r="C4496" s="3"/>
      <c r="D4496" s="3"/>
      <c r="E4496" s="3"/>
      <c r="F4496" s="3"/>
    </row>
    <row r="4497" spans="3:6" x14ac:dyDescent="0.3">
      <c r="C4497" s="3"/>
      <c r="D4497" s="3"/>
      <c r="E4497" s="3"/>
      <c r="F4497" s="3"/>
    </row>
    <row r="4498" spans="3:6" x14ac:dyDescent="0.3">
      <c r="C4498" s="3"/>
      <c r="D4498" s="3"/>
      <c r="E4498" s="3"/>
      <c r="F4498" s="3"/>
    </row>
    <row r="4499" spans="3:6" x14ac:dyDescent="0.3">
      <c r="C4499" s="3"/>
      <c r="D4499" s="3"/>
      <c r="E4499" s="3"/>
      <c r="F4499" s="3"/>
    </row>
    <row r="4500" spans="3:6" x14ac:dyDescent="0.3">
      <c r="C4500" s="3"/>
      <c r="D4500" s="3"/>
      <c r="E4500" s="3"/>
      <c r="F4500" s="3"/>
    </row>
    <row r="4501" spans="3:6" x14ac:dyDescent="0.3">
      <c r="C4501" s="3"/>
      <c r="D4501" s="3"/>
      <c r="E4501" s="3"/>
      <c r="F4501" s="3"/>
    </row>
    <row r="4502" spans="3:6" x14ac:dyDescent="0.3">
      <c r="C4502" s="3"/>
      <c r="D4502" s="3"/>
      <c r="E4502" s="3"/>
      <c r="F4502" s="3"/>
    </row>
    <row r="4503" spans="3:6" x14ac:dyDescent="0.3">
      <c r="C4503" s="3"/>
      <c r="D4503" s="3"/>
      <c r="E4503" s="3"/>
      <c r="F4503" s="3"/>
    </row>
    <row r="4504" spans="3:6" x14ac:dyDescent="0.3">
      <c r="C4504" s="3"/>
      <c r="D4504" s="3"/>
      <c r="E4504" s="3"/>
      <c r="F4504" s="3"/>
    </row>
    <row r="4505" spans="3:6" x14ac:dyDescent="0.3">
      <c r="C4505" s="3"/>
      <c r="D4505" s="3"/>
      <c r="E4505" s="3"/>
      <c r="F4505" s="3"/>
    </row>
    <row r="4506" spans="3:6" x14ac:dyDescent="0.3">
      <c r="C4506" s="3"/>
      <c r="D4506" s="3"/>
      <c r="E4506" s="3"/>
      <c r="F4506" s="3"/>
    </row>
    <row r="4507" spans="3:6" x14ac:dyDescent="0.3">
      <c r="C4507" s="3"/>
      <c r="D4507" s="3"/>
      <c r="E4507" s="3"/>
      <c r="F4507" s="3"/>
    </row>
    <row r="4508" spans="3:6" x14ac:dyDescent="0.3">
      <c r="C4508" s="3"/>
      <c r="D4508" s="3"/>
      <c r="E4508" s="3"/>
      <c r="F4508" s="3"/>
    </row>
    <row r="4509" spans="3:6" x14ac:dyDescent="0.3">
      <c r="C4509" s="3"/>
      <c r="D4509" s="3"/>
      <c r="E4509" s="3"/>
      <c r="F4509" s="3"/>
    </row>
    <row r="4510" spans="3:6" x14ac:dyDescent="0.3">
      <c r="C4510" s="3"/>
      <c r="D4510" s="3"/>
      <c r="E4510" s="3"/>
      <c r="F4510" s="3"/>
    </row>
    <row r="4511" spans="3:6" x14ac:dyDescent="0.3">
      <c r="C4511" s="3"/>
      <c r="D4511" s="3"/>
      <c r="E4511" s="3"/>
      <c r="F4511" s="3"/>
    </row>
    <row r="4512" spans="3:6" x14ac:dyDescent="0.3">
      <c r="C4512" s="3"/>
      <c r="D4512" s="3"/>
      <c r="E4512" s="3"/>
      <c r="F4512" s="3"/>
    </row>
    <row r="4513" spans="3:6" x14ac:dyDescent="0.3">
      <c r="C4513" s="3"/>
      <c r="D4513" s="3"/>
      <c r="E4513" s="3"/>
      <c r="F4513" s="3"/>
    </row>
    <row r="4514" spans="3:6" x14ac:dyDescent="0.3">
      <c r="C4514" s="3"/>
      <c r="D4514" s="3"/>
      <c r="E4514" s="3"/>
      <c r="F4514" s="3"/>
    </row>
    <row r="4515" spans="3:6" x14ac:dyDescent="0.3">
      <c r="C4515" s="3"/>
      <c r="D4515" s="3"/>
      <c r="E4515" s="3"/>
      <c r="F4515" s="3"/>
    </row>
    <row r="4516" spans="3:6" x14ac:dyDescent="0.3">
      <c r="C4516" s="3"/>
      <c r="D4516" s="3"/>
      <c r="E4516" s="3"/>
      <c r="F4516" s="3"/>
    </row>
    <row r="4517" spans="3:6" x14ac:dyDescent="0.3">
      <c r="C4517" s="3"/>
      <c r="D4517" s="3"/>
      <c r="E4517" s="3"/>
      <c r="F4517" s="3"/>
    </row>
    <row r="4518" spans="3:6" x14ac:dyDescent="0.3">
      <c r="C4518" s="3"/>
      <c r="D4518" s="3"/>
      <c r="E4518" s="3"/>
      <c r="F4518" s="3"/>
    </row>
    <row r="4519" spans="3:6" x14ac:dyDescent="0.3">
      <c r="C4519" s="3"/>
      <c r="D4519" s="3"/>
      <c r="E4519" s="3"/>
      <c r="F4519" s="3"/>
    </row>
    <row r="4520" spans="3:6" x14ac:dyDescent="0.3">
      <c r="C4520" s="3"/>
      <c r="D4520" s="3"/>
      <c r="E4520" s="3"/>
      <c r="F4520" s="3"/>
    </row>
    <row r="4521" spans="3:6" x14ac:dyDescent="0.3">
      <c r="C4521" s="3"/>
      <c r="D4521" s="3"/>
      <c r="E4521" s="3"/>
      <c r="F4521" s="3"/>
    </row>
    <row r="4522" spans="3:6" x14ac:dyDescent="0.3">
      <c r="C4522" s="3"/>
      <c r="D4522" s="3"/>
      <c r="E4522" s="3"/>
      <c r="F4522" s="3"/>
    </row>
    <row r="4523" spans="3:6" x14ac:dyDescent="0.3">
      <c r="C4523" s="3"/>
      <c r="D4523" s="3"/>
      <c r="E4523" s="3"/>
      <c r="F4523" s="3"/>
    </row>
    <row r="4524" spans="3:6" x14ac:dyDescent="0.3">
      <c r="C4524" s="3"/>
      <c r="D4524" s="3"/>
      <c r="E4524" s="3"/>
      <c r="F4524" s="3"/>
    </row>
    <row r="4525" spans="3:6" x14ac:dyDescent="0.3">
      <c r="C4525" s="3"/>
      <c r="D4525" s="3"/>
      <c r="E4525" s="3"/>
      <c r="F4525" s="3"/>
    </row>
    <row r="4526" spans="3:6" x14ac:dyDescent="0.3">
      <c r="C4526" s="3"/>
      <c r="D4526" s="3"/>
      <c r="E4526" s="3"/>
      <c r="F4526" s="3"/>
    </row>
    <row r="4527" spans="3:6" x14ac:dyDescent="0.3">
      <c r="C4527" s="3"/>
      <c r="D4527" s="3"/>
      <c r="E4527" s="3"/>
      <c r="F4527" s="3"/>
    </row>
    <row r="4528" spans="3:6" x14ac:dyDescent="0.3">
      <c r="C4528" s="3"/>
      <c r="D4528" s="3"/>
      <c r="E4528" s="3"/>
      <c r="F4528" s="3"/>
    </row>
    <row r="4529" spans="3:6" x14ac:dyDescent="0.3">
      <c r="C4529" s="3"/>
      <c r="D4529" s="3"/>
      <c r="E4529" s="3"/>
      <c r="F4529" s="3"/>
    </row>
    <row r="4530" spans="3:6" x14ac:dyDescent="0.3">
      <c r="C4530" s="3"/>
      <c r="D4530" s="3"/>
      <c r="E4530" s="3"/>
      <c r="F4530" s="3"/>
    </row>
    <row r="4531" spans="3:6" x14ac:dyDescent="0.3">
      <c r="C4531" s="3"/>
      <c r="D4531" s="3"/>
      <c r="E4531" s="3"/>
      <c r="F4531" s="3"/>
    </row>
    <row r="4532" spans="3:6" x14ac:dyDescent="0.3">
      <c r="C4532" s="3"/>
      <c r="D4532" s="3"/>
      <c r="E4532" s="3"/>
      <c r="F4532" s="3"/>
    </row>
    <row r="4533" spans="3:6" x14ac:dyDescent="0.3">
      <c r="C4533" s="3"/>
      <c r="D4533" s="3"/>
      <c r="E4533" s="3"/>
      <c r="F4533" s="3"/>
    </row>
    <row r="4534" spans="3:6" x14ac:dyDescent="0.3">
      <c r="C4534" s="3"/>
      <c r="D4534" s="3"/>
      <c r="E4534" s="3"/>
      <c r="F4534" s="3"/>
    </row>
    <row r="4535" spans="3:6" x14ac:dyDescent="0.3">
      <c r="C4535" s="3"/>
      <c r="D4535" s="3"/>
      <c r="E4535" s="3"/>
      <c r="F4535" s="3"/>
    </row>
    <row r="4536" spans="3:6" x14ac:dyDescent="0.3">
      <c r="C4536" s="3"/>
      <c r="D4536" s="3"/>
      <c r="E4536" s="3"/>
      <c r="F4536" s="3"/>
    </row>
    <row r="4537" spans="3:6" x14ac:dyDescent="0.3">
      <c r="C4537" s="3"/>
      <c r="D4537" s="3"/>
      <c r="E4537" s="3"/>
      <c r="F4537" s="3"/>
    </row>
    <row r="4538" spans="3:6" x14ac:dyDescent="0.3">
      <c r="C4538" s="3"/>
      <c r="D4538" s="3"/>
      <c r="E4538" s="3"/>
      <c r="F4538" s="3"/>
    </row>
    <row r="4539" spans="3:6" x14ac:dyDescent="0.3">
      <c r="C4539" s="3"/>
      <c r="D4539" s="3"/>
      <c r="E4539" s="3"/>
      <c r="F4539" s="3"/>
    </row>
    <row r="4540" spans="3:6" x14ac:dyDescent="0.3">
      <c r="C4540" s="3"/>
      <c r="D4540" s="3"/>
      <c r="E4540" s="3"/>
      <c r="F4540" s="3"/>
    </row>
    <row r="4541" spans="3:6" x14ac:dyDescent="0.3">
      <c r="C4541" s="3"/>
      <c r="D4541" s="3"/>
      <c r="E4541" s="3"/>
      <c r="F4541" s="3"/>
    </row>
    <row r="4542" spans="3:6" x14ac:dyDescent="0.3">
      <c r="C4542" s="3"/>
      <c r="D4542" s="3"/>
      <c r="E4542" s="3"/>
      <c r="F4542" s="3"/>
    </row>
    <row r="4543" spans="3:6" x14ac:dyDescent="0.3">
      <c r="C4543" s="3"/>
      <c r="D4543" s="3"/>
      <c r="E4543" s="3"/>
      <c r="F4543" s="3"/>
    </row>
    <row r="4544" spans="3:6" x14ac:dyDescent="0.3">
      <c r="C4544" s="3"/>
      <c r="D4544" s="3"/>
      <c r="E4544" s="3"/>
      <c r="F4544" s="3"/>
    </row>
    <row r="4545" spans="3:6" x14ac:dyDescent="0.3">
      <c r="C4545" s="3"/>
      <c r="D4545" s="3"/>
      <c r="E4545" s="3"/>
      <c r="F4545" s="3"/>
    </row>
    <row r="4546" spans="3:6" x14ac:dyDescent="0.3">
      <c r="C4546" s="3"/>
      <c r="D4546" s="3"/>
      <c r="E4546" s="3"/>
      <c r="F4546" s="3"/>
    </row>
    <row r="4547" spans="3:6" x14ac:dyDescent="0.3">
      <c r="C4547" s="3"/>
      <c r="D4547" s="3"/>
      <c r="E4547" s="3"/>
      <c r="F4547" s="3"/>
    </row>
    <row r="4548" spans="3:6" x14ac:dyDescent="0.3">
      <c r="C4548" s="3"/>
      <c r="D4548" s="3"/>
      <c r="E4548" s="3"/>
      <c r="F4548" s="3"/>
    </row>
    <row r="4549" spans="3:6" x14ac:dyDescent="0.3">
      <c r="C4549" s="3"/>
      <c r="D4549" s="3"/>
      <c r="E4549" s="3"/>
      <c r="F4549" s="3"/>
    </row>
    <row r="4550" spans="3:6" x14ac:dyDescent="0.3">
      <c r="C4550" s="3"/>
      <c r="D4550" s="3"/>
      <c r="E4550" s="3"/>
      <c r="F4550" s="3"/>
    </row>
    <row r="4551" spans="3:6" x14ac:dyDescent="0.3">
      <c r="C4551" s="3"/>
      <c r="D4551" s="3"/>
      <c r="E4551" s="3"/>
      <c r="F4551" s="3"/>
    </row>
    <row r="4552" spans="3:6" x14ac:dyDescent="0.3">
      <c r="C4552" s="3"/>
      <c r="D4552" s="3"/>
      <c r="E4552" s="3"/>
      <c r="F4552" s="3"/>
    </row>
    <row r="4553" spans="3:6" x14ac:dyDescent="0.3">
      <c r="C4553" s="3"/>
      <c r="D4553" s="3"/>
      <c r="E4553" s="3"/>
      <c r="F4553" s="3"/>
    </row>
    <row r="4554" spans="3:6" x14ac:dyDescent="0.3">
      <c r="C4554" s="3"/>
      <c r="D4554" s="3"/>
      <c r="E4554" s="3"/>
      <c r="F4554" s="3"/>
    </row>
    <row r="4555" spans="3:6" x14ac:dyDescent="0.3">
      <c r="C4555" s="3"/>
      <c r="D4555" s="3"/>
      <c r="E4555" s="3"/>
      <c r="F4555" s="3"/>
    </row>
    <row r="4556" spans="3:6" x14ac:dyDescent="0.3">
      <c r="C4556" s="3"/>
      <c r="D4556" s="3"/>
      <c r="E4556" s="3"/>
      <c r="F4556" s="3"/>
    </row>
    <row r="4557" spans="3:6" x14ac:dyDescent="0.3">
      <c r="C4557" s="3"/>
      <c r="D4557" s="3"/>
      <c r="E4557" s="3"/>
      <c r="F4557" s="3"/>
    </row>
    <row r="4558" spans="3:6" x14ac:dyDescent="0.3">
      <c r="C4558" s="3"/>
      <c r="D4558" s="3"/>
      <c r="E4558" s="3"/>
      <c r="F4558" s="3"/>
    </row>
    <row r="4559" spans="3:6" x14ac:dyDescent="0.3">
      <c r="C4559" s="3"/>
      <c r="D4559" s="3"/>
      <c r="E4559" s="3"/>
      <c r="F4559" s="3"/>
    </row>
    <row r="4560" spans="3:6" x14ac:dyDescent="0.3">
      <c r="C4560" s="3"/>
      <c r="D4560" s="3"/>
      <c r="E4560" s="3"/>
      <c r="F4560" s="3"/>
    </row>
    <row r="4561" spans="3:6" x14ac:dyDescent="0.3">
      <c r="C4561" s="3"/>
      <c r="D4561" s="3"/>
      <c r="E4561" s="3"/>
      <c r="F4561" s="3"/>
    </row>
    <row r="4562" spans="3:6" x14ac:dyDescent="0.3">
      <c r="C4562" s="3"/>
      <c r="D4562" s="3"/>
      <c r="E4562" s="3"/>
      <c r="F4562" s="3"/>
    </row>
    <row r="4563" spans="3:6" x14ac:dyDescent="0.3">
      <c r="C4563" s="3"/>
      <c r="D4563" s="3"/>
      <c r="E4563" s="3"/>
      <c r="F4563" s="3"/>
    </row>
    <row r="4564" spans="3:6" x14ac:dyDescent="0.3">
      <c r="C4564" s="3"/>
      <c r="D4564" s="3"/>
      <c r="E4564" s="3"/>
      <c r="F4564" s="3"/>
    </row>
    <row r="4565" spans="3:6" x14ac:dyDescent="0.3">
      <c r="C4565" s="3"/>
      <c r="D4565" s="3"/>
      <c r="E4565" s="3"/>
      <c r="F4565" s="3"/>
    </row>
    <row r="4566" spans="3:6" x14ac:dyDescent="0.3">
      <c r="C4566" s="3"/>
      <c r="D4566" s="3"/>
      <c r="E4566" s="3"/>
      <c r="F4566" s="3"/>
    </row>
    <row r="4567" spans="3:6" x14ac:dyDescent="0.3">
      <c r="C4567" s="3"/>
      <c r="D4567" s="3"/>
      <c r="E4567" s="3"/>
      <c r="F4567" s="3"/>
    </row>
    <row r="4568" spans="3:6" x14ac:dyDescent="0.3">
      <c r="C4568" s="3"/>
      <c r="D4568" s="3"/>
      <c r="E4568" s="3"/>
      <c r="F4568" s="3"/>
    </row>
    <row r="4569" spans="3:6" x14ac:dyDescent="0.3">
      <c r="C4569" s="3"/>
      <c r="D4569" s="3"/>
      <c r="E4569" s="3"/>
      <c r="F4569" s="3"/>
    </row>
    <row r="4570" spans="3:6" x14ac:dyDescent="0.3">
      <c r="C4570" s="3"/>
      <c r="D4570" s="3"/>
      <c r="E4570" s="3"/>
      <c r="F4570" s="3"/>
    </row>
    <row r="4571" spans="3:6" x14ac:dyDescent="0.3">
      <c r="C4571" s="3"/>
      <c r="D4571" s="3"/>
      <c r="E4571" s="3"/>
      <c r="F4571" s="3"/>
    </row>
    <row r="4572" spans="3:6" x14ac:dyDescent="0.3">
      <c r="C4572" s="3"/>
      <c r="D4572" s="3"/>
      <c r="E4572" s="3"/>
      <c r="F4572" s="3"/>
    </row>
    <row r="4573" spans="3:6" x14ac:dyDescent="0.3">
      <c r="C4573" s="3"/>
      <c r="D4573" s="3"/>
      <c r="E4573" s="3"/>
      <c r="F4573" s="3"/>
    </row>
    <row r="4574" spans="3:6" x14ac:dyDescent="0.3">
      <c r="C4574" s="3"/>
      <c r="D4574" s="3"/>
      <c r="E4574" s="3"/>
      <c r="F4574" s="3"/>
    </row>
    <row r="4575" spans="3:6" x14ac:dyDescent="0.3">
      <c r="C4575" s="3"/>
      <c r="D4575" s="3"/>
      <c r="E4575" s="3"/>
      <c r="F4575" s="3"/>
    </row>
    <row r="4576" spans="3:6" x14ac:dyDescent="0.3">
      <c r="C4576" s="3"/>
      <c r="D4576" s="3"/>
      <c r="E4576" s="3"/>
      <c r="F4576" s="3"/>
    </row>
    <row r="4577" spans="3:6" x14ac:dyDescent="0.3">
      <c r="C4577" s="3"/>
      <c r="D4577" s="3"/>
      <c r="E4577" s="3"/>
      <c r="F4577" s="3"/>
    </row>
    <row r="4578" spans="3:6" x14ac:dyDescent="0.3">
      <c r="C4578" s="3"/>
      <c r="D4578" s="3"/>
      <c r="E4578" s="3"/>
      <c r="F4578" s="3"/>
    </row>
    <row r="4579" spans="3:6" x14ac:dyDescent="0.3">
      <c r="C4579" s="3"/>
      <c r="D4579" s="3"/>
      <c r="E4579" s="3"/>
      <c r="F4579" s="3"/>
    </row>
    <row r="4580" spans="3:6" x14ac:dyDescent="0.3">
      <c r="C4580" s="3"/>
      <c r="D4580" s="3"/>
      <c r="E4580" s="3"/>
      <c r="F4580" s="3"/>
    </row>
    <row r="4581" spans="3:6" x14ac:dyDescent="0.3">
      <c r="C4581" s="3"/>
      <c r="D4581" s="3"/>
      <c r="E4581" s="3"/>
      <c r="F4581" s="3"/>
    </row>
    <row r="4582" spans="3:6" x14ac:dyDescent="0.3">
      <c r="C4582" s="3"/>
      <c r="D4582" s="3"/>
      <c r="E4582" s="3"/>
      <c r="F4582" s="3"/>
    </row>
    <row r="4583" spans="3:6" x14ac:dyDescent="0.3">
      <c r="C4583" s="3"/>
      <c r="D4583" s="3"/>
      <c r="E4583" s="3"/>
      <c r="F4583" s="3"/>
    </row>
    <row r="4584" spans="3:6" x14ac:dyDescent="0.3">
      <c r="C4584" s="3"/>
      <c r="D4584" s="3"/>
      <c r="E4584" s="3"/>
      <c r="F4584" s="3"/>
    </row>
    <row r="4585" spans="3:6" x14ac:dyDescent="0.3">
      <c r="C4585" s="3"/>
      <c r="D4585" s="3"/>
      <c r="E4585" s="3"/>
      <c r="F4585" s="3"/>
    </row>
    <row r="4586" spans="3:6" x14ac:dyDescent="0.3">
      <c r="C4586" s="3"/>
      <c r="D4586" s="3"/>
      <c r="E4586" s="3"/>
      <c r="F4586" s="3"/>
    </row>
    <row r="4587" spans="3:6" x14ac:dyDescent="0.3">
      <c r="C4587" s="3"/>
      <c r="D4587" s="3"/>
      <c r="E4587" s="3"/>
      <c r="F4587" s="3"/>
    </row>
    <row r="4588" spans="3:6" x14ac:dyDescent="0.3">
      <c r="C4588" s="3"/>
      <c r="D4588" s="3"/>
      <c r="E4588" s="3"/>
      <c r="F4588" s="3"/>
    </row>
    <row r="4589" spans="3:6" x14ac:dyDescent="0.3">
      <c r="C4589" s="3"/>
      <c r="D4589" s="3"/>
      <c r="E4589" s="3"/>
      <c r="F4589" s="3"/>
    </row>
    <row r="4590" spans="3:6" x14ac:dyDescent="0.3">
      <c r="C4590" s="3"/>
      <c r="D4590" s="3"/>
      <c r="E4590" s="3"/>
      <c r="F4590" s="3"/>
    </row>
    <row r="4591" spans="3:6" x14ac:dyDescent="0.3">
      <c r="C4591" s="3"/>
      <c r="D4591" s="3"/>
      <c r="E4591" s="3"/>
      <c r="F4591" s="3"/>
    </row>
    <row r="4592" spans="3:6" x14ac:dyDescent="0.3">
      <c r="C4592" s="3"/>
      <c r="D4592" s="3"/>
      <c r="E4592" s="3"/>
      <c r="F4592" s="3"/>
    </row>
    <row r="4593" spans="3:6" x14ac:dyDescent="0.3">
      <c r="C4593" s="3"/>
      <c r="D4593" s="3"/>
      <c r="E4593" s="3"/>
      <c r="F4593" s="3"/>
    </row>
    <row r="4594" spans="3:6" x14ac:dyDescent="0.3">
      <c r="C4594" s="3"/>
      <c r="D4594" s="3"/>
      <c r="E4594" s="3"/>
      <c r="F4594" s="3"/>
    </row>
    <row r="4595" spans="3:6" x14ac:dyDescent="0.3">
      <c r="C4595" s="3"/>
      <c r="D4595" s="3"/>
      <c r="E4595" s="3"/>
      <c r="F4595" s="3"/>
    </row>
    <row r="4596" spans="3:6" x14ac:dyDescent="0.3">
      <c r="C4596" s="3"/>
      <c r="D4596" s="3"/>
      <c r="E4596" s="3"/>
      <c r="F4596" s="3"/>
    </row>
    <row r="4597" spans="3:6" x14ac:dyDescent="0.3">
      <c r="C4597" s="3"/>
      <c r="D4597" s="3"/>
      <c r="E4597" s="3"/>
      <c r="F4597" s="3"/>
    </row>
    <row r="4598" spans="3:6" x14ac:dyDescent="0.3">
      <c r="C4598" s="3"/>
      <c r="D4598" s="3"/>
      <c r="E4598" s="3"/>
      <c r="F4598" s="3"/>
    </row>
    <row r="4599" spans="3:6" x14ac:dyDescent="0.3">
      <c r="C4599" s="3"/>
      <c r="D4599" s="3"/>
      <c r="E4599" s="3"/>
      <c r="F4599" s="3"/>
    </row>
    <row r="4600" spans="3:6" x14ac:dyDescent="0.3">
      <c r="C4600" s="3"/>
      <c r="D4600" s="3"/>
      <c r="E4600" s="3"/>
      <c r="F4600" s="3"/>
    </row>
    <row r="4601" spans="3:6" x14ac:dyDescent="0.3">
      <c r="C4601" s="3"/>
      <c r="D4601" s="3"/>
      <c r="E4601" s="3"/>
      <c r="F4601" s="3"/>
    </row>
    <row r="4602" spans="3:6" x14ac:dyDescent="0.3">
      <c r="C4602" s="3"/>
      <c r="D4602" s="3"/>
      <c r="E4602" s="3"/>
      <c r="F4602" s="3"/>
    </row>
    <row r="4603" spans="3:6" x14ac:dyDescent="0.3">
      <c r="C4603" s="3"/>
      <c r="D4603" s="3"/>
      <c r="E4603" s="3"/>
      <c r="F4603" s="3"/>
    </row>
    <row r="4604" spans="3:6" x14ac:dyDescent="0.3">
      <c r="C4604" s="3"/>
      <c r="D4604" s="3"/>
      <c r="E4604" s="3"/>
      <c r="F4604" s="3"/>
    </row>
    <row r="4605" spans="3:6" x14ac:dyDescent="0.3">
      <c r="C4605" s="3"/>
      <c r="D4605" s="3"/>
      <c r="E4605" s="3"/>
      <c r="F4605" s="3"/>
    </row>
    <row r="4606" spans="3:6" x14ac:dyDescent="0.3">
      <c r="C4606" s="3"/>
      <c r="D4606" s="3"/>
      <c r="E4606" s="3"/>
      <c r="F4606" s="3"/>
    </row>
    <row r="4607" spans="3:6" x14ac:dyDescent="0.3">
      <c r="C4607" s="3"/>
      <c r="D4607" s="3"/>
      <c r="E4607" s="3"/>
      <c r="F4607" s="3"/>
    </row>
    <row r="4608" spans="3:6" x14ac:dyDescent="0.3">
      <c r="C4608" s="3"/>
      <c r="D4608" s="3"/>
      <c r="E4608" s="3"/>
      <c r="F4608" s="3"/>
    </row>
    <row r="4609" spans="3:6" x14ac:dyDescent="0.3">
      <c r="C4609" s="3"/>
      <c r="D4609" s="3"/>
      <c r="E4609" s="3"/>
      <c r="F4609" s="3"/>
    </row>
    <row r="4610" spans="3:6" x14ac:dyDescent="0.3">
      <c r="C4610" s="3"/>
      <c r="D4610" s="3"/>
      <c r="E4610" s="3"/>
      <c r="F4610" s="3"/>
    </row>
    <row r="4611" spans="3:6" x14ac:dyDescent="0.3">
      <c r="C4611" s="3"/>
      <c r="D4611" s="3"/>
      <c r="E4611" s="3"/>
      <c r="F4611" s="3"/>
    </row>
    <row r="4612" spans="3:6" x14ac:dyDescent="0.3">
      <c r="C4612" s="3"/>
      <c r="D4612" s="3"/>
      <c r="E4612" s="3"/>
      <c r="F4612" s="3"/>
    </row>
    <row r="4613" spans="3:6" x14ac:dyDescent="0.3">
      <c r="C4613" s="3"/>
      <c r="D4613" s="3"/>
      <c r="E4613" s="3"/>
      <c r="F4613" s="3"/>
    </row>
    <row r="4614" spans="3:6" x14ac:dyDescent="0.3">
      <c r="C4614" s="3"/>
      <c r="D4614" s="3"/>
      <c r="E4614" s="3"/>
      <c r="F4614" s="3"/>
    </row>
    <row r="4615" spans="3:6" x14ac:dyDescent="0.3">
      <c r="C4615" s="3"/>
      <c r="D4615" s="3"/>
      <c r="E4615" s="3"/>
      <c r="F4615" s="3"/>
    </row>
    <row r="4616" spans="3:6" x14ac:dyDescent="0.3">
      <c r="C4616" s="3"/>
      <c r="D4616" s="3"/>
      <c r="E4616" s="3"/>
      <c r="F4616" s="3"/>
    </row>
    <row r="4617" spans="3:6" x14ac:dyDescent="0.3">
      <c r="C4617" s="3"/>
      <c r="D4617" s="3"/>
      <c r="E4617" s="3"/>
      <c r="F4617" s="3"/>
    </row>
    <row r="4618" spans="3:6" x14ac:dyDescent="0.3">
      <c r="C4618" s="3"/>
      <c r="D4618" s="3"/>
      <c r="E4618" s="3"/>
      <c r="F4618" s="3"/>
    </row>
    <row r="4619" spans="3:6" x14ac:dyDescent="0.3">
      <c r="C4619" s="3"/>
      <c r="D4619" s="3"/>
      <c r="E4619" s="3"/>
      <c r="F4619" s="3"/>
    </row>
    <row r="4620" spans="3:6" x14ac:dyDescent="0.3">
      <c r="C4620" s="3"/>
      <c r="D4620" s="3"/>
      <c r="E4620" s="3"/>
      <c r="F4620" s="3"/>
    </row>
    <row r="4621" spans="3:6" x14ac:dyDescent="0.3">
      <c r="C4621" s="3"/>
      <c r="D4621" s="3"/>
      <c r="E4621" s="3"/>
      <c r="F4621" s="3"/>
    </row>
    <row r="4622" spans="3:6" x14ac:dyDescent="0.3">
      <c r="C4622" s="3"/>
      <c r="D4622" s="3"/>
      <c r="E4622" s="3"/>
      <c r="F4622" s="3"/>
    </row>
    <row r="4623" spans="3:6" x14ac:dyDescent="0.3">
      <c r="C4623" s="3"/>
      <c r="D4623" s="3"/>
      <c r="E4623" s="3"/>
      <c r="F4623" s="3"/>
    </row>
    <row r="4624" spans="3:6" x14ac:dyDescent="0.3">
      <c r="C4624" s="3"/>
      <c r="D4624" s="3"/>
      <c r="E4624" s="3"/>
      <c r="F4624" s="3"/>
    </row>
    <row r="4625" spans="3:6" x14ac:dyDescent="0.3">
      <c r="C4625" s="3"/>
      <c r="D4625" s="3"/>
      <c r="E4625" s="3"/>
      <c r="F4625" s="3"/>
    </row>
    <row r="4626" spans="3:6" x14ac:dyDescent="0.3">
      <c r="C4626" s="3"/>
      <c r="D4626" s="3"/>
      <c r="E4626" s="3"/>
      <c r="F4626" s="3"/>
    </row>
    <row r="4627" spans="3:6" x14ac:dyDescent="0.3">
      <c r="C4627" s="3"/>
      <c r="D4627" s="3"/>
      <c r="E4627" s="3"/>
      <c r="F4627" s="3"/>
    </row>
    <row r="4628" spans="3:6" x14ac:dyDescent="0.3">
      <c r="C4628" s="3"/>
      <c r="D4628" s="3"/>
      <c r="E4628" s="3"/>
      <c r="F4628" s="3"/>
    </row>
    <row r="4629" spans="3:6" x14ac:dyDescent="0.3">
      <c r="C4629" s="3"/>
      <c r="D4629" s="3"/>
      <c r="E4629" s="3"/>
      <c r="F4629" s="3"/>
    </row>
    <row r="4630" spans="3:6" x14ac:dyDescent="0.3">
      <c r="C4630" s="3"/>
      <c r="D4630" s="3"/>
      <c r="E4630" s="3"/>
      <c r="F4630" s="3"/>
    </row>
    <row r="4631" spans="3:6" x14ac:dyDescent="0.3">
      <c r="C4631" s="3"/>
      <c r="D4631" s="3"/>
      <c r="E4631" s="3"/>
      <c r="F4631" s="3"/>
    </row>
    <row r="4632" spans="3:6" x14ac:dyDescent="0.3">
      <c r="C4632" s="3"/>
      <c r="D4632" s="3"/>
      <c r="E4632" s="3"/>
      <c r="F4632" s="3"/>
    </row>
    <row r="4633" spans="3:6" x14ac:dyDescent="0.3">
      <c r="C4633" s="3"/>
      <c r="D4633" s="3"/>
      <c r="E4633" s="3"/>
      <c r="F4633" s="3"/>
    </row>
    <row r="4634" spans="3:6" x14ac:dyDescent="0.3">
      <c r="C4634" s="3"/>
      <c r="D4634" s="3"/>
      <c r="E4634" s="3"/>
      <c r="F4634" s="3"/>
    </row>
    <row r="4635" spans="3:6" x14ac:dyDescent="0.3">
      <c r="C4635" s="3"/>
      <c r="D4635" s="3"/>
      <c r="E4635" s="3"/>
      <c r="F4635" s="3"/>
    </row>
    <row r="4636" spans="3:6" x14ac:dyDescent="0.3">
      <c r="C4636" s="3"/>
      <c r="D4636" s="3"/>
      <c r="E4636" s="3"/>
      <c r="F4636" s="3"/>
    </row>
    <row r="4637" spans="3:6" x14ac:dyDescent="0.3">
      <c r="C4637" s="3"/>
      <c r="D4637" s="3"/>
      <c r="E4637" s="3"/>
      <c r="F4637" s="3"/>
    </row>
    <row r="4638" spans="3:6" x14ac:dyDescent="0.3">
      <c r="C4638" s="3"/>
      <c r="D4638" s="3"/>
      <c r="E4638" s="3"/>
      <c r="F4638" s="3"/>
    </row>
    <row r="4639" spans="3:6" x14ac:dyDescent="0.3">
      <c r="C4639" s="3"/>
      <c r="D4639" s="3"/>
      <c r="E4639" s="3"/>
      <c r="F4639" s="3"/>
    </row>
    <row r="4640" spans="3:6" x14ac:dyDescent="0.3">
      <c r="C4640" s="3"/>
      <c r="D4640" s="3"/>
      <c r="E4640" s="3"/>
      <c r="F4640" s="3"/>
    </row>
    <row r="4641" spans="3:6" x14ac:dyDescent="0.3">
      <c r="C4641" s="3"/>
      <c r="D4641" s="3"/>
      <c r="E4641" s="3"/>
      <c r="F4641" s="3"/>
    </row>
    <row r="4642" spans="3:6" x14ac:dyDescent="0.3">
      <c r="C4642" s="3"/>
      <c r="D4642" s="3"/>
      <c r="E4642" s="3"/>
      <c r="F4642" s="3"/>
    </row>
    <row r="4643" spans="3:6" x14ac:dyDescent="0.3">
      <c r="C4643" s="3"/>
      <c r="D4643" s="3"/>
      <c r="E4643" s="3"/>
      <c r="F4643" s="3"/>
    </row>
    <row r="4644" spans="3:6" x14ac:dyDescent="0.3">
      <c r="C4644" s="3"/>
      <c r="D4644" s="3"/>
      <c r="E4644" s="3"/>
      <c r="F4644" s="3"/>
    </row>
    <row r="4645" spans="3:6" x14ac:dyDescent="0.3">
      <c r="C4645" s="3"/>
      <c r="D4645" s="3"/>
      <c r="E4645" s="3"/>
      <c r="F4645" s="3"/>
    </row>
    <row r="4646" spans="3:6" x14ac:dyDescent="0.3">
      <c r="C4646" s="3"/>
      <c r="D4646" s="3"/>
      <c r="E4646" s="3"/>
      <c r="F4646" s="3"/>
    </row>
    <row r="4647" spans="3:6" x14ac:dyDescent="0.3">
      <c r="C4647" s="3"/>
      <c r="D4647" s="3"/>
      <c r="E4647" s="3"/>
      <c r="F4647" s="3"/>
    </row>
    <row r="4648" spans="3:6" x14ac:dyDescent="0.3">
      <c r="C4648" s="3"/>
      <c r="D4648" s="3"/>
      <c r="E4648" s="3"/>
      <c r="F4648" s="3"/>
    </row>
    <row r="4649" spans="3:6" x14ac:dyDescent="0.3">
      <c r="C4649" s="3"/>
      <c r="D4649" s="3"/>
      <c r="E4649" s="3"/>
      <c r="F4649" s="3"/>
    </row>
    <row r="4650" spans="3:6" x14ac:dyDescent="0.3">
      <c r="C4650" s="3"/>
      <c r="D4650" s="3"/>
      <c r="E4650" s="3"/>
      <c r="F4650" s="3"/>
    </row>
    <row r="4651" spans="3:6" x14ac:dyDescent="0.3">
      <c r="C4651" s="3"/>
      <c r="D4651" s="3"/>
      <c r="E4651" s="3"/>
      <c r="F4651" s="3"/>
    </row>
    <row r="4652" spans="3:6" x14ac:dyDescent="0.3">
      <c r="C4652" s="3"/>
      <c r="D4652" s="3"/>
      <c r="E4652" s="3"/>
      <c r="F4652" s="3"/>
    </row>
    <row r="4653" spans="3:6" x14ac:dyDescent="0.3">
      <c r="C4653" s="3"/>
      <c r="D4653" s="3"/>
      <c r="E4653" s="3"/>
      <c r="F4653" s="3"/>
    </row>
    <row r="4654" spans="3:6" x14ac:dyDescent="0.3">
      <c r="C4654" s="3"/>
      <c r="D4654" s="3"/>
      <c r="E4654" s="3"/>
      <c r="F4654" s="3"/>
    </row>
    <row r="4655" spans="3:6" x14ac:dyDescent="0.3">
      <c r="C4655" s="3"/>
      <c r="D4655" s="3"/>
      <c r="E4655" s="3"/>
      <c r="F4655" s="3"/>
    </row>
    <row r="4656" spans="3:6" x14ac:dyDescent="0.3">
      <c r="C4656" s="3"/>
      <c r="D4656" s="3"/>
      <c r="E4656" s="3"/>
      <c r="F4656" s="3"/>
    </row>
    <row r="4657" spans="3:6" x14ac:dyDescent="0.3">
      <c r="C4657" s="3"/>
      <c r="D4657" s="3"/>
      <c r="E4657" s="3"/>
      <c r="F4657" s="3"/>
    </row>
    <row r="4658" spans="3:6" x14ac:dyDescent="0.3">
      <c r="C4658" s="3"/>
      <c r="D4658" s="3"/>
      <c r="E4658" s="3"/>
      <c r="F4658" s="3"/>
    </row>
    <row r="4659" spans="3:6" x14ac:dyDescent="0.3">
      <c r="C4659" s="3"/>
      <c r="D4659" s="3"/>
      <c r="E4659" s="3"/>
      <c r="F4659" s="3"/>
    </row>
    <row r="4660" spans="3:6" x14ac:dyDescent="0.3">
      <c r="C4660" s="3"/>
      <c r="D4660" s="3"/>
      <c r="E4660" s="3"/>
      <c r="F4660" s="3"/>
    </row>
    <row r="4661" spans="3:6" x14ac:dyDescent="0.3">
      <c r="C4661" s="3"/>
      <c r="D4661" s="3"/>
      <c r="E4661" s="3"/>
      <c r="F4661" s="3"/>
    </row>
    <row r="4662" spans="3:6" x14ac:dyDescent="0.3">
      <c r="C4662" s="3"/>
      <c r="D4662" s="3"/>
      <c r="E4662" s="3"/>
      <c r="F4662" s="3"/>
    </row>
    <row r="4663" spans="3:6" x14ac:dyDescent="0.3">
      <c r="C4663" s="3"/>
      <c r="D4663" s="3"/>
      <c r="E4663" s="3"/>
      <c r="F4663" s="3"/>
    </row>
    <row r="4664" spans="3:6" x14ac:dyDescent="0.3">
      <c r="C4664" s="3"/>
      <c r="D4664" s="3"/>
      <c r="E4664" s="3"/>
      <c r="F4664" s="3"/>
    </row>
    <row r="4665" spans="3:6" x14ac:dyDescent="0.3">
      <c r="C4665" s="3"/>
      <c r="D4665" s="3"/>
      <c r="E4665" s="3"/>
      <c r="F4665" s="3"/>
    </row>
    <row r="4666" spans="3:6" x14ac:dyDescent="0.3">
      <c r="C4666" s="3"/>
      <c r="D4666" s="3"/>
      <c r="E4666" s="3"/>
      <c r="F4666" s="3"/>
    </row>
    <row r="4667" spans="3:6" x14ac:dyDescent="0.3">
      <c r="C4667" s="3"/>
      <c r="D4667" s="3"/>
      <c r="E4667" s="3"/>
      <c r="F4667" s="3"/>
    </row>
    <row r="4668" spans="3:6" x14ac:dyDescent="0.3">
      <c r="C4668" s="3"/>
      <c r="D4668" s="3"/>
      <c r="E4668" s="3"/>
      <c r="F4668" s="3"/>
    </row>
    <row r="4669" spans="3:6" x14ac:dyDescent="0.3">
      <c r="C4669" s="3"/>
      <c r="D4669" s="3"/>
      <c r="E4669" s="3"/>
      <c r="F4669" s="3"/>
    </row>
    <row r="4670" spans="3:6" x14ac:dyDescent="0.3">
      <c r="C4670" s="3"/>
      <c r="D4670" s="3"/>
      <c r="E4670" s="3"/>
      <c r="F4670" s="3"/>
    </row>
    <row r="4671" spans="3:6" x14ac:dyDescent="0.3">
      <c r="C4671" s="3"/>
      <c r="D4671" s="3"/>
      <c r="E4671" s="3"/>
      <c r="F4671" s="3"/>
    </row>
    <row r="4672" spans="3:6" x14ac:dyDescent="0.3">
      <c r="C4672" s="3"/>
      <c r="D4672" s="3"/>
      <c r="E4672" s="3"/>
      <c r="F4672" s="3"/>
    </row>
    <row r="4673" spans="3:6" x14ac:dyDescent="0.3">
      <c r="C4673" s="3"/>
      <c r="D4673" s="3"/>
      <c r="E4673" s="3"/>
      <c r="F4673" s="3"/>
    </row>
    <row r="4674" spans="3:6" x14ac:dyDescent="0.3">
      <c r="C4674" s="3"/>
      <c r="D4674" s="3"/>
      <c r="E4674" s="3"/>
      <c r="F4674" s="3"/>
    </row>
    <row r="4675" spans="3:6" x14ac:dyDescent="0.3">
      <c r="C4675" s="3"/>
      <c r="D4675" s="3"/>
      <c r="E4675" s="3"/>
      <c r="F4675" s="3"/>
    </row>
    <row r="4676" spans="3:6" x14ac:dyDescent="0.3">
      <c r="C4676" s="3"/>
      <c r="D4676" s="3"/>
      <c r="E4676" s="3"/>
      <c r="F4676" s="3"/>
    </row>
    <row r="4677" spans="3:6" x14ac:dyDescent="0.3">
      <c r="C4677" s="3"/>
      <c r="D4677" s="3"/>
      <c r="E4677" s="3"/>
      <c r="F4677" s="3"/>
    </row>
    <row r="4678" spans="3:6" x14ac:dyDescent="0.3">
      <c r="C4678" s="3"/>
      <c r="D4678" s="3"/>
      <c r="E4678" s="3"/>
      <c r="F4678" s="3"/>
    </row>
    <row r="4679" spans="3:6" x14ac:dyDescent="0.3">
      <c r="C4679" s="3"/>
      <c r="D4679" s="3"/>
      <c r="E4679" s="3"/>
      <c r="F4679" s="3"/>
    </row>
    <row r="4680" spans="3:6" x14ac:dyDescent="0.3">
      <c r="C4680" s="3"/>
      <c r="D4680" s="3"/>
      <c r="E4680" s="3"/>
      <c r="F4680" s="3"/>
    </row>
    <row r="4681" spans="3:6" x14ac:dyDescent="0.3">
      <c r="C4681" s="3"/>
      <c r="D4681" s="3"/>
      <c r="E4681" s="3"/>
      <c r="F4681" s="3"/>
    </row>
    <row r="4682" spans="3:6" x14ac:dyDescent="0.3">
      <c r="C4682" s="3"/>
      <c r="D4682" s="3"/>
      <c r="E4682" s="3"/>
      <c r="F4682" s="3"/>
    </row>
    <row r="4683" spans="3:6" x14ac:dyDescent="0.3">
      <c r="C4683" s="3"/>
      <c r="D4683" s="3"/>
      <c r="E4683" s="3"/>
      <c r="F4683" s="3"/>
    </row>
    <row r="4684" spans="3:6" x14ac:dyDescent="0.3">
      <c r="C4684" s="3"/>
      <c r="D4684" s="3"/>
      <c r="E4684" s="3"/>
      <c r="F4684" s="3"/>
    </row>
    <row r="4685" spans="3:6" x14ac:dyDescent="0.3">
      <c r="C4685" s="3"/>
      <c r="D4685" s="3"/>
      <c r="E4685" s="3"/>
      <c r="F4685" s="3"/>
    </row>
    <row r="4686" spans="3:6" x14ac:dyDescent="0.3">
      <c r="C4686" s="3"/>
      <c r="D4686" s="3"/>
      <c r="E4686" s="3"/>
      <c r="F4686" s="3"/>
    </row>
    <row r="4687" spans="3:6" x14ac:dyDescent="0.3">
      <c r="C4687" s="3"/>
      <c r="D4687" s="3"/>
      <c r="E4687" s="3"/>
      <c r="F4687" s="3"/>
    </row>
    <row r="4688" spans="3:6" x14ac:dyDescent="0.3">
      <c r="C4688" s="3"/>
      <c r="D4688" s="3"/>
      <c r="E4688" s="3"/>
      <c r="F4688" s="3"/>
    </row>
    <row r="4689" spans="3:6" x14ac:dyDescent="0.3">
      <c r="C4689" s="3"/>
      <c r="D4689" s="3"/>
      <c r="E4689" s="3"/>
      <c r="F4689" s="3"/>
    </row>
    <row r="4690" spans="3:6" x14ac:dyDescent="0.3">
      <c r="C4690" s="3"/>
      <c r="D4690" s="3"/>
      <c r="E4690" s="3"/>
      <c r="F4690" s="3"/>
    </row>
    <row r="4691" spans="3:6" x14ac:dyDescent="0.3">
      <c r="C4691" s="3"/>
      <c r="D4691" s="3"/>
      <c r="E4691" s="3"/>
      <c r="F4691" s="3"/>
    </row>
    <row r="4692" spans="3:6" x14ac:dyDescent="0.3">
      <c r="C4692" s="3"/>
      <c r="D4692" s="3"/>
      <c r="E4692" s="3"/>
      <c r="F4692" s="3"/>
    </row>
    <row r="4693" spans="3:6" x14ac:dyDescent="0.3">
      <c r="C4693" s="3"/>
      <c r="D4693" s="3"/>
      <c r="E4693" s="3"/>
      <c r="F4693" s="3"/>
    </row>
    <row r="4694" spans="3:6" x14ac:dyDescent="0.3">
      <c r="C4694" s="3"/>
      <c r="D4694" s="3"/>
      <c r="E4694" s="3"/>
      <c r="F4694" s="3"/>
    </row>
    <row r="4695" spans="3:6" x14ac:dyDescent="0.3">
      <c r="C4695" s="3"/>
      <c r="D4695" s="3"/>
      <c r="E4695" s="3"/>
      <c r="F4695" s="3"/>
    </row>
    <row r="4696" spans="3:6" x14ac:dyDescent="0.3">
      <c r="C4696" s="3"/>
      <c r="D4696" s="3"/>
      <c r="E4696" s="3"/>
      <c r="F4696" s="3"/>
    </row>
    <row r="4697" spans="3:6" x14ac:dyDescent="0.3">
      <c r="C4697" s="3"/>
      <c r="D4697" s="3"/>
      <c r="E4697" s="3"/>
      <c r="F4697" s="3"/>
    </row>
    <row r="4698" spans="3:6" x14ac:dyDescent="0.3">
      <c r="C4698" s="3"/>
      <c r="D4698" s="3"/>
      <c r="E4698" s="3"/>
      <c r="F4698" s="3"/>
    </row>
    <row r="4699" spans="3:6" x14ac:dyDescent="0.3">
      <c r="C4699" s="3"/>
      <c r="D4699" s="3"/>
      <c r="E4699" s="3"/>
      <c r="F4699" s="3"/>
    </row>
    <row r="4700" spans="3:6" x14ac:dyDescent="0.3">
      <c r="C4700" s="3"/>
      <c r="D4700" s="3"/>
      <c r="E4700" s="3"/>
      <c r="F4700" s="3"/>
    </row>
    <row r="4701" spans="3:6" x14ac:dyDescent="0.3">
      <c r="C4701" s="3"/>
      <c r="D4701" s="3"/>
      <c r="E4701" s="3"/>
      <c r="F4701" s="3"/>
    </row>
    <row r="4702" spans="3:6" x14ac:dyDescent="0.3">
      <c r="C4702" s="3"/>
      <c r="D4702" s="3"/>
      <c r="E4702" s="3"/>
      <c r="F4702" s="3"/>
    </row>
    <row r="4703" spans="3:6" x14ac:dyDescent="0.3">
      <c r="C4703" s="3"/>
      <c r="D4703" s="3"/>
      <c r="E4703" s="3"/>
      <c r="F4703" s="3"/>
    </row>
    <row r="4704" spans="3:6" x14ac:dyDescent="0.3">
      <c r="C4704" s="3"/>
      <c r="D4704" s="3"/>
      <c r="E4704" s="3"/>
      <c r="F4704" s="3"/>
    </row>
    <row r="4705" spans="3:6" x14ac:dyDescent="0.3">
      <c r="C4705" s="3"/>
      <c r="D4705" s="3"/>
      <c r="E4705" s="3"/>
      <c r="F4705" s="3"/>
    </row>
    <row r="4706" spans="3:6" x14ac:dyDescent="0.3">
      <c r="C4706" s="3"/>
      <c r="D4706" s="3"/>
      <c r="E4706" s="3"/>
      <c r="F4706" s="3"/>
    </row>
    <row r="4707" spans="3:6" x14ac:dyDescent="0.3">
      <c r="C4707" s="3"/>
      <c r="D4707" s="3"/>
      <c r="E4707" s="3"/>
      <c r="F4707" s="3"/>
    </row>
    <row r="4708" spans="3:6" x14ac:dyDescent="0.3">
      <c r="C4708" s="3"/>
      <c r="D4708" s="3"/>
      <c r="E4708" s="3"/>
      <c r="F4708" s="3"/>
    </row>
    <row r="4709" spans="3:6" x14ac:dyDescent="0.3">
      <c r="C4709" s="3"/>
      <c r="D4709" s="3"/>
      <c r="E4709" s="3"/>
      <c r="F4709" s="3"/>
    </row>
    <row r="4710" spans="3:6" x14ac:dyDescent="0.3">
      <c r="C4710" s="3"/>
      <c r="D4710" s="3"/>
      <c r="E4710" s="3"/>
      <c r="F4710" s="3"/>
    </row>
    <row r="4711" spans="3:6" x14ac:dyDescent="0.3">
      <c r="C4711" s="3"/>
      <c r="D4711" s="3"/>
      <c r="E4711" s="3"/>
      <c r="F4711" s="3"/>
    </row>
    <row r="4712" spans="3:6" x14ac:dyDescent="0.3">
      <c r="C4712" s="3"/>
      <c r="D4712" s="3"/>
      <c r="E4712" s="3"/>
      <c r="F4712" s="3"/>
    </row>
    <row r="4713" spans="3:6" x14ac:dyDescent="0.3">
      <c r="C4713" s="3"/>
      <c r="D4713" s="3"/>
      <c r="E4713" s="3"/>
      <c r="F4713" s="3"/>
    </row>
    <row r="4714" spans="3:6" x14ac:dyDescent="0.3">
      <c r="C4714" s="3"/>
      <c r="D4714" s="3"/>
      <c r="E4714" s="3"/>
      <c r="F4714" s="3"/>
    </row>
    <row r="4715" spans="3:6" x14ac:dyDescent="0.3">
      <c r="C4715" s="3"/>
      <c r="D4715" s="3"/>
      <c r="E4715" s="3"/>
      <c r="F4715" s="3"/>
    </row>
    <row r="4716" spans="3:6" x14ac:dyDescent="0.3">
      <c r="C4716" s="3"/>
      <c r="D4716" s="3"/>
      <c r="E4716" s="3"/>
      <c r="F4716" s="3"/>
    </row>
    <row r="4717" spans="3:6" x14ac:dyDescent="0.3">
      <c r="C4717" s="3"/>
      <c r="D4717" s="3"/>
      <c r="E4717" s="3"/>
      <c r="F4717" s="3"/>
    </row>
    <row r="4718" spans="3:6" x14ac:dyDescent="0.3">
      <c r="C4718" s="3"/>
      <c r="D4718" s="3"/>
      <c r="E4718" s="3"/>
      <c r="F4718" s="3"/>
    </row>
    <row r="4719" spans="3:6" x14ac:dyDescent="0.3">
      <c r="C4719" s="3"/>
      <c r="D4719" s="3"/>
      <c r="E4719" s="3"/>
      <c r="F4719" s="3"/>
    </row>
    <row r="4720" spans="3:6" x14ac:dyDescent="0.3">
      <c r="C4720" s="3"/>
      <c r="D4720" s="3"/>
      <c r="E4720" s="3"/>
      <c r="F4720" s="3"/>
    </row>
    <row r="4721" spans="3:6" x14ac:dyDescent="0.3">
      <c r="C4721" s="3"/>
      <c r="D4721" s="3"/>
      <c r="E4721" s="3"/>
      <c r="F4721" s="3"/>
    </row>
    <row r="4722" spans="3:6" x14ac:dyDescent="0.3">
      <c r="C4722" s="3"/>
      <c r="D4722" s="3"/>
      <c r="E4722" s="3"/>
      <c r="F4722" s="3"/>
    </row>
    <row r="4723" spans="3:6" x14ac:dyDescent="0.3">
      <c r="C4723" s="3"/>
      <c r="D4723" s="3"/>
      <c r="E4723" s="3"/>
      <c r="F4723" s="3"/>
    </row>
    <row r="4724" spans="3:6" x14ac:dyDescent="0.3">
      <c r="C4724" s="3"/>
      <c r="D4724" s="3"/>
      <c r="E4724" s="3"/>
      <c r="F4724" s="3"/>
    </row>
    <row r="4725" spans="3:6" x14ac:dyDescent="0.3">
      <c r="C4725" s="3"/>
      <c r="D4725" s="3"/>
      <c r="E4725" s="3"/>
      <c r="F4725" s="3"/>
    </row>
    <row r="4726" spans="3:6" x14ac:dyDescent="0.3">
      <c r="C4726" s="3"/>
      <c r="D4726" s="3"/>
      <c r="E4726" s="3"/>
      <c r="F4726" s="3"/>
    </row>
    <row r="4727" spans="3:6" x14ac:dyDescent="0.3">
      <c r="C4727" s="3"/>
      <c r="D4727" s="3"/>
      <c r="E4727" s="3"/>
      <c r="F4727" s="3"/>
    </row>
    <row r="4728" spans="3:6" x14ac:dyDescent="0.3">
      <c r="C4728" s="3"/>
      <c r="D4728" s="3"/>
      <c r="E4728" s="3"/>
      <c r="F4728" s="3"/>
    </row>
    <row r="4729" spans="3:6" x14ac:dyDescent="0.3">
      <c r="C4729" s="3"/>
      <c r="D4729" s="3"/>
      <c r="E4729" s="3"/>
      <c r="F4729" s="3"/>
    </row>
    <row r="4730" spans="3:6" x14ac:dyDescent="0.3">
      <c r="C4730" s="3"/>
      <c r="D4730" s="3"/>
      <c r="E4730" s="3"/>
      <c r="F4730" s="3"/>
    </row>
    <row r="4731" spans="3:6" x14ac:dyDescent="0.3">
      <c r="C4731" s="3"/>
      <c r="D4731" s="3"/>
      <c r="E4731" s="3"/>
      <c r="F4731" s="3"/>
    </row>
    <row r="4732" spans="3:6" x14ac:dyDescent="0.3">
      <c r="C4732" s="3"/>
      <c r="D4732" s="3"/>
      <c r="E4732" s="3"/>
      <c r="F4732" s="3"/>
    </row>
    <row r="4733" spans="3:6" x14ac:dyDescent="0.3">
      <c r="C4733" s="3"/>
      <c r="D4733" s="3"/>
      <c r="E4733" s="3"/>
      <c r="F4733" s="3"/>
    </row>
    <row r="4734" spans="3:6" x14ac:dyDescent="0.3">
      <c r="C4734" s="3"/>
      <c r="D4734" s="3"/>
      <c r="E4734" s="3"/>
      <c r="F4734" s="3"/>
    </row>
    <row r="4735" spans="3:6" x14ac:dyDescent="0.3">
      <c r="C4735" s="3"/>
      <c r="D4735" s="3"/>
      <c r="E4735" s="3"/>
      <c r="F4735" s="3"/>
    </row>
    <row r="4736" spans="3:6" x14ac:dyDescent="0.3">
      <c r="C4736" s="3"/>
      <c r="D4736" s="3"/>
      <c r="E4736" s="3"/>
      <c r="F4736" s="3"/>
    </row>
    <row r="4737" spans="3:6" x14ac:dyDescent="0.3">
      <c r="C4737" s="3"/>
      <c r="D4737" s="3"/>
      <c r="E4737" s="3"/>
      <c r="F4737" s="3"/>
    </row>
    <row r="4738" spans="3:6" x14ac:dyDescent="0.3">
      <c r="C4738" s="3"/>
      <c r="D4738" s="3"/>
      <c r="E4738" s="3"/>
      <c r="F4738" s="3"/>
    </row>
    <row r="4739" spans="3:6" x14ac:dyDescent="0.3">
      <c r="C4739" s="3"/>
      <c r="D4739" s="3"/>
      <c r="E4739" s="3"/>
      <c r="F4739" s="3"/>
    </row>
    <row r="4740" spans="3:6" x14ac:dyDescent="0.3">
      <c r="C4740" s="3"/>
      <c r="D4740" s="3"/>
      <c r="E4740" s="3"/>
      <c r="F4740" s="3"/>
    </row>
    <row r="4741" spans="3:6" x14ac:dyDescent="0.3">
      <c r="C4741" s="3"/>
      <c r="D4741" s="3"/>
      <c r="E4741" s="3"/>
      <c r="F4741" s="3"/>
    </row>
    <row r="4742" spans="3:6" x14ac:dyDescent="0.3">
      <c r="C4742" s="3"/>
      <c r="D4742" s="3"/>
      <c r="E4742" s="3"/>
      <c r="F4742" s="3"/>
    </row>
    <row r="4743" spans="3:6" x14ac:dyDescent="0.3">
      <c r="C4743" s="3"/>
      <c r="D4743" s="3"/>
      <c r="E4743" s="3"/>
      <c r="F4743" s="3"/>
    </row>
    <row r="4744" spans="3:6" x14ac:dyDescent="0.3">
      <c r="C4744" s="3"/>
      <c r="D4744" s="3"/>
      <c r="E4744" s="3"/>
      <c r="F4744" s="3"/>
    </row>
    <row r="4745" spans="3:6" x14ac:dyDescent="0.3">
      <c r="C4745" s="3"/>
      <c r="D4745" s="3"/>
      <c r="E4745" s="3"/>
      <c r="F4745" s="3"/>
    </row>
    <row r="4746" spans="3:6" x14ac:dyDescent="0.3">
      <c r="C4746" s="3"/>
      <c r="D4746" s="3"/>
      <c r="E4746" s="3"/>
      <c r="F4746" s="3"/>
    </row>
    <row r="4747" spans="3:6" x14ac:dyDescent="0.3">
      <c r="C4747" s="3"/>
      <c r="D4747" s="3"/>
      <c r="E4747" s="3"/>
      <c r="F4747" s="3"/>
    </row>
    <row r="4748" spans="3:6" x14ac:dyDescent="0.3">
      <c r="C4748" s="3"/>
      <c r="D4748" s="3"/>
      <c r="E4748" s="3"/>
      <c r="F4748" s="3"/>
    </row>
    <row r="4749" spans="3:6" x14ac:dyDescent="0.3">
      <c r="C4749" s="3"/>
      <c r="D4749" s="3"/>
      <c r="E4749" s="3"/>
      <c r="F4749" s="3"/>
    </row>
    <row r="4750" spans="3:6" x14ac:dyDescent="0.3">
      <c r="C4750" s="3"/>
      <c r="D4750" s="3"/>
      <c r="E4750" s="3"/>
      <c r="F4750" s="3"/>
    </row>
    <row r="4751" spans="3:6" x14ac:dyDescent="0.3">
      <c r="C4751" s="3"/>
      <c r="D4751" s="3"/>
      <c r="E4751" s="3"/>
      <c r="F4751" s="3"/>
    </row>
    <row r="4752" spans="3:6" x14ac:dyDescent="0.3">
      <c r="C4752" s="3"/>
      <c r="D4752" s="3"/>
      <c r="E4752" s="3"/>
      <c r="F4752" s="3"/>
    </row>
    <row r="4753" spans="3:6" x14ac:dyDescent="0.3">
      <c r="C4753" s="3"/>
      <c r="D4753" s="3"/>
      <c r="E4753" s="3"/>
      <c r="F4753" s="3"/>
    </row>
    <row r="4754" spans="3:6" x14ac:dyDescent="0.3">
      <c r="C4754" s="3"/>
      <c r="D4754" s="3"/>
      <c r="E4754" s="3"/>
      <c r="F4754" s="3"/>
    </row>
    <row r="4755" spans="3:6" x14ac:dyDescent="0.3">
      <c r="C4755" s="3"/>
      <c r="D4755" s="3"/>
      <c r="E4755" s="3"/>
      <c r="F4755" s="3"/>
    </row>
    <row r="4756" spans="3:6" x14ac:dyDescent="0.3">
      <c r="C4756" s="3"/>
      <c r="D4756" s="3"/>
      <c r="E4756" s="3"/>
      <c r="F4756" s="3"/>
    </row>
    <row r="4757" spans="3:6" x14ac:dyDescent="0.3">
      <c r="C4757" s="3"/>
      <c r="D4757" s="3"/>
      <c r="E4757" s="3"/>
      <c r="F4757" s="3"/>
    </row>
    <row r="4758" spans="3:6" x14ac:dyDescent="0.3">
      <c r="C4758" s="3"/>
      <c r="D4758" s="3"/>
      <c r="E4758" s="3"/>
      <c r="F4758" s="3"/>
    </row>
    <row r="4759" spans="3:6" x14ac:dyDescent="0.3">
      <c r="C4759" s="3"/>
      <c r="D4759" s="3"/>
      <c r="E4759" s="3"/>
      <c r="F4759" s="3"/>
    </row>
    <row r="4760" spans="3:6" x14ac:dyDescent="0.3">
      <c r="C4760" s="3"/>
      <c r="D4760" s="3"/>
      <c r="E4760" s="3"/>
      <c r="F4760" s="3"/>
    </row>
    <row r="4761" spans="3:6" x14ac:dyDescent="0.3">
      <c r="C4761" s="3"/>
      <c r="D4761" s="3"/>
      <c r="E4761" s="3"/>
      <c r="F4761" s="3"/>
    </row>
    <row r="4762" spans="3:6" x14ac:dyDescent="0.3">
      <c r="C4762" s="3"/>
      <c r="D4762" s="3"/>
      <c r="E4762" s="3"/>
      <c r="F4762" s="3"/>
    </row>
    <row r="4763" spans="3:6" x14ac:dyDescent="0.3">
      <c r="C4763" s="3"/>
      <c r="D4763" s="3"/>
      <c r="E4763" s="3"/>
      <c r="F4763" s="3"/>
    </row>
    <row r="4764" spans="3:6" x14ac:dyDescent="0.3">
      <c r="C4764" s="3"/>
      <c r="D4764" s="3"/>
      <c r="E4764" s="3"/>
      <c r="F4764" s="3"/>
    </row>
    <row r="4765" spans="3:6" x14ac:dyDescent="0.3">
      <c r="C4765" s="3"/>
      <c r="D4765" s="3"/>
      <c r="E4765" s="3"/>
      <c r="F4765" s="3"/>
    </row>
    <row r="4766" spans="3:6" x14ac:dyDescent="0.3">
      <c r="C4766" s="3"/>
      <c r="D4766" s="3"/>
      <c r="E4766" s="3"/>
      <c r="F4766" s="3"/>
    </row>
    <row r="4767" spans="3:6" x14ac:dyDescent="0.3">
      <c r="C4767" s="3"/>
      <c r="D4767" s="3"/>
      <c r="E4767" s="3"/>
      <c r="F4767" s="3"/>
    </row>
    <row r="4768" spans="3:6" x14ac:dyDescent="0.3">
      <c r="C4768" s="3"/>
      <c r="D4768" s="3"/>
      <c r="E4768" s="3"/>
      <c r="F4768" s="3"/>
    </row>
    <row r="4769" spans="3:6" x14ac:dyDescent="0.3">
      <c r="C4769" s="3"/>
      <c r="D4769" s="3"/>
      <c r="E4769" s="3"/>
      <c r="F4769" s="3"/>
    </row>
    <row r="4770" spans="3:6" x14ac:dyDescent="0.3">
      <c r="C4770" s="3"/>
      <c r="D4770" s="3"/>
      <c r="E4770" s="3"/>
      <c r="F4770" s="3"/>
    </row>
    <row r="4771" spans="3:6" x14ac:dyDescent="0.3">
      <c r="C4771" s="3"/>
      <c r="D4771" s="3"/>
      <c r="E4771" s="3"/>
      <c r="F4771" s="3"/>
    </row>
    <row r="4772" spans="3:6" x14ac:dyDescent="0.3">
      <c r="C4772" s="3"/>
      <c r="D4772" s="3"/>
      <c r="E4772" s="3"/>
      <c r="F4772" s="3"/>
    </row>
    <row r="4773" spans="3:6" x14ac:dyDescent="0.3">
      <c r="C4773" s="3"/>
      <c r="D4773" s="3"/>
      <c r="E4773" s="3"/>
      <c r="F4773" s="3"/>
    </row>
    <row r="4774" spans="3:6" x14ac:dyDescent="0.3">
      <c r="C4774" s="3"/>
      <c r="D4774" s="3"/>
      <c r="E4774" s="3"/>
      <c r="F4774" s="3"/>
    </row>
    <row r="4775" spans="3:6" x14ac:dyDescent="0.3">
      <c r="C4775" s="3"/>
      <c r="D4775" s="3"/>
      <c r="E4775" s="3"/>
      <c r="F4775" s="3"/>
    </row>
    <row r="4776" spans="3:6" x14ac:dyDescent="0.3">
      <c r="C4776" s="3"/>
      <c r="D4776" s="3"/>
      <c r="E4776" s="3"/>
      <c r="F4776" s="3"/>
    </row>
    <row r="4777" spans="3:6" x14ac:dyDescent="0.3">
      <c r="C4777" s="3"/>
      <c r="D4777" s="3"/>
      <c r="E4777" s="3"/>
      <c r="F4777" s="3"/>
    </row>
    <row r="4778" spans="3:6" x14ac:dyDescent="0.3">
      <c r="C4778" s="3"/>
      <c r="D4778" s="3"/>
      <c r="E4778" s="3"/>
      <c r="F4778" s="3"/>
    </row>
    <row r="4779" spans="3:6" x14ac:dyDescent="0.3">
      <c r="C4779" s="3"/>
      <c r="D4779" s="3"/>
      <c r="E4779" s="3"/>
      <c r="F4779" s="3"/>
    </row>
    <row r="4780" spans="3:6" x14ac:dyDescent="0.3">
      <c r="C4780" s="3"/>
      <c r="D4780" s="3"/>
      <c r="E4780" s="3"/>
      <c r="F4780" s="3"/>
    </row>
    <row r="4781" spans="3:6" x14ac:dyDescent="0.3">
      <c r="C4781" s="3"/>
      <c r="D4781" s="3"/>
      <c r="E4781" s="3"/>
      <c r="F4781" s="3"/>
    </row>
    <row r="4782" spans="3:6" x14ac:dyDescent="0.3">
      <c r="C4782" s="3"/>
      <c r="D4782" s="3"/>
      <c r="E4782" s="3"/>
      <c r="F4782" s="3"/>
    </row>
    <row r="4783" spans="3:6" x14ac:dyDescent="0.3">
      <c r="C4783" s="3"/>
      <c r="D4783" s="3"/>
      <c r="E4783" s="3"/>
      <c r="F4783" s="3"/>
    </row>
    <row r="4784" spans="3:6" x14ac:dyDescent="0.3">
      <c r="C4784" s="3"/>
      <c r="D4784" s="3"/>
      <c r="E4784" s="3"/>
      <c r="F4784" s="3"/>
    </row>
    <row r="4785" spans="3:6" x14ac:dyDescent="0.3">
      <c r="C4785" s="3"/>
      <c r="D4785" s="3"/>
      <c r="E4785" s="3"/>
      <c r="F4785" s="3"/>
    </row>
    <row r="4786" spans="3:6" x14ac:dyDescent="0.3">
      <c r="C4786" s="3"/>
      <c r="D4786" s="3"/>
      <c r="E4786" s="3"/>
      <c r="F4786" s="3"/>
    </row>
    <row r="4787" spans="3:6" x14ac:dyDescent="0.3">
      <c r="C4787" s="3"/>
      <c r="D4787" s="3"/>
      <c r="E4787" s="3"/>
      <c r="F4787" s="3"/>
    </row>
    <row r="4788" spans="3:6" x14ac:dyDescent="0.3">
      <c r="C4788" s="3"/>
      <c r="D4788" s="3"/>
      <c r="E4788" s="3"/>
      <c r="F4788" s="3"/>
    </row>
    <row r="4789" spans="3:6" x14ac:dyDescent="0.3">
      <c r="C4789" s="3"/>
      <c r="D4789" s="3"/>
      <c r="E4789" s="3"/>
      <c r="F4789" s="3"/>
    </row>
    <row r="4790" spans="3:6" x14ac:dyDescent="0.3">
      <c r="C4790" s="3"/>
      <c r="D4790" s="3"/>
      <c r="E4790" s="3"/>
      <c r="F4790" s="3"/>
    </row>
    <row r="4791" spans="3:6" x14ac:dyDescent="0.3">
      <c r="C4791" s="3"/>
      <c r="D4791" s="3"/>
      <c r="E4791" s="3"/>
      <c r="F4791" s="3"/>
    </row>
    <row r="4792" spans="3:6" x14ac:dyDescent="0.3">
      <c r="C4792" s="3"/>
      <c r="D4792" s="3"/>
      <c r="E4792" s="3"/>
      <c r="F4792" s="3"/>
    </row>
    <row r="4793" spans="3:6" x14ac:dyDescent="0.3">
      <c r="C4793" s="3"/>
      <c r="D4793" s="3"/>
      <c r="E4793" s="3"/>
      <c r="F4793" s="3"/>
    </row>
    <row r="4794" spans="3:6" x14ac:dyDescent="0.3">
      <c r="C4794" s="3"/>
      <c r="D4794" s="3"/>
      <c r="E4794" s="3"/>
      <c r="F4794" s="3"/>
    </row>
    <row r="4795" spans="3:6" x14ac:dyDescent="0.3">
      <c r="C4795" s="3"/>
      <c r="D4795" s="3"/>
      <c r="E4795" s="3"/>
      <c r="F4795" s="3"/>
    </row>
    <row r="4796" spans="3:6" x14ac:dyDescent="0.3">
      <c r="C4796" s="3"/>
      <c r="D4796" s="3"/>
      <c r="E4796" s="3"/>
      <c r="F4796" s="3"/>
    </row>
    <row r="4797" spans="3:6" x14ac:dyDescent="0.3">
      <c r="C4797" s="3"/>
      <c r="D4797" s="3"/>
      <c r="E4797" s="3"/>
      <c r="F4797" s="3"/>
    </row>
    <row r="4798" spans="3:6" x14ac:dyDescent="0.3">
      <c r="C4798" s="3"/>
      <c r="D4798" s="3"/>
      <c r="E4798" s="3"/>
      <c r="F4798" s="3"/>
    </row>
    <row r="4799" spans="3:6" x14ac:dyDescent="0.3">
      <c r="C4799" s="3"/>
      <c r="D4799" s="3"/>
      <c r="E4799" s="3"/>
      <c r="F4799" s="3"/>
    </row>
    <row r="4800" spans="3:6" x14ac:dyDescent="0.3">
      <c r="C4800" s="3"/>
      <c r="D4800" s="3"/>
      <c r="E4800" s="3"/>
      <c r="F4800" s="3"/>
    </row>
    <row r="4801" spans="3:6" x14ac:dyDescent="0.3">
      <c r="C4801" s="3"/>
      <c r="D4801" s="3"/>
      <c r="E4801" s="3"/>
      <c r="F4801" s="3"/>
    </row>
    <row r="4802" spans="3:6" x14ac:dyDescent="0.3">
      <c r="C4802" s="3"/>
      <c r="D4802" s="3"/>
      <c r="E4802" s="3"/>
      <c r="F4802" s="3"/>
    </row>
    <row r="4803" spans="3:6" x14ac:dyDescent="0.3">
      <c r="C4803" s="3"/>
      <c r="D4803" s="3"/>
      <c r="E4803" s="3"/>
      <c r="F4803" s="3"/>
    </row>
    <row r="4804" spans="3:6" x14ac:dyDescent="0.3">
      <c r="C4804" s="3"/>
      <c r="D4804" s="3"/>
      <c r="E4804" s="3"/>
      <c r="F4804" s="3"/>
    </row>
    <row r="4805" spans="3:6" x14ac:dyDescent="0.3">
      <c r="C4805" s="3"/>
      <c r="D4805" s="3"/>
      <c r="E4805" s="3"/>
      <c r="F4805" s="3"/>
    </row>
    <row r="4806" spans="3:6" x14ac:dyDescent="0.3">
      <c r="C4806" s="3"/>
      <c r="D4806" s="3"/>
      <c r="E4806" s="3"/>
      <c r="F4806" s="3"/>
    </row>
    <row r="4807" spans="3:6" x14ac:dyDescent="0.3">
      <c r="C4807" s="3"/>
      <c r="D4807" s="3"/>
      <c r="E4807" s="3"/>
      <c r="F4807" s="3"/>
    </row>
    <row r="4808" spans="3:6" x14ac:dyDescent="0.3">
      <c r="C4808" s="3"/>
      <c r="D4808" s="3"/>
      <c r="E4808" s="3"/>
      <c r="F4808" s="3"/>
    </row>
    <row r="4809" spans="3:6" x14ac:dyDescent="0.3">
      <c r="C4809" s="3"/>
      <c r="D4809" s="3"/>
      <c r="E4809" s="3"/>
      <c r="F4809" s="3"/>
    </row>
    <row r="4810" spans="3:6" x14ac:dyDescent="0.3">
      <c r="C4810" s="3"/>
      <c r="D4810" s="3"/>
      <c r="E4810" s="3"/>
      <c r="F4810" s="3"/>
    </row>
    <row r="4811" spans="3:6" x14ac:dyDescent="0.3">
      <c r="C4811" s="3"/>
      <c r="D4811" s="3"/>
      <c r="E4811" s="3"/>
      <c r="F4811" s="3"/>
    </row>
    <row r="4812" spans="3:6" x14ac:dyDescent="0.3">
      <c r="C4812" s="3"/>
      <c r="D4812" s="3"/>
      <c r="E4812" s="3"/>
      <c r="F4812" s="3"/>
    </row>
    <row r="4813" spans="3:6" x14ac:dyDescent="0.3">
      <c r="C4813" s="3"/>
      <c r="D4813" s="3"/>
      <c r="E4813" s="3"/>
      <c r="F4813" s="3"/>
    </row>
    <row r="4814" spans="3:6" x14ac:dyDescent="0.3">
      <c r="C4814" s="3"/>
      <c r="D4814" s="3"/>
      <c r="E4814" s="3"/>
      <c r="F4814" s="3"/>
    </row>
    <row r="4815" spans="3:6" x14ac:dyDescent="0.3">
      <c r="C4815" s="3"/>
      <c r="D4815" s="3"/>
      <c r="E4815" s="3"/>
      <c r="F4815" s="3"/>
    </row>
    <row r="4816" spans="3:6" x14ac:dyDescent="0.3">
      <c r="C4816" s="3"/>
      <c r="D4816" s="3"/>
      <c r="E4816" s="3"/>
      <c r="F4816" s="3"/>
    </row>
    <row r="4817" spans="3:6" x14ac:dyDescent="0.3">
      <c r="C4817" s="3"/>
      <c r="D4817" s="3"/>
      <c r="E4817" s="3"/>
      <c r="F4817" s="3"/>
    </row>
    <row r="4818" spans="3:6" x14ac:dyDescent="0.3">
      <c r="C4818" s="3"/>
      <c r="D4818" s="3"/>
      <c r="E4818" s="3"/>
      <c r="F4818" s="3"/>
    </row>
    <row r="4819" spans="3:6" x14ac:dyDescent="0.3">
      <c r="C4819" s="3"/>
      <c r="D4819" s="3"/>
      <c r="E4819" s="3"/>
      <c r="F4819" s="3"/>
    </row>
    <row r="4820" spans="3:6" x14ac:dyDescent="0.3">
      <c r="C4820" s="3"/>
      <c r="D4820" s="3"/>
      <c r="E4820" s="3"/>
      <c r="F4820" s="3"/>
    </row>
    <row r="4821" spans="3:6" x14ac:dyDescent="0.3">
      <c r="C4821" s="3"/>
      <c r="D4821" s="3"/>
      <c r="E4821" s="3"/>
      <c r="F4821" s="3"/>
    </row>
    <row r="4822" spans="3:6" x14ac:dyDescent="0.3">
      <c r="C4822" s="3"/>
      <c r="D4822" s="3"/>
      <c r="E4822" s="3"/>
      <c r="F4822" s="3"/>
    </row>
    <row r="4823" spans="3:6" x14ac:dyDescent="0.3">
      <c r="C4823" s="3"/>
      <c r="D4823" s="3"/>
      <c r="E4823" s="3"/>
      <c r="F4823" s="3"/>
    </row>
    <row r="4824" spans="3:6" x14ac:dyDescent="0.3">
      <c r="C4824" s="3"/>
      <c r="D4824" s="3"/>
      <c r="E4824" s="3"/>
      <c r="F4824" s="3"/>
    </row>
    <row r="4825" spans="3:6" x14ac:dyDescent="0.3">
      <c r="C4825" s="3"/>
      <c r="D4825" s="3"/>
      <c r="E4825" s="3"/>
      <c r="F4825" s="3"/>
    </row>
    <row r="4826" spans="3:6" x14ac:dyDescent="0.3">
      <c r="C4826" s="3"/>
      <c r="D4826" s="3"/>
      <c r="E4826" s="3"/>
      <c r="F4826" s="3"/>
    </row>
    <row r="4827" spans="3:6" x14ac:dyDescent="0.3">
      <c r="C4827" s="3"/>
      <c r="D4827" s="3"/>
      <c r="E4827" s="3"/>
      <c r="F4827" s="3"/>
    </row>
    <row r="4828" spans="3:6" x14ac:dyDescent="0.3">
      <c r="C4828" s="3"/>
      <c r="D4828" s="3"/>
      <c r="E4828" s="3"/>
      <c r="F4828" s="3"/>
    </row>
    <row r="4829" spans="3:6" x14ac:dyDescent="0.3">
      <c r="C4829" s="3"/>
      <c r="D4829" s="3"/>
      <c r="E4829" s="3"/>
      <c r="F4829" s="3"/>
    </row>
    <row r="4830" spans="3:6" x14ac:dyDescent="0.3">
      <c r="C4830" s="3"/>
      <c r="D4830" s="3"/>
      <c r="E4830" s="3"/>
      <c r="F4830" s="3"/>
    </row>
    <row r="4831" spans="3:6" x14ac:dyDescent="0.3">
      <c r="C4831" s="3"/>
      <c r="D4831" s="3"/>
      <c r="E4831" s="3"/>
      <c r="F4831" s="3"/>
    </row>
    <row r="4832" spans="3:6" x14ac:dyDescent="0.3">
      <c r="C4832" s="3"/>
      <c r="D4832" s="3"/>
      <c r="E4832" s="3"/>
      <c r="F4832" s="3"/>
    </row>
    <row r="4833" spans="3:6" x14ac:dyDescent="0.3">
      <c r="C4833" s="3"/>
      <c r="D4833" s="3"/>
      <c r="E4833" s="3"/>
      <c r="F4833" s="3"/>
    </row>
    <row r="4834" spans="3:6" x14ac:dyDescent="0.3">
      <c r="C4834" s="3"/>
      <c r="D4834" s="3"/>
      <c r="E4834" s="3"/>
      <c r="F4834" s="3"/>
    </row>
    <row r="4835" spans="3:6" x14ac:dyDescent="0.3">
      <c r="C4835" s="3"/>
      <c r="D4835" s="3"/>
      <c r="E4835" s="3"/>
      <c r="F4835" s="3"/>
    </row>
    <row r="4836" spans="3:6" x14ac:dyDescent="0.3">
      <c r="C4836" s="3"/>
      <c r="D4836" s="3"/>
      <c r="E4836" s="3"/>
      <c r="F4836" s="3"/>
    </row>
    <row r="4837" spans="3:6" x14ac:dyDescent="0.3">
      <c r="C4837" s="3"/>
      <c r="D4837" s="3"/>
      <c r="E4837" s="3"/>
      <c r="F4837" s="3"/>
    </row>
    <row r="4838" spans="3:6" x14ac:dyDescent="0.3">
      <c r="C4838" s="3"/>
      <c r="D4838" s="3"/>
      <c r="E4838" s="3"/>
      <c r="F4838" s="3"/>
    </row>
    <row r="4839" spans="3:6" x14ac:dyDescent="0.3">
      <c r="C4839" s="3"/>
      <c r="D4839" s="3"/>
      <c r="E4839" s="3"/>
      <c r="F4839" s="3"/>
    </row>
    <row r="4840" spans="3:6" x14ac:dyDescent="0.3">
      <c r="C4840" s="3"/>
      <c r="D4840" s="3"/>
      <c r="E4840" s="3"/>
      <c r="F4840" s="3"/>
    </row>
    <row r="4841" spans="3:6" x14ac:dyDescent="0.3">
      <c r="C4841" s="3"/>
      <c r="D4841" s="3"/>
      <c r="E4841" s="3"/>
      <c r="F4841" s="3"/>
    </row>
    <row r="4842" spans="3:6" x14ac:dyDescent="0.3">
      <c r="C4842" s="3"/>
      <c r="D4842" s="3"/>
      <c r="E4842" s="3"/>
      <c r="F4842" s="3"/>
    </row>
    <row r="4843" spans="3:6" x14ac:dyDescent="0.3">
      <c r="C4843" s="3"/>
      <c r="D4843" s="3"/>
      <c r="E4843" s="3"/>
      <c r="F4843" s="3"/>
    </row>
    <row r="4844" spans="3:6" x14ac:dyDescent="0.3">
      <c r="C4844" s="3"/>
      <c r="D4844" s="3"/>
      <c r="E4844" s="3"/>
      <c r="F4844" s="3"/>
    </row>
    <row r="4845" spans="3:6" x14ac:dyDescent="0.3">
      <c r="C4845" s="3"/>
      <c r="D4845" s="3"/>
      <c r="E4845" s="3"/>
      <c r="F4845" s="3"/>
    </row>
    <row r="4846" spans="3:6" x14ac:dyDescent="0.3">
      <c r="C4846" s="3"/>
      <c r="D4846" s="3"/>
      <c r="E4846" s="3"/>
      <c r="F4846" s="3"/>
    </row>
    <row r="4847" spans="3:6" x14ac:dyDescent="0.3">
      <c r="C4847" s="3"/>
      <c r="D4847" s="3"/>
      <c r="E4847" s="3"/>
      <c r="F4847" s="3"/>
    </row>
    <row r="4848" spans="3:6" x14ac:dyDescent="0.3">
      <c r="C4848" s="3"/>
      <c r="D4848" s="3"/>
      <c r="E4848" s="3"/>
      <c r="F4848" s="3"/>
    </row>
    <row r="4849" spans="3:6" x14ac:dyDescent="0.3">
      <c r="C4849" s="3"/>
      <c r="D4849" s="3"/>
      <c r="E4849" s="3"/>
      <c r="F4849" s="3"/>
    </row>
    <row r="4850" spans="3:6" x14ac:dyDescent="0.3">
      <c r="C4850" s="3"/>
      <c r="D4850" s="3"/>
      <c r="E4850" s="3"/>
      <c r="F4850" s="3"/>
    </row>
    <row r="4851" spans="3:6" x14ac:dyDescent="0.3">
      <c r="C4851" s="3"/>
      <c r="D4851" s="3"/>
      <c r="E4851" s="3"/>
      <c r="F4851" s="3"/>
    </row>
    <row r="4852" spans="3:6" x14ac:dyDescent="0.3">
      <c r="C4852" s="3"/>
      <c r="D4852" s="3"/>
      <c r="E4852" s="3"/>
      <c r="F4852" s="3"/>
    </row>
    <row r="4853" spans="3:6" x14ac:dyDescent="0.3">
      <c r="C4853" s="3"/>
      <c r="D4853" s="3"/>
      <c r="E4853" s="3"/>
      <c r="F4853" s="3"/>
    </row>
    <row r="4854" spans="3:6" x14ac:dyDescent="0.3">
      <c r="C4854" s="3"/>
      <c r="D4854" s="3"/>
      <c r="E4854" s="3"/>
      <c r="F4854" s="3"/>
    </row>
    <row r="4855" spans="3:6" x14ac:dyDescent="0.3">
      <c r="C4855" s="3"/>
      <c r="D4855" s="3"/>
      <c r="E4855" s="3"/>
      <c r="F4855" s="3"/>
    </row>
    <row r="4856" spans="3:6" x14ac:dyDescent="0.3">
      <c r="C4856" s="3"/>
      <c r="D4856" s="3"/>
      <c r="E4856" s="3"/>
      <c r="F4856" s="3"/>
    </row>
    <row r="4857" spans="3:6" x14ac:dyDescent="0.3">
      <c r="C4857" s="3"/>
      <c r="D4857" s="3"/>
      <c r="E4857" s="3"/>
      <c r="F4857" s="3"/>
    </row>
    <row r="4858" spans="3:6" x14ac:dyDescent="0.3">
      <c r="C4858" s="3"/>
      <c r="D4858" s="3"/>
      <c r="E4858" s="3"/>
      <c r="F4858" s="3"/>
    </row>
    <row r="4859" spans="3:6" x14ac:dyDescent="0.3">
      <c r="C4859" s="3"/>
      <c r="D4859" s="3"/>
      <c r="E4859" s="3"/>
      <c r="F4859" s="3"/>
    </row>
    <row r="4860" spans="3:6" x14ac:dyDescent="0.3">
      <c r="C4860" s="3"/>
      <c r="D4860" s="3"/>
      <c r="E4860" s="3"/>
      <c r="F4860" s="3"/>
    </row>
    <row r="4861" spans="3:6" x14ac:dyDescent="0.3">
      <c r="C4861" s="3"/>
      <c r="D4861" s="3"/>
      <c r="E4861" s="3"/>
      <c r="F4861" s="3"/>
    </row>
    <row r="4862" spans="3:6" x14ac:dyDescent="0.3">
      <c r="C4862" s="3"/>
      <c r="D4862" s="3"/>
      <c r="E4862" s="3"/>
      <c r="F4862" s="3"/>
    </row>
    <row r="4863" spans="3:6" x14ac:dyDescent="0.3">
      <c r="C4863" s="3"/>
      <c r="D4863" s="3"/>
      <c r="E4863" s="3"/>
      <c r="F4863" s="3"/>
    </row>
    <row r="4864" spans="3:6" x14ac:dyDescent="0.3">
      <c r="C4864" s="3"/>
      <c r="D4864" s="3"/>
      <c r="E4864" s="3"/>
      <c r="F4864" s="3"/>
    </row>
    <row r="4865" spans="3:6" x14ac:dyDescent="0.3">
      <c r="C4865" s="3"/>
      <c r="D4865" s="3"/>
      <c r="E4865" s="3"/>
      <c r="F4865" s="3"/>
    </row>
    <row r="4866" spans="3:6" x14ac:dyDescent="0.3">
      <c r="C4866" s="3"/>
      <c r="D4866" s="3"/>
      <c r="E4866" s="3"/>
      <c r="F4866" s="3"/>
    </row>
    <row r="4867" spans="3:6" x14ac:dyDescent="0.3">
      <c r="C4867" s="3"/>
      <c r="D4867" s="3"/>
      <c r="E4867" s="3"/>
      <c r="F4867" s="3"/>
    </row>
    <row r="4868" spans="3:6" x14ac:dyDescent="0.3">
      <c r="C4868" s="3"/>
      <c r="D4868" s="3"/>
      <c r="E4868" s="3"/>
      <c r="F4868" s="3"/>
    </row>
    <row r="4869" spans="3:6" x14ac:dyDescent="0.3">
      <c r="C4869" s="3"/>
      <c r="D4869" s="3"/>
      <c r="E4869" s="3"/>
      <c r="F4869" s="3"/>
    </row>
    <row r="4870" spans="3:6" x14ac:dyDescent="0.3">
      <c r="C4870" s="3"/>
      <c r="D4870" s="3"/>
      <c r="E4870" s="3"/>
      <c r="F4870" s="3"/>
    </row>
    <row r="4871" spans="3:6" x14ac:dyDescent="0.3">
      <c r="C4871" s="3"/>
      <c r="D4871" s="3"/>
      <c r="E4871" s="3"/>
      <c r="F4871" s="3"/>
    </row>
    <row r="4872" spans="3:6" x14ac:dyDescent="0.3">
      <c r="C4872" s="3"/>
      <c r="D4872" s="3"/>
      <c r="E4872" s="3"/>
      <c r="F4872" s="3"/>
    </row>
    <row r="4873" spans="3:6" x14ac:dyDescent="0.3">
      <c r="C4873" s="3"/>
      <c r="D4873" s="3"/>
      <c r="E4873" s="3"/>
      <c r="F4873" s="3"/>
    </row>
    <row r="4874" spans="3:6" x14ac:dyDescent="0.3">
      <c r="C4874" s="3"/>
      <c r="D4874" s="3"/>
      <c r="E4874" s="3"/>
      <c r="F4874" s="3"/>
    </row>
    <row r="4875" spans="3:6" x14ac:dyDescent="0.3">
      <c r="C4875" s="3"/>
      <c r="D4875" s="3"/>
      <c r="E4875" s="3"/>
      <c r="F4875" s="3"/>
    </row>
    <row r="4876" spans="3:6" x14ac:dyDescent="0.3">
      <c r="C4876" s="3"/>
      <c r="D4876" s="3"/>
      <c r="E4876" s="3"/>
      <c r="F4876" s="3"/>
    </row>
    <row r="4877" spans="3:6" x14ac:dyDescent="0.3">
      <c r="C4877" s="3"/>
      <c r="D4877" s="3"/>
      <c r="E4877" s="3"/>
      <c r="F4877" s="3"/>
    </row>
    <row r="4878" spans="3:6" x14ac:dyDescent="0.3">
      <c r="C4878" s="3"/>
      <c r="D4878" s="3"/>
      <c r="E4878" s="3"/>
      <c r="F4878" s="3"/>
    </row>
    <row r="4879" spans="3:6" x14ac:dyDescent="0.3">
      <c r="C4879" s="3"/>
      <c r="D4879" s="3"/>
      <c r="E4879" s="3"/>
      <c r="F4879" s="3"/>
    </row>
    <row r="4880" spans="3:6" x14ac:dyDescent="0.3">
      <c r="C4880" s="3"/>
      <c r="D4880" s="3"/>
      <c r="E4880" s="3"/>
      <c r="F4880" s="3"/>
    </row>
    <row r="4881" spans="3:6" x14ac:dyDescent="0.3">
      <c r="C4881" s="3"/>
      <c r="D4881" s="3"/>
      <c r="E4881" s="3"/>
      <c r="F4881" s="3"/>
    </row>
    <row r="4882" spans="3:6" x14ac:dyDescent="0.3">
      <c r="C4882" s="3"/>
      <c r="D4882" s="3"/>
      <c r="E4882" s="3"/>
      <c r="F4882" s="3"/>
    </row>
    <row r="4883" spans="3:6" x14ac:dyDescent="0.3">
      <c r="C4883" s="3"/>
      <c r="D4883" s="3"/>
      <c r="E4883" s="3"/>
      <c r="F4883" s="3"/>
    </row>
    <row r="4884" spans="3:6" x14ac:dyDescent="0.3">
      <c r="C4884" s="3"/>
      <c r="D4884" s="3"/>
      <c r="E4884" s="3"/>
      <c r="F4884" s="3"/>
    </row>
    <row r="4885" spans="3:6" x14ac:dyDescent="0.3">
      <c r="C4885" s="3"/>
      <c r="D4885" s="3"/>
      <c r="E4885" s="3"/>
      <c r="F4885" s="3"/>
    </row>
    <row r="4886" spans="3:6" x14ac:dyDescent="0.3">
      <c r="C4886" s="3"/>
      <c r="D4886" s="3"/>
      <c r="E4886" s="3"/>
      <c r="F4886" s="3"/>
    </row>
    <row r="4887" spans="3:6" x14ac:dyDescent="0.3">
      <c r="C4887" s="3"/>
      <c r="D4887" s="3"/>
      <c r="E4887" s="3"/>
      <c r="F4887" s="3"/>
    </row>
    <row r="4888" spans="3:6" x14ac:dyDescent="0.3">
      <c r="C4888" s="3"/>
      <c r="D4888" s="3"/>
      <c r="E4888" s="3"/>
      <c r="F4888" s="3"/>
    </row>
    <row r="4889" spans="3:6" x14ac:dyDescent="0.3">
      <c r="C4889" s="3"/>
      <c r="D4889" s="3"/>
      <c r="E4889" s="3"/>
      <c r="F4889" s="3"/>
    </row>
    <row r="4890" spans="3:6" x14ac:dyDescent="0.3">
      <c r="C4890" s="3"/>
      <c r="D4890" s="3"/>
      <c r="E4890" s="3"/>
      <c r="F4890" s="3"/>
    </row>
    <row r="4891" spans="3:6" x14ac:dyDescent="0.3">
      <c r="C4891" s="3"/>
      <c r="D4891" s="3"/>
      <c r="E4891" s="3"/>
      <c r="F4891" s="3"/>
    </row>
    <row r="4892" spans="3:6" x14ac:dyDescent="0.3">
      <c r="C4892" s="3"/>
      <c r="D4892" s="3"/>
      <c r="E4892" s="3"/>
      <c r="F4892" s="3"/>
    </row>
    <row r="4893" spans="3:6" x14ac:dyDescent="0.3">
      <c r="C4893" s="3"/>
      <c r="D4893" s="3"/>
      <c r="E4893" s="3"/>
      <c r="F4893" s="3"/>
    </row>
    <row r="4894" spans="3:6" x14ac:dyDescent="0.3">
      <c r="C4894" s="3"/>
      <c r="D4894" s="3"/>
      <c r="E4894" s="3"/>
      <c r="F4894" s="3"/>
    </row>
    <row r="4895" spans="3:6" x14ac:dyDescent="0.3">
      <c r="C4895" s="3"/>
      <c r="D4895" s="3"/>
      <c r="E4895" s="3"/>
      <c r="F4895" s="3"/>
    </row>
    <row r="4896" spans="3:6" x14ac:dyDescent="0.3">
      <c r="C4896" s="3"/>
      <c r="D4896" s="3"/>
      <c r="E4896" s="3"/>
      <c r="F4896" s="3"/>
    </row>
    <row r="4897" spans="3:6" x14ac:dyDescent="0.3">
      <c r="C4897" s="3"/>
      <c r="D4897" s="3"/>
      <c r="E4897" s="3"/>
      <c r="F4897" s="3"/>
    </row>
    <row r="4898" spans="3:6" x14ac:dyDescent="0.3">
      <c r="C4898" s="3"/>
      <c r="D4898" s="3"/>
      <c r="E4898" s="3"/>
      <c r="F4898" s="3"/>
    </row>
    <row r="4899" spans="3:6" x14ac:dyDescent="0.3">
      <c r="C4899" s="3"/>
      <c r="D4899" s="3"/>
      <c r="E4899" s="3"/>
      <c r="F4899" s="3"/>
    </row>
    <row r="4900" spans="3:6" x14ac:dyDescent="0.3">
      <c r="C4900" s="3"/>
      <c r="D4900" s="3"/>
      <c r="E4900" s="3"/>
      <c r="F4900" s="3"/>
    </row>
    <row r="4901" spans="3:6" x14ac:dyDescent="0.3">
      <c r="C4901" s="3"/>
      <c r="D4901" s="3"/>
      <c r="E4901" s="3"/>
      <c r="F4901" s="3"/>
    </row>
    <row r="4902" spans="3:6" x14ac:dyDescent="0.3">
      <c r="C4902" s="3"/>
      <c r="D4902" s="3"/>
      <c r="E4902" s="3"/>
      <c r="F4902" s="3"/>
    </row>
    <row r="4903" spans="3:6" x14ac:dyDescent="0.3">
      <c r="C4903" s="3"/>
      <c r="D4903" s="3"/>
      <c r="E4903" s="3"/>
      <c r="F4903" s="3"/>
    </row>
    <row r="4904" spans="3:6" x14ac:dyDescent="0.3">
      <c r="C4904" s="3"/>
      <c r="D4904" s="3"/>
      <c r="E4904" s="3"/>
      <c r="F4904" s="3"/>
    </row>
    <row r="4905" spans="3:6" x14ac:dyDescent="0.3">
      <c r="C4905" s="3"/>
      <c r="D4905" s="3"/>
      <c r="E4905" s="3"/>
      <c r="F4905" s="3"/>
    </row>
    <row r="4906" spans="3:6" x14ac:dyDescent="0.3">
      <c r="C4906" s="3"/>
      <c r="D4906" s="3"/>
      <c r="E4906" s="3"/>
      <c r="F4906" s="3"/>
    </row>
    <row r="4907" spans="3:6" x14ac:dyDescent="0.3">
      <c r="C4907" s="3"/>
      <c r="D4907" s="3"/>
      <c r="E4907" s="3"/>
      <c r="F4907" s="3"/>
    </row>
    <row r="4908" spans="3:6" x14ac:dyDescent="0.3">
      <c r="C4908" s="3"/>
      <c r="D4908" s="3"/>
      <c r="E4908" s="3"/>
      <c r="F4908" s="3"/>
    </row>
    <row r="4909" spans="3:6" x14ac:dyDescent="0.3">
      <c r="C4909" s="3"/>
      <c r="D4909" s="3"/>
      <c r="E4909" s="3"/>
      <c r="F4909" s="3"/>
    </row>
    <row r="4910" spans="3:6" x14ac:dyDescent="0.3">
      <c r="C4910" s="3"/>
      <c r="D4910" s="3"/>
      <c r="E4910" s="3"/>
      <c r="F4910" s="3"/>
    </row>
    <row r="4911" spans="3:6" x14ac:dyDescent="0.3">
      <c r="C4911" s="3"/>
      <c r="D4911" s="3"/>
      <c r="E4911" s="3"/>
      <c r="F4911" s="3"/>
    </row>
    <row r="4912" spans="3:6" x14ac:dyDescent="0.3">
      <c r="C4912" s="3"/>
      <c r="D4912" s="3"/>
      <c r="E4912" s="3"/>
      <c r="F4912" s="3"/>
    </row>
    <row r="4913" spans="3:6" x14ac:dyDescent="0.3">
      <c r="C4913" s="3"/>
      <c r="D4913" s="3"/>
      <c r="E4913" s="3"/>
      <c r="F4913" s="3"/>
    </row>
    <row r="4914" spans="3:6" x14ac:dyDescent="0.3">
      <c r="C4914" s="3"/>
      <c r="D4914" s="3"/>
      <c r="E4914" s="3"/>
      <c r="F4914" s="3"/>
    </row>
    <row r="4915" spans="3:6" x14ac:dyDescent="0.3">
      <c r="C4915" s="3"/>
      <c r="D4915" s="3"/>
      <c r="E4915" s="3"/>
      <c r="F4915" s="3"/>
    </row>
    <row r="4916" spans="3:6" x14ac:dyDescent="0.3">
      <c r="C4916" s="3"/>
      <c r="D4916" s="3"/>
      <c r="E4916" s="3"/>
      <c r="F4916" s="3"/>
    </row>
    <row r="4917" spans="3:6" x14ac:dyDescent="0.3">
      <c r="C4917" s="3"/>
      <c r="D4917" s="3"/>
      <c r="E4917" s="3"/>
      <c r="F4917" s="3"/>
    </row>
    <row r="4918" spans="3:6" x14ac:dyDescent="0.3">
      <c r="C4918" s="3"/>
      <c r="D4918" s="3"/>
      <c r="E4918" s="3"/>
      <c r="F4918" s="3"/>
    </row>
    <row r="4919" spans="3:6" x14ac:dyDescent="0.3">
      <c r="C4919" s="3"/>
      <c r="D4919" s="3"/>
      <c r="E4919" s="3"/>
      <c r="F4919" s="3"/>
    </row>
    <row r="4920" spans="3:6" x14ac:dyDescent="0.3">
      <c r="C4920" s="3"/>
      <c r="D4920" s="3"/>
      <c r="E4920" s="3"/>
      <c r="F4920" s="3"/>
    </row>
    <row r="4921" spans="3:6" x14ac:dyDescent="0.3">
      <c r="C4921" s="3"/>
      <c r="D4921" s="3"/>
      <c r="E4921" s="3"/>
      <c r="F4921" s="3"/>
    </row>
    <row r="4922" spans="3:6" x14ac:dyDescent="0.3">
      <c r="C4922" s="3"/>
      <c r="D4922" s="3"/>
      <c r="E4922" s="3"/>
      <c r="F4922" s="3"/>
    </row>
    <row r="4923" spans="3:6" x14ac:dyDescent="0.3">
      <c r="C4923" s="3"/>
      <c r="D4923" s="3"/>
      <c r="E4923" s="3"/>
      <c r="F4923" s="3"/>
    </row>
    <row r="4924" spans="3:6" x14ac:dyDescent="0.3">
      <c r="C4924" s="3"/>
      <c r="D4924" s="3"/>
      <c r="E4924" s="3"/>
      <c r="F4924" s="3"/>
    </row>
    <row r="4925" spans="3:6" x14ac:dyDescent="0.3">
      <c r="C4925" s="3"/>
      <c r="D4925" s="3"/>
      <c r="E4925" s="3"/>
      <c r="F4925" s="3"/>
    </row>
    <row r="4926" spans="3:6" x14ac:dyDescent="0.3">
      <c r="C4926" s="3"/>
      <c r="D4926" s="3"/>
      <c r="E4926" s="3"/>
      <c r="F4926" s="3"/>
    </row>
    <row r="4927" spans="3:6" x14ac:dyDescent="0.3">
      <c r="C4927" s="3"/>
      <c r="D4927" s="3"/>
      <c r="E4927" s="3"/>
      <c r="F4927" s="3"/>
    </row>
    <row r="4928" spans="3:6" x14ac:dyDescent="0.3">
      <c r="C4928" s="3"/>
      <c r="D4928" s="3"/>
      <c r="E4928" s="3"/>
      <c r="F4928" s="3"/>
    </row>
    <row r="4929" spans="3:6" x14ac:dyDescent="0.3">
      <c r="C4929" s="3"/>
      <c r="D4929" s="3"/>
      <c r="E4929" s="3"/>
      <c r="F4929" s="3"/>
    </row>
    <row r="4930" spans="3:6" x14ac:dyDescent="0.3">
      <c r="C4930" s="3"/>
      <c r="D4930" s="3"/>
      <c r="E4930" s="3"/>
      <c r="F4930" s="3"/>
    </row>
    <row r="4931" spans="3:6" x14ac:dyDescent="0.3">
      <c r="C4931" s="3"/>
      <c r="D4931" s="3"/>
      <c r="E4931" s="3"/>
      <c r="F4931" s="3"/>
    </row>
    <row r="4932" spans="3:6" x14ac:dyDescent="0.3">
      <c r="C4932" s="3"/>
      <c r="D4932" s="3"/>
      <c r="E4932" s="3"/>
      <c r="F4932" s="3"/>
    </row>
    <row r="4933" spans="3:6" x14ac:dyDescent="0.3">
      <c r="C4933" s="3"/>
      <c r="D4933" s="3"/>
      <c r="E4933" s="3"/>
      <c r="F4933" s="3"/>
    </row>
    <row r="4934" spans="3:6" x14ac:dyDescent="0.3">
      <c r="C4934" s="3"/>
      <c r="D4934" s="3"/>
      <c r="E4934" s="3"/>
      <c r="F4934" s="3"/>
    </row>
    <row r="4935" spans="3:6" x14ac:dyDescent="0.3">
      <c r="C4935" s="3"/>
      <c r="D4935" s="3"/>
      <c r="E4935" s="3"/>
      <c r="F4935" s="3"/>
    </row>
    <row r="4936" spans="3:6" x14ac:dyDescent="0.3">
      <c r="C4936" s="3"/>
      <c r="D4936" s="3"/>
      <c r="E4936" s="3"/>
      <c r="F4936" s="3"/>
    </row>
    <row r="4937" spans="3:6" x14ac:dyDescent="0.3">
      <c r="C4937" s="3"/>
      <c r="D4937" s="3"/>
      <c r="E4937" s="3"/>
      <c r="F4937" s="3"/>
    </row>
    <row r="4938" spans="3:6" x14ac:dyDescent="0.3">
      <c r="C4938" s="3"/>
      <c r="D4938" s="3"/>
      <c r="E4938" s="3"/>
      <c r="F4938" s="3"/>
    </row>
    <row r="4939" spans="3:6" x14ac:dyDescent="0.3">
      <c r="C4939" s="3"/>
      <c r="D4939" s="3"/>
      <c r="E4939" s="3"/>
      <c r="F4939" s="3"/>
    </row>
    <row r="4940" spans="3:6" x14ac:dyDescent="0.3">
      <c r="C4940" s="3"/>
      <c r="D4940" s="3"/>
      <c r="E4940" s="3"/>
      <c r="F4940" s="3"/>
    </row>
    <row r="4941" spans="3:6" x14ac:dyDescent="0.3">
      <c r="C4941" s="3"/>
      <c r="D4941" s="3"/>
      <c r="E4941" s="3"/>
      <c r="F4941" s="3"/>
    </row>
    <row r="4942" spans="3:6" x14ac:dyDescent="0.3">
      <c r="C4942" s="3"/>
      <c r="D4942" s="3"/>
      <c r="E4942" s="3"/>
      <c r="F4942" s="3"/>
    </row>
    <row r="4943" spans="3:6" x14ac:dyDescent="0.3">
      <c r="C4943" s="3"/>
      <c r="D4943" s="3"/>
      <c r="E4943" s="3"/>
      <c r="F4943" s="3"/>
    </row>
    <row r="4944" spans="3:6" x14ac:dyDescent="0.3">
      <c r="C4944" s="3"/>
      <c r="D4944" s="3"/>
      <c r="E4944" s="3"/>
      <c r="F4944" s="3"/>
    </row>
    <row r="4945" spans="3:6" x14ac:dyDescent="0.3">
      <c r="C4945" s="3"/>
      <c r="D4945" s="3"/>
      <c r="E4945" s="3"/>
      <c r="F4945" s="3"/>
    </row>
    <row r="4946" spans="3:6" x14ac:dyDescent="0.3">
      <c r="C4946" s="3"/>
      <c r="D4946" s="3"/>
      <c r="E4946" s="3"/>
      <c r="F4946" s="3"/>
    </row>
    <row r="4947" spans="3:6" x14ac:dyDescent="0.3">
      <c r="C4947" s="3"/>
      <c r="D4947" s="3"/>
      <c r="E4947" s="3"/>
      <c r="F4947" s="3"/>
    </row>
    <row r="4948" spans="3:6" x14ac:dyDescent="0.3">
      <c r="C4948" s="3"/>
      <c r="D4948" s="3"/>
      <c r="E4948" s="3"/>
      <c r="F4948" s="3"/>
    </row>
    <row r="4949" spans="3:6" x14ac:dyDescent="0.3">
      <c r="C4949" s="3"/>
      <c r="D4949" s="3"/>
      <c r="E4949" s="3"/>
      <c r="F4949" s="3"/>
    </row>
    <row r="4950" spans="3:6" x14ac:dyDescent="0.3">
      <c r="C4950" s="3"/>
      <c r="D4950" s="3"/>
      <c r="E4950" s="3"/>
      <c r="F4950" s="3"/>
    </row>
    <row r="4951" spans="3:6" x14ac:dyDescent="0.3">
      <c r="C4951" s="3"/>
      <c r="D4951" s="3"/>
      <c r="E4951" s="3"/>
      <c r="F4951" s="3"/>
    </row>
    <row r="4952" spans="3:6" x14ac:dyDescent="0.3">
      <c r="C4952" s="3"/>
      <c r="D4952" s="3"/>
      <c r="E4952" s="3"/>
      <c r="F4952" s="3"/>
    </row>
    <row r="4953" spans="3:6" x14ac:dyDescent="0.3">
      <c r="C4953" s="3"/>
      <c r="D4953" s="3"/>
      <c r="E4953" s="3"/>
      <c r="F4953" s="3"/>
    </row>
    <row r="4954" spans="3:6" x14ac:dyDescent="0.3">
      <c r="C4954" s="3"/>
      <c r="D4954" s="3"/>
      <c r="E4954" s="3"/>
      <c r="F4954" s="3"/>
    </row>
    <row r="4955" spans="3:6" x14ac:dyDescent="0.3">
      <c r="C4955" s="3"/>
      <c r="D4955" s="3"/>
      <c r="E4955" s="3"/>
      <c r="F4955" s="3"/>
    </row>
    <row r="4956" spans="3:6" x14ac:dyDescent="0.3">
      <c r="C4956" s="3"/>
      <c r="D4956" s="3"/>
      <c r="E4956" s="3"/>
      <c r="F4956" s="3"/>
    </row>
    <row r="4957" spans="3:6" x14ac:dyDescent="0.3">
      <c r="C4957" s="3"/>
      <c r="D4957" s="3"/>
      <c r="E4957" s="3"/>
      <c r="F4957" s="3"/>
    </row>
    <row r="4958" spans="3:6" x14ac:dyDescent="0.3">
      <c r="C4958" s="3"/>
      <c r="D4958" s="3"/>
      <c r="E4958" s="3"/>
      <c r="F4958" s="3"/>
    </row>
    <row r="4959" spans="3:6" x14ac:dyDescent="0.3">
      <c r="C4959" s="3"/>
      <c r="D4959" s="3"/>
      <c r="E4959" s="3"/>
      <c r="F4959" s="3"/>
    </row>
    <row r="4960" spans="3:6" x14ac:dyDescent="0.3">
      <c r="C4960" s="3"/>
      <c r="D4960" s="3"/>
      <c r="E4960" s="3"/>
      <c r="F4960" s="3"/>
    </row>
    <row r="4961" spans="3:6" x14ac:dyDescent="0.3">
      <c r="C4961" s="3"/>
      <c r="D4961" s="3"/>
      <c r="E4961" s="3"/>
      <c r="F4961" s="3"/>
    </row>
    <row r="4962" spans="3:6" x14ac:dyDescent="0.3">
      <c r="C4962" s="3"/>
      <c r="D4962" s="3"/>
      <c r="E4962" s="3"/>
      <c r="F4962" s="3"/>
    </row>
    <row r="4963" spans="3:6" x14ac:dyDescent="0.3">
      <c r="C4963" s="3"/>
      <c r="D4963" s="3"/>
      <c r="E4963" s="3"/>
      <c r="F4963" s="3"/>
    </row>
    <row r="4964" spans="3:6" x14ac:dyDescent="0.3">
      <c r="C4964" s="3"/>
      <c r="D4964" s="3"/>
      <c r="E4964" s="3"/>
      <c r="F4964" s="3"/>
    </row>
    <row r="4965" spans="3:6" x14ac:dyDescent="0.3">
      <c r="C4965" s="3"/>
      <c r="D4965" s="3"/>
      <c r="E4965" s="3"/>
      <c r="F4965" s="3"/>
    </row>
    <row r="4966" spans="3:6" x14ac:dyDescent="0.3">
      <c r="C4966" s="3"/>
      <c r="D4966" s="3"/>
      <c r="E4966" s="3"/>
      <c r="F4966" s="3"/>
    </row>
    <row r="4967" spans="3:6" x14ac:dyDescent="0.3">
      <c r="C4967" s="3"/>
      <c r="D4967" s="3"/>
      <c r="E4967" s="3"/>
      <c r="F4967" s="3"/>
    </row>
    <row r="4968" spans="3:6" x14ac:dyDescent="0.3">
      <c r="C4968" s="3"/>
      <c r="D4968" s="3"/>
      <c r="E4968" s="3"/>
      <c r="F4968" s="3"/>
    </row>
    <row r="4969" spans="3:6" x14ac:dyDescent="0.3">
      <c r="C4969" s="3"/>
      <c r="D4969" s="3"/>
      <c r="E4969" s="3"/>
      <c r="F4969" s="3"/>
    </row>
    <row r="4970" spans="3:6" x14ac:dyDescent="0.3">
      <c r="C4970" s="3"/>
      <c r="D4970" s="3"/>
      <c r="E4970" s="3"/>
      <c r="F4970" s="3"/>
    </row>
    <row r="4971" spans="3:6" x14ac:dyDescent="0.3">
      <c r="C4971" s="3"/>
      <c r="D4971" s="3"/>
      <c r="E4971" s="3"/>
      <c r="F4971" s="3"/>
    </row>
    <row r="4972" spans="3:6" x14ac:dyDescent="0.3">
      <c r="C4972" s="3"/>
      <c r="D4972" s="3"/>
      <c r="E4972" s="3"/>
      <c r="F4972" s="3"/>
    </row>
    <row r="4973" spans="3:6" x14ac:dyDescent="0.3">
      <c r="C4973" s="3"/>
      <c r="D4973" s="3"/>
      <c r="E4973" s="3"/>
      <c r="F4973" s="3"/>
    </row>
    <row r="4974" spans="3:6" x14ac:dyDescent="0.3">
      <c r="C4974" s="3"/>
      <c r="D4974" s="3"/>
      <c r="E4974" s="3"/>
      <c r="F4974" s="3"/>
    </row>
    <row r="4975" spans="3:6" x14ac:dyDescent="0.3">
      <c r="C4975" s="3"/>
      <c r="D4975" s="3"/>
      <c r="E4975" s="3"/>
      <c r="F4975" s="3"/>
    </row>
    <row r="4976" spans="3:6" x14ac:dyDescent="0.3">
      <c r="C4976" s="3"/>
      <c r="D4976" s="3"/>
      <c r="E4976" s="3"/>
      <c r="F4976" s="3"/>
    </row>
    <row r="4977" spans="3:6" x14ac:dyDescent="0.3">
      <c r="C4977" s="3"/>
      <c r="D4977" s="3"/>
      <c r="E4977" s="3"/>
      <c r="F4977" s="3"/>
    </row>
    <row r="4978" spans="3:6" x14ac:dyDescent="0.3">
      <c r="C4978" s="3"/>
      <c r="D4978" s="3"/>
      <c r="E4978" s="3"/>
      <c r="F4978" s="3"/>
    </row>
    <row r="4979" spans="3:6" x14ac:dyDescent="0.3">
      <c r="C4979" s="3"/>
      <c r="D4979" s="3"/>
      <c r="E4979" s="3"/>
      <c r="F4979" s="3"/>
    </row>
    <row r="4980" spans="3:6" x14ac:dyDescent="0.3">
      <c r="C4980" s="3"/>
      <c r="D4980" s="3"/>
      <c r="E4980" s="3"/>
      <c r="F4980" s="3"/>
    </row>
    <row r="4981" spans="3:6" x14ac:dyDescent="0.3">
      <c r="C4981" s="3"/>
      <c r="D4981" s="3"/>
      <c r="E4981" s="3"/>
      <c r="F4981" s="3"/>
    </row>
    <row r="4982" spans="3:6" x14ac:dyDescent="0.3">
      <c r="C4982" s="3"/>
      <c r="D4982" s="3"/>
      <c r="E4982" s="3"/>
      <c r="F4982" s="3"/>
    </row>
    <row r="4983" spans="3:6" x14ac:dyDescent="0.3">
      <c r="C4983" s="3"/>
      <c r="D4983" s="3"/>
      <c r="E4983" s="3"/>
      <c r="F4983" s="3"/>
    </row>
    <row r="4984" spans="3:6" x14ac:dyDescent="0.3">
      <c r="C4984" s="3"/>
      <c r="D4984" s="3"/>
      <c r="E4984" s="3"/>
      <c r="F4984" s="3"/>
    </row>
    <row r="4985" spans="3:6" x14ac:dyDescent="0.3">
      <c r="C4985" s="3"/>
      <c r="D4985" s="3"/>
      <c r="E4985" s="3"/>
      <c r="F4985" s="3"/>
    </row>
    <row r="4986" spans="3:6" x14ac:dyDescent="0.3">
      <c r="C4986" s="3"/>
      <c r="D4986" s="3"/>
      <c r="E4986" s="3"/>
      <c r="F4986" s="3"/>
    </row>
    <row r="4987" spans="3:6" x14ac:dyDescent="0.3">
      <c r="C4987" s="3"/>
      <c r="D4987" s="3"/>
      <c r="E4987" s="3"/>
      <c r="F4987" s="3"/>
    </row>
    <row r="4988" spans="3:6" x14ac:dyDescent="0.3">
      <c r="C4988" s="3"/>
      <c r="D4988" s="3"/>
      <c r="E4988" s="3"/>
      <c r="F4988" s="3"/>
    </row>
    <row r="4989" spans="3:6" x14ac:dyDescent="0.3">
      <c r="C4989" s="3"/>
      <c r="D4989" s="3"/>
      <c r="E4989" s="3"/>
      <c r="F4989" s="3"/>
    </row>
    <row r="4990" spans="3:6" x14ac:dyDescent="0.3">
      <c r="C4990" s="3"/>
      <c r="D4990" s="3"/>
      <c r="E4990" s="3"/>
      <c r="F4990" s="3"/>
    </row>
    <row r="4991" spans="3:6" x14ac:dyDescent="0.3">
      <c r="C4991" s="3"/>
      <c r="D4991" s="3"/>
      <c r="E4991" s="3"/>
      <c r="F4991" s="3"/>
    </row>
    <row r="4992" spans="3:6" x14ac:dyDescent="0.3">
      <c r="C4992" s="3"/>
      <c r="D4992" s="3"/>
      <c r="E4992" s="3"/>
      <c r="F4992" s="3"/>
    </row>
    <row r="4993" spans="3:6" x14ac:dyDescent="0.3">
      <c r="C4993" s="3"/>
      <c r="D4993" s="3"/>
      <c r="E4993" s="3"/>
      <c r="F4993" s="3"/>
    </row>
    <row r="4994" spans="3:6" x14ac:dyDescent="0.3">
      <c r="C4994" s="3"/>
      <c r="D4994" s="3"/>
      <c r="E4994" s="3"/>
      <c r="F4994" s="3"/>
    </row>
    <row r="4995" spans="3:6" x14ac:dyDescent="0.3">
      <c r="C4995" s="3"/>
      <c r="D4995" s="3"/>
      <c r="E4995" s="3"/>
      <c r="F4995" s="3"/>
    </row>
    <row r="4996" spans="3:6" x14ac:dyDescent="0.3">
      <c r="C4996" s="3"/>
      <c r="D4996" s="3"/>
      <c r="E4996" s="3"/>
      <c r="F4996" s="3"/>
    </row>
    <row r="4997" spans="3:6" x14ac:dyDescent="0.3">
      <c r="C4997" s="3"/>
      <c r="D4997" s="3"/>
      <c r="E4997" s="3"/>
      <c r="F4997" s="3"/>
    </row>
    <row r="4998" spans="3:6" x14ac:dyDescent="0.3">
      <c r="C4998" s="3"/>
      <c r="D4998" s="3"/>
      <c r="E4998" s="3"/>
      <c r="F4998" s="3"/>
    </row>
    <row r="4999" spans="3:6" x14ac:dyDescent="0.3">
      <c r="C4999" s="3"/>
      <c r="D4999" s="3"/>
      <c r="E4999" s="3"/>
      <c r="F4999" s="3"/>
    </row>
    <row r="5000" spans="3:6" x14ac:dyDescent="0.3">
      <c r="C5000" s="3"/>
      <c r="D5000" s="3"/>
      <c r="E5000" s="3"/>
      <c r="F5000" s="3"/>
    </row>
    <row r="5001" spans="3:6" x14ac:dyDescent="0.3">
      <c r="C5001" s="3"/>
      <c r="D5001" s="3"/>
      <c r="E5001" s="3"/>
      <c r="F5001" s="3"/>
    </row>
    <row r="5002" spans="3:6" x14ac:dyDescent="0.3">
      <c r="C5002" s="3"/>
      <c r="D5002" s="3"/>
      <c r="E5002" s="3"/>
      <c r="F5002" s="3"/>
    </row>
    <row r="5003" spans="3:6" x14ac:dyDescent="0.3">
      <c r="C5003" s="3"/>
      <c r="D5003" s="3"/>
      <c r="E5003" s="3"/>
      <c r="F5003" s="3"/>
    </row>
    <row r="5004" spans="3:6" x14ac:dyDescent="0.3">
      <c r="C5004" s="3"/>
      <c r="D5004" s="3"/>
      <c r="E5004" s="3"/>
      <c r="F5004" s="3"/>
    </row>
    <row r="5005" spans="3:6" x14ac:dyDescent="0.3">
      <c r="C5005" s="3"/>
      <c r="D5005" s="3"/>
      <c r="E5005" s="3"/>
      <c r="F5005" s="3"/>
    </row>
    <row r="5006" spans="3:6" x14ac:dyDescent="0.3">
      <c r="C5006" s="3"/>
      <c r="D5006" s="3"/>
      <c r="E5006" s="3"/>
      <c r="F5006" s="3"/>
    </row>
    <row r="5007" spans="3:6" x14ac:dyDescent="0.3">
      <c r="C5007" s="3"/>
      <c r="D5007" s="3"/>
      <c r="E5007" s="3"/>
      <c r="F5007" s="3"/>
    </row>
    <row r="5008" spans="3:6" x14ac:dyDescent="0.3">
      <c r="C5008" s="3"/>
      <c r="D5008" s="3"/>
      <c r="E5008" s="3"/>
      <c r="F5008" s="3"/>
    </row>
    <row r="5009" spans="3:6" x14ac:dyDescent="0.3">
      <c r="C5009" s="3"/>
      <c r="D5009" s="3"/>
      <c r="E5009" s="3"/>
      <c r="F5009" s="3"/>
    </row>
    <row r="5010" spans="3:6" x14ac:dyDescent="0.3">
      <c r="C5010" s="3"/>
      <c r="D5010" s="3"/>
      <c r="E5010" s="3"/>
      <c r="F5010" s="3"/>
    </row>
    <row r="5011" spans="3:6" x14ac:dyDescent="0.3">
      <c r="C5011" s="3"/>
      <c r="D5011" s="3"/>
      <c r="E5011" s="3"/>
      <c r="F5011" s="3"/>
    </row>
    <row r="5012" spans="3:6" x14ac:dyDescent="0.3">
      <c r="C5012" s="3"/>
      <c r="D5012" s="3"/>
      <c r="E5012" s="3"/>
      <c r="F5012" s="3"/>
    </row>
    <row r="5013" spans="3:6" x14ac:dyDescent="0.3">
      <c r="C5013" s="3"/>
      <c r="D5013" s="3"/>
      <c r="E5013" s="3"/>
      <c r="F5013" s="3"/>
    </row>
    <row r="5014" spans="3:6" x14ac:dyDescent="0.3">
      <c r="C5014" s="3"/>
      <c r="D5014" s="3"/>
      <c r="E5014" s="3"/>
      <c r="F5014" s="3"/>
    </row>
    <row r="5015" spans="3:6" x14ac:dyDescent="0.3">
      <c r="C5015" s="3"/>
      <c r="D5015" s="3"/>
      <c r="E5015" s="3"/>
      <c r="F5015" s="3"/>
    </row>
    <row r="5016" spans="3:6" x14ac:dyDescent="0.3">
      <c r="C5016" s="3"/>
      <c r="D5016" s="3"/>
      <c r="E5016" s="3"/>
      <c r="F5016" s="3"/>
    </row>
    <row r="5017" spans="3:6" x14ac:dyDescent="0.3">
      <c r="C5017" s="3"/>
      <c r="D5017" s="3"/>
      <c r="E5017" s="3"/>
      <c r="F5017" s="3"/>
    </row>
    <row r="5018" spans="3:6" x14ac:dyDescent="0.3">
      <c r="C5018" s="3"/>
      <c r="D5018" s="3"/>
      <c r="E5018" s="3"/>
      <c r="F5018" s="3"/>
    </row>
    <row r="5019" spans="3:6" x14ac:dyDescent="0.3">
      <c r="C5019" s="3"/>
      <c r="D5019" s="3"/>
      <c r="E5019" s="3"/>
      <c r="F5019" s="3"/>
    </row>
    <row r="5020" spans="3:6" x14ac:dyDescent="0.3">
      <c r="C5020" s="3"/>
      <c r="D5020" s="3"/>
      <c r="E5020" s="3"/>
      <c r="F5020" s="3"/>
    </row>
    <row r="5021" spans="3:6" x14ac:dyDescent="0.3">
      <c r="C5021" s="3"/>
      <c r="D5021" s="3"/>
      <c r="E5021" s="3"/>
      <c r="F5021" s="3"/>
    </row>
    <row r="5022" spans="3:6" x14ac:dyDescent="0.3">
      <c r="C5022" s="3"/>
      <c r="D5022" s="3"/>
      <c r="E5022" s="3"/>
      <c r="F5022" s="3"/>
    </row>
    <row r="5023" spans="3:6" x14ac:dyDescent="0.3">
      <c r="C5023" s="3"/>
      <c r="D5023" s="3"/>
      <c r="E5023" s="3"/>
      <c r="F5023" s="3"/>
    </row>
    <row r="5024" spans="3:6" x14ac:dyDescent="0.3">
      <c r="C5024" s="3"/>
      <c r="D5024" s="3"/>
      <c r="E5024" s="3"/>
      <c r="F5024" s="3"/>
    </row>
    <row r="5025" spans="3:6" x14ac:dyDescent="0.3">
      <c r="C5025" s="3"/>
      <c r="D5025" s="3"/>
      <c r="E5025" s="3"/>
      <c r="F5025" s="3"/>
    </row>
    <row r="5026" spans="3:6" x14ac:dyDescent="0.3">
      <c r="C5026" s="3"/>
      <c r="D5026" s="3"/>
      <c r="E5026" s="3"/>
      <c r="F5026" s="3"/>
    </row>
    <row r="5027" spans="3:6" x14ac:dyDescent="0.3">
      <c r="C5027" s="3"/>
      <c r="D5027" s="3"/>
      <c r="E5027" s="3"/>
      <c r="F5027" s="3"/>
    </row>
    <row r="5028" spans="3:6" x14ac:dyDescent="0.3">
      <c r="C5028" s="3"/>
      <c r="D5028" s="3"/>
      <c r="E5028" s="3"/>
      <c r="F5028" s="3"/>
    </row>
    <row r="5029" spans="3:6" x14ac:dyDescent="0.3">
      <c r="C5029" s="3"/>
      <c r="D5029" s="3"/>
      <c r="E5029" s="3"/>
      <c r="F5029" s="3"/>
    </row>
    <row r="5030" spans="3:6" x14ac:dyDescent="0.3">
      <c r="C5030" s="3"/>
      <c r="D5030" s="3"/>
      <c r="E5030" s="3"/>
      <c r="F5030" s="3"/>
    </row>
    <row r="5031" spans="3:6" x14ac:dyDescent="0.3">
      <c r="C5031" s="3"/>
      <c r="D5031" s="3"/>
      <c r="E5031" s="3"/>
      <c r="F5031" s="3"/>
    </row>
    <row r="5032" spans="3:6" x14ac:dyDescent="0.3">
      <c r="C5032" s="3"/>
      <c r="D5032" s="3"/>
      <c r="E5032" s="3"/>
      <c r="F5032" s="3"/>
    </row>
    <row r="5033" spans="3:6" x14ac:dyDescent="0.3">
      <c r="C5033" s="3"/>
      <c r="D5033" s="3"/>
      <c r="E5033" s="3"/>
      <c r="F5033" s="3"/>
    </row>
    <row r="5034" spans="3:6" x14ac:dyDescent="0.3">
      <c r="C5034" s="3"/>
      <c r="D5034" s="3"/>
      <c r="E5034" s="3"/>
      <c r="F5034" s="3"/>
    </row>
    <row r="5035" spans="3:6" x14ac:dyDescent="0.3">
      <c r="C5035" s="3"/>
      <c r="D5035" s="3"/>
      <c r="E5035" s="3"/>
      <c r="F5035" s="3"/>
    </row>
    <row r="5036" spans="3:6" x14ac:dyDescent="0.3">
      <c r="C5036" s="3"/>
      <c r="D5036" s="3"/>
      <c r="E5036" s="3"/>
      <c r="F5036" s="3"/>
    </row>
    <row r="5037" spans="3:6" x14ac:dyDescent="0.3">
      <c r="C5037" s="3"/>
      <c r="D5037" s="3"/>
      <c r="E5037" s="3"/>
      <c r="F5037" s="3"/>
    </row>
    <row r="5038" spans="3:6" x14ac:dyDescent="0.3">
      <c r="C5038" s="3"/>
      <c r="D5038" s="3"/>
      <c r="E5038" s="3"/>
      <c r="F5038" s="3"/>
    </row>
    <row r="5039" spans="3:6" x14ac:dyDescent="0.3">
      <c r="C5039" s="3"/>
      <c r="D5039" s="3"/>
      <c r="E5039" s="3"/>
      <c r="F5039" s="3"/>
    </row>
    <row r="5040" spans="3:6" x14ac:dyDescent="0.3">
      <c r="C5040" s="3"/>
      <c r="D5040" s="3"/>
      <c r="E5040" s="3"/>
      <c r="F5040" s="3"/>
    </row>
    <row r="5041" spans="3:6" x14ac:dyDescent="0.3">
      <c r="C5041" s="3"/>
      <c r="D5041" s="3"/>
      <c r="E5041" s="3"/>
      <c r="F5041" s="3"/>
    </row>
    <row r="5042" spans="3:6" x14ac:dyDescent="0.3">
      <c r="C5042" s="3"/>
      <c r="D5042" s="3"/>
      <c r="E5042" s="3"/>
      <c r="F5042" s="3"/>
    </row>
    <row r="5043" spans="3:6" x14ac:dyDescent="0.3">
      <c r="C5043" s="3"/>
      <c r="D5043" s="3"/>
      <c r="E5043" s="3"/>
      <c r="F5043" s="3"/>
    </row>
    <row r="5044" spans="3:6" x14ac:dyDescent="0.3">
      <c r="C5044" s="3"/>
      <c r="D5044" s="3"/>
      <c r="E5044" s="3"/>
      <c r="F5044" s="3"/>
    </row>
    <row r="5045" spans="3:6" x14ac:dyDescent="0.3">
      <c r="C5045" s="3"/>
      <c r="D5045" s="3"/>
      <c r="E5045" s="3"/>
      <c r="F5045" s="3"/>
    </row>
    <row r="5046" spans="3:6" x14ac:dyDescent="0.3">
      <c r="C5046" s="3"/>
      <c r="D5046" s="3"/>
      <c r="E5046" s="3"/>
      <c r="F5046" s="3"/>
    </row>
    <row r="5047" spans="3:6" x14ac:dyDescent="0.3">
      <c r="C5047" s="3"/>
      <c r="D5047" s="3"/>
      <c r="E5047" s="3"/>
      <c r="F5047" s="3"/>
    </row>
    <row r="5048" spans="3:6" x14ac:dyDescent="0.3">
      <c r="C5048" s="3"/>
      <c r="D5048" s="3"/>
      <c r="E5048" s="3"/>
      <c r="F5048" s="3"/>
    </row>
    <row r="5049" spans="3:6" x14ac:dyDescent="0.3">
      <c r="C5049" s="3"/>
      <c r="D5049" s="3"/>
      <c r="E5049" s="3"/>
      <c r="F5049" s="3"/>
    </row>
    <row r="5050" spans="3:6" x14ac:dyDescent="0.3">
      <c r="C5050" s="3"/>
      <c r="D5050" s="3"/>
      <c r="E5050" s="3"/>
      <c r="F5050" s="3"/>
    </row>
    <row r="5051" spans="3:6" x14ac:dyDescent="0.3">
      <c r="C5051" s="3"/>
      <c r="D5051" s="3"/>
      <c r="E5051" s="3"/>
      <c r="F5051" s="3"/>
    </row>
    <row r="5052" spans="3:6" x14ac:dyDescent="0.3">
      <c r="C5052" s="3"/>
      <c r="D5052" s="3"/>
      <c r="E5052" s="3"/>
      <c r="F5052" s="3"/>
    </row>
    <row r="5053" spans="3:6" x14ac:dyDescent="0.3">
      <c r="C5053" s="3"/>
      <c r="D5053" s="3"/>
      <c r="E5053" s="3"/>
      <c r="F5053" s="3"/>
    </row>
    <row r="5054" spans="3:6" x14ac:dyDescent="0.3">
      <c r="C5054" s="3"/>
      <c r="D5054" s="3"/>
      <c r="E5054" s="3"/>
      <c r="F5054" s="3"/>
    </row>
    <row r="5055" spans="3:6" x14ac:dyDescent="0.3">
      <c r="C5055" s="3"/>
      <c r="D5055" s="3"/>
      <c r="E5055" s="3"/>
      <c r="F5055" s="3"/>
    </row>
    <row r="5056" spans="3:6" x14ac:dyDescent="0.3">
      <c r="C5056" s="3"/>
      <c r="D5056" s="3"/>
      <c r="E5056" s="3"/>
      <c r="F5056" s="3"/>
    </row>
    <row r="5057" spans="3:6" x14ac:dyDescent="0.3">
      <c r="C5057" s="3"/>
      <c r="D5057" s="3"/>
      <c r="E5057" s="3"/>
      <c r="F5057" s="3"/>
    </row>
    <row r="5058" spans="3:6" x14ac:dyDescent="0.3">
      <c r="C5058" s="3"/>
      <c r="D5058" s="3"/>
      <c r="E5058" s="3"/>
      <c r="F5058" s="3"/>
    </row>
    <row r="5059" spans="3:6" x14ac:dyDescent="0.3">
      <c r="C5059" s="3"/>
      <c r="D5059" s="3"/>
      <c r="E5059" s="3"/>
      <c r="F5059" s="3"/>
    </row>
    <row r="5060" spans="3:6" x14ac:dyDescent="0.3">
      <c r="C5060" s="3"/>
      <c r="D5060" s="3"/>
      <c r="E5060" s="3"/>
      <c r="F5060" s="3"/>
    </row>
    <row r="5061" spans="3:6" x14ac:dyDescent="0.3">
      <c r="C5061" s="3"/>
      <c r="D5061" s="3"/>
      <c r="E5061" s="3"/>
      <c r="F5061" s="3"/>
    </row>
    <row r="5062" spans="3:6" x14ac:dyDescent="0.3">
      <c r="C5062" s="3"/>
      <c r="D5062" s="3"/>
      <c r="E5062" s="3"/>
      <c r="F5062" s="3"/>
    </row>
    <row r="5063" spans="3:6" x14ac:dyDescent="0.3">
      <c r="C5063" s="3"/>
      <c r="D5063" s="3"/>
      <c r="E5063" s="3"/>
      <c r="F5063" s="3"/>
    </row>
    <row r="5064" spans="3:6" x14ac:dyDescent="0.3">
      <c r="C5064" s="3"/>
      <c r="D5064" s="3"/>
      <c r="E5064" s="3"/>
      <c r="F5064" s="3"/>
    </row>
    <row r="5065" spans="3:6" x14ac:dyDescent="0.3">
      <c r="C5065" s="3"/>
      <c r="D5065" s="3"/>
      <c r="E5065" s="3"/>
      <c r="F5065" s="3"/>
    </row>
    <row r="5066" spans="3:6" x14ac:dyDescent="0.3">
      <c r="C5066" s="3"/>
      <c r="D5066" s="3"/>
      <c r="E5066" s="3"/>
      <c r="F5066" s="3"/>
    </row>
    <row r="5067" spans="3:6" x14ac:dyDescent="0.3">
      <c r="C5067" s="3"/>
      <c r="D5067" s="3"/>
      <c r="E5067" s="3"/>
      <c r="F5067" s="3"/>
    </row>
    <row r="5068" spans="3:6" x14ac:dyDescent="0.3">
      <c r="C5068" s="3"/>
      <c r="D5068" s="3"/>
      <c r="E5068" s="3"/>
      <c r="F5068" s="3"/>
    </row>
    <row r="5069" spans="3:6" x14ac:dyDescent="0.3">
      <c r="C5069" s="3"/>
      <c r="D5069" s="3"/>
      <c r="E5069" s="3"/>
      <c r="F5069" s="3"/>
    </row>
    <row r="5070" spans="3:6" x14ac:dyDescent="0.3">
      <c r="C5070" s="3"/>
      <c r="D5070" s="3"/>
      <c r="E5070" s="3"/>
      <c r="F5070" s="3"/>
    </row>
    <row r="5071" spans="3:6" x14ac:dyDescent="0.3">
      <c r="C5071" s="3"/>
      <c r="D5071" s="3"/>
      <c r="E5071" s="3"/>
      <c r="F5071" s="3"/>
    </row>
    <row r="5072" spans="3:6" x14ac:dyDescent="0.3">
      <c r="C5072" s="3"/>
      <c r="D5072" s="3"/>
      <c r="E5072" s="3"/>
      <c r="F5072" s="3"/>
    </row>
    <row r="5073" spans="3:6" x14ac:dyDescent="0.3">
      <c r="C5073" s="3"/>
      <c r="D5073" s="3"/>
      <c r="E5073" s="3"/>
      <c r="F5073" s="3"/>
    </row>
    <row r="5074" spans="3:6" x14ac:dyDescent="0.3">
      <c r="C5074" s="3"/>
      <c r="D5074" s="3"/>
      <c r="E5074" s="3"/>
      <c r="F5074" s="3"/>
    </row>
    <row r="5075" spans="3:6" x14ac:dyDescent="0.3">
      <c r="C5075" s="3"/>
      <c r="D5075" s="3"/>
      <c r="E5075" s="3"/>
      <c r="F5075" s="3"/>
    </row>
    <row r="5076" spans="3:6" x14ac:dyDescent="0.3">
      <c r="C5076" s="3"/>
      <c r="D5076" s="3"/>
      <c r="E5076" s="3"/>
      <c r="F5076" s="3"/>
    </row>
    <row r="5077" spans="3:6" x14ac:dyDescent="0.3">
      <c r="C5077" s="3"/>
      <c r="D5077" s="3"/>
      <c r="E5077" s="3"/>
      <c r="F5077" s="3"/>
    </row>
    <row r="5078" spans="3:6" x14ac:dyDescent="0.3">
      <c r="C5078" s="3"/>
      <c r="D5078" s="3"/>
      <c r="E5078" s="3"/>
      <c r="F5078" s="3"/>
    </row>
    <row r="5079" spans="3:6" x14ac:dyDescent="0.3">
      <c r="C5079" s="3"/>
      <c r="D5079" s="3"/>
      <c r="E5079" s="3"/>
      <c r="F5079" s="3"/>
    </row>
    <row r="5080" spans="3:6" x14ac:dyDescent="0.3">
      <c r="C5080" s="3"/>
      <c r="D5080" s="3"/>
      <c r="E5080" s="3"/>
      <c r="F5080" s="3"/>
    </row>
    <row r="5081" spans="3:6" x14ac:dyDescent="0.3">
      <c r="C5081" s="3"/>
      <c r="D5081" s="3"/>
      <c r="E5081" s="3"/>
      <c r="F5081" s="3"/>
    </row>
    <row r="5082" spans="3:6" x14ac:dyDescent="0.3">
      <c r="C5082" s="3"/>
      <c r="D5082" s="3"/>
      <c r="E5082" s="3"/>
      <c r="F5082" s="3"/>
    </row>
    <row r="5083" spans="3:6" x14ac:dyDescent="0.3">
      <c r="C5083" s="3"/>
      <c r="D5083" s="3"/>
      <c r="E5083" s="3"/>
      <c r="F5083" s="3"/>
    </row>
    <row r="5084" spans="3:6" x14ac:dyDescent="0.3">
      <c r="C5084" s="3"/>
      <c r="D5084" s="3"/>
      <c r="E5084" s="3"/>
      <c r="F5084" s="3"/>
    </row>
    <row r="5085" spans="3:6" x14ac:dyDescent="0.3">
      <c r="C5085" s="3"/>
      <c r="D5085" s="3"/>
      <c r="E5085" s="3"/>
      <c r="F5085" s="3"/>
    </row>
    <row r="5086" spans="3:6" x14ac:dyDescent="0.3">
      <c r="C5086" s="3"/>
      <c r="D5086" s="3"/>
      <c r="E5086" s="3"/>
      <c r="F5086" s="3"/>
    </row>
    <row r="5087" spans="3:6" x14ac:dyDescent="0.3">
      <c r="C5087" s="3"/>
      <c r="D5087" s="3"/>
      <c r="E5087" s="3"/>
      <c r="F5087" s="3"/>
    </row>
    <row r="5088" spans="3:6" x14ac:dyDescent="0.3">
      <c r="C5088" s="3"/>
      <c r="D5088" s="3"/>
      <c r="E5088" s="3"/>
      <c r="F5088" s="3"/>
    </row>
    <row r="5089" spans="3:6" x14ac:dyDescent="0.3">
      <c r="C5089" s="3"/>
      <c r="D5089" s="3"/>
      <c r="E5089" s="3"/>
      <c r="F5089" s="3"/>
    </row>
    <row r="5090" spans="3:6" x14ac:dyDescent="0.3">
      <c r="C5090" s="3"/>
      <c r="D5090" s="3"/>
      <c r="E5090" s="3"/>
      <c r="F5090" s="3"/>
    </row>
    <row r="5091" spans="3:6" x14ac:dyDescent="0.3">
      <c r="C5091" s="3"/>
      <c r="D5091" s="3"/>
      <c r="E5091" s="3"/>
      <c r="F5091" s="3"/>
    </row>
    <row r="5092" spans="3:6" x14ac:dyDescent="0.3">
      <c r="C5092" s="3"/>
      <c r="D5092" s="3"/>
      <c r="E5092" s="3"/>
      <c r="F5092" s="3"/>
    </row>
    <row r="5093" spans="3:6" x14ac:dyDescent="0.3">
      <c r="C5093" s="3"/>
      <c r="D5093" s="3"/>
      <c r="E5093" s="3"/>
      <c r="F5093" s="3"/>
    </row>
    <row r="5094" spans="3:6" x14ac:dyDescent="0.3">
      <c r="C5094" s="3"/>
      <c r="D5094" s="3"/>
      <c r="E5094" s="3"/>
      <c r="F5094" s="3"/>
    </row>
    <row r="5095" spans="3:6" x14ac:dyDescent="0.3">
      <c r="C5095" s="3"/>
      <c r="D5095" s="3"/>
      <c r="E5095" s="3"/>
      <c r="F5095" s="3"/>
    </row>
    <row r="5096" spans="3:6" x14ac:dyDescent="0.3">
      <c r="C5096" s="3"/>
      <c r="D5096" s="3"/>
      <c r="E5096" s="3"/>
      <c r="F5096" s="3"/>
    </row>
    <row r="5097" spans="3:6" x14ac:dyDescent="0.3">
      <c r="C5097" s="3"/>
      <c r="D5097" s="3"/>
      <c r="E5097" s="3"/>
      <c r="F5097" s="3"/>
    </row>
    <row r="5098" spans="3:6" x14ac:dyDescent="0.3">
      <c r="C5098" s="3"/>
      <c r="D5098" s="3"/>
      <c r="E5098" s="3"/>
      <c r="F5098" s="3"/>
    </row>
    <row r="5099" spans="3:6" x14ac:dyDescent="0.3">
      <c r="C5099" s="3"/>
      <c r="D5099" s="3"/>
      <c r="E5099" s="3"/>
      <c r="F5099" s="3"/>
    </row>
    <row r="5100" spans="3:6" x14ac:dyDescent="0.3">
      <c r="C5100" s="3"/>
      <c r="D5100" s="3"/>
      <c r="E5100" s="3"/>
      <c r="F5100" s="3"/>
    </row>
    <row r="5101" spans="3:6" x14ac:dyDescent="0.3">
      <c r="C5101" s="3"/>
      <c r="D5101" s="3"/>
      <c r="E5101" s="3"/>
      <c r="F5101" s="3"/>
    </row>
    <row r="5102" spans="3:6" x14ac:dyDescent="0.3">
      <c r="C5102" s="3"/>
      <c r="D5102" s="3"/>
      <c r="E5102" s="3"/>
      <c r="F5102" s="3"/>
    </row>
    <row r="5103" spans="3:6" x14ac:dyDescent="0.3">
      <c r="C5103" s="3"/>
      <c r="D5103" s="3"/>
      <c r="E5103" s="3"/>
      <c r="F5103" s="3"/>
    </row>
    <row r="5104" spans="3:6" x14ac:dyDescent="0.3">
      <c r="C5104" s="3"/>
      <c r="D5104" s="3"/>
      <c r="E5104" s="3"/>
      <c r="F5104" s="3"/>
    </row>
    <row r="5105" spans="3:6" x14ac:dyDescent="0.3">
      <c r="C5105" s="3"/>
      <c r="D5105" s="3"/>
      <c r="E5105" s="3"/>
      <c r="F5105" s="3"/>
    </row>
    <row r="5106" spans="3:6" x14ac:dyDescent="0.3">
      <c r="C5106" s="3"/>
      <c r="D5106" s="3"/>
      <c r="E5106" s="3"/>
      <c r="F5106" s="3"/>
    </row>
    <row r="5107" spans="3:6" x14ac:dyDescent="0.3">
      <c r="C5107" s="3"/>
      <c r="D5107" s="3"/>
      <c r="E5107" s="3"/>
      <c r="F5107" s="3"/>
    </row>
    <row r="5108" spans="3:6" x14ac:dyDescent="0.3">
      <c r="C5108" s="3"/>
      <c r="D5108" s="3"/>
      <c r="E5108" s="3"/>
      <c r="F5108" s="3"/>
    </row>
    <row r="5109" spans="3:6" x14ac:dyDescent="0.3">
      <c r="C5109" s="3"/>
      <c r="D5109" s="3"/>
      <c r="E5109" s="3"/>
      <c r="F5109" s="3"/>
    </row>
    <row r="5110" spans="3:6" x14ac:dyDescent="0.3">
      <c r="C5110" s="3"/>
      <c r="D5110" s="3"/>
      <c r="E5110" s="3"/>
      <c r="F5110" s="3"/>
    </row>
    <row r="5111" spans="3:6" x14ac:dyDescent="0.3">
      <c r="C5111" s="3"/>
      <c r="D5111" s="3"/>
      <c r="E5111" s="3"/>
      <c r="F5111" s="3"/>
    </row>
    <row r="5112" spans="3:6" x14ac:dyDescent="0.3">
      <c r="C5112" s="3"/>
      <c r="D5112" s="3"/>
      <c r="E5112" s="3"/>
      <c r="F5112" s="3"/>
    </row>
    <row r="5113" spans="3:6" x14ac:dyDescent="0.3">
      <c r="C5113" s="3"/>
      <c r="D5113" s="3"/>
      <c r="E5113" s="3"/>
      <c r="F5113" s="3"/>
    </row>
    <row r="5114" spans="3:6" x14ac:dyDescent="0.3">
      <c r="C5114" s="3"/>
      <c r="D5114" s="3"/>
      <c r="E5114" s="3"/>
      <c r="F5114" s="3"/>
    </row>
    <row r="5115" spans="3:6" x14ac:dyDescent="0.3">
      <c r="C5115" s="3"/>
      <c r="D5115" s="3"/>
      <c r="E5115" s="3"/>
      <c r="F5115" s="3"/>
    </row>
    <row r="5116" spans="3:6" x14ac:dyDescent="0.3">
      <c r="C5116" s="3"/>
      <c r="D5116" s="3"/>
      <c r="E5116" s="3"/>
      <c r="F5116" s="3"/>
    </row>
    <row r="5117" spans="3:6" x14ac:dyDescent="0.3">
      <c r="C5117" s="3"/>
      <c r="D5117" s="3"/>
      <c r="E5117" s="3"/>
      <c r="F5117" s="3"/>
    </row>
    <row r="5118" spans="3:6" x14ac:dyDescent="0.3">
      <c r="C5118" s="3"/>
      <c r="D5118" s="3"/>
      <c r="E5118" s="3"/>
      <c r="F5118" s="3"/>
    </row>
    <row r="5119" spans="3:6" x14ac:dyDescent="0.3">
      <c r="C5119" s="3"/>
      <c r="D5119" s="3"/>
      <c r="E5119" s="3"/>
      <c r="F5119" s="3"/>
    </row>
    <row r="5120" spans="3:6" x14ac:dyDescent="0.3">
      <c r="C5120" s="3"/>
      <c r="D5120" s="3"/>
      <c r="E5120" s="3"/>
      <c r="F5120" s="3"/>
    </row>
    <row r="5121" spans="3:6" x14ac:dyDescent="0.3">
      <c r="C5121" s="3"/>
      <c r="D5121" s="3"/>
      <c r="E5121" s="3"/>
      <c r="F5121" s="3"/>
    </row>
    <row r="5122" spans="3:6" x14ac:dyDescent="0.3">
      <c r="C5122" s="3"/>
      <c r="D5122" s="3"/>
      <c r="E5122" s="3"/>
      <c r="F5122" s="3"/>
    </row>
    <row r="5123" spans="3:6" x14ac:dyDescent="0.3">
      <c r="C5123" s="3"/>
      <c r="D5123" s="3"/>
      <c r="E5123" s="3"/>
      <c r="F5123" s="3"/>
    </row>
    <row r="5124" spans="3:6" x14ac:dyDescent="0.3">
      <c r="C5124" s="3"/>
      <c r="D5124" s="3"/>
      <c r="E5124" s="3"/>
      <c r="F5124" s="3"/>
    </row>
    <row r="5125" spans="3:6" x14ac:dyDescent="0.3">
      <c r="C5125" s="3"/>
      <c r="D5125" s="3"/>
      <c r="E5125" s="3"/>
      <c r="F5125" s="3"/>
    </row>
    <row r="5126" spans="3:6" x14ac:dyDescent="0.3">
      <c r="C5126" s="3"/>
      <c r="D5126" s="3"/>
      <c r="E5126" s="3"/>
      <c r="F5126" s="3"/>
    </row>
    <row r="5127" spans="3:6" x14ac:dyDescent="0.3">
      <c r="C5127" s="3"/>
      <c r="D5127" s="3"/>
      <c r="E5127" s="3"/>
      <c r="F5127" s="3"/>
    </row>
    <row r="5128" spans="3:6" x14ac:dyDescent="0.3">
      <c r="C5128" s="3"/>
      <c r="D5128" s="3"/>
      <c r="E5128" s="3"/>
      <c r="F5128" s="3"/>
    </row>
    <row r="5129" spans="3:6" x14ac:dyDescent="0.3">
      <c r="C5129" s="3"/>
      <c r="D5129" s="3"/>
      <c r="E5129" s="3"/>
      <c r="F5129" s="3"/>
    </row>
    <row r="5130" spans="3:6" x14ac:dyDescent="0.3">
      <c r="C5130" s="3"/>
      <c r="D5130" s="3"/>
      <c r="E5130" s="3"/>
      <c r="F5130" s="3"/>
    </row>
    <row r="5131" spans="3:6" x14ac:dyDescent="0.3">
      <c r="C5131" s="3"/>
      <c r="D5131" s="3"/>
      <c r="E5131" s="3"/>
      <c r="F5131" s="3"/>
    </row>
    <row r="5132" spans="3:6" x14ac:dyDescent="0.3">
      <c r="C5132" s="3"/>
      <c r="D5132" s="3"/>
      <c r="E5132" s="3"/>
      <c r="F5132" s="3"/>
    </row>
    <row r="5133" spans="3:6" x14ac:dyDescent="0.3">
      <c r="C5133" s="3"/>
      <c r="D5133" s="3"/>
      <c r="E5133" s="3"/>
      <c r="F5133" s="3"/>
    </row>
    <row r="5134" spans="3:6" x14ac:dyDescent="0.3">
      <c r="C5134" s="3"/>
      <c r="D5134" s="3"/>
      <c r="E5134" s="3"/>
      <c r="F5134" s="3"/>
    </row>
    <row r="5135" spans="3:6" x14ac:dyDescent="0.3">
      <c r="C5135" s="3"/>
      <c r="D5135" s="3"/>
      <c r="E5135" s="3"/>
      <c r="F5135" s="3"/>
    </row>
    <row r="5136" spans="3:6" x14ac:dyDescent="0.3">
      <c r="C5136" s="3"/>
      <c r="D5136" s="3"/>
      <c r="E5136" s="3"/>
      <c r="F5136" s="3"/>
    </row>
    <row r="5137" spans="3:6" x14ac:dyDescent="0.3">
      <c r="C5137" s="3"/>
      <c r="D5137" s="3"/>
      <c r="E5137" s="3"/>
      <c r="F5137" s="3"/>
    </row>
    <row r="5138" spans="3:6" x14ac:dyDescent="0.3">
      <c r="C5138" s="3"/>
      <c r="D5138" s="3"/>
      <c r="E5138" s="3"/>
      <c r="F5138" s="3"/>
    </row>
    <row r="5139" spans="3:6" x14ac:dyDescent="0.3">
      <c r="C5139" s="3"/>
      <c r="D5139" s="3"/>
      <c r="E5139" s="3"/>
      <c r="F5139" s="3"/>
    </row>
    <row r="5140" spans="3:6" x14ac:dyDescent="0.3">
      <c r="C5140" s="3"/>
      <c r="D5140" s="3"/>
      <c r="E5140" s="3"/>
      <c r="F5140" s="3"/>
    </row>
    <row r="5141" spans="3:6" x14ac:dyDescent="0.3">
      <c r="C5141" s="3"/>
      <c r="D5141" s="3"/>
      <c r="E5141" s="3"/>
      <c r="F5141" s="3"/>
    </row>
    <row r="5142" spans="3:6" x14ac:dyDescent="0.3">
      <c r="C5142" s="3"/>
      <c r="D5142" s="3"/>
      <c r="E5142" s="3"/>
      <c r="F5142" s="3"/>
    </row>
    <row r="5143" spans="3:6" x14ac:dyDescent="0.3">
      <c r="C5143" s="3"/>
      <c r="D5143" s="3"/>
      <c r="E5143" s="3"/>
      <c r="F5143" s="3"/>
    </row>
    <row r="5144" spans="3:6" x14ac:dyDescent="0.3">
      <c r="C5144" s="3"/>
      <c r="D5144" s="3"/>
      <c r="E5144" s="3"/>
      <c r="F5144" s="3"/>
    </row>
    <row r="5145" spans="3:6" x14ac:dyDescent="0.3">
      <c r="C5145" s="3"/>
      <c r="D5145" s="3"/>
      <c r="E5145" s="3"/>
      <c r="F5145" s="3"/>
    </row>
    <row r="5146" spans="3:6" x14ac:dyDescent="0.3">
      <c r="C5146" s="3"/>
      <c r="D5146" s="3"/>
      <c r="E5146" s="3"/>
      <c r="F5146" s="3"/>
    </row>
    <row r="5147" spans="3:6" x14ac:dyDescent="0.3">
      <c r="C5147" s="3"/>
      <c r="D5147" s="3"/>
      <c r="E5147" s="3"/>
      <c r="F5147" s="3"/>
    </row>
    <row r="5148" spans="3:6" x14ac:dyDescent="0.3">
      <c r="C5148" s="3"/>
      <c r="D5148" s="3"/>
      <c r="E5148" s="3"/>
      <c r="F5148" s="3"/>
    </row>
    <row r="5149" spans="3:6" x14ac:dyDescent="0.3">
      <c r="C5149" s="3"/>
      <c r="D5149" s="3"/>
      <c r="E5149" s="3"/>
      <c r="F5149" s="3"/>
    </row>
    <row r="5150" spans="3:6" x14ac:dyDescent="0.3">
      <c r="C5150" s="3"/>
      <c r="D5150" s="3"/>
      <c r="E5150" s="3"/>
      <c r="F5150" s="3"/>
    </row>
    <row r="5151" spans="3:6" x14ac:dyDescent="0.3">
      <c r="C5151" s="3"/>
      <c r="D5151" s="3"/>
      <c r="E5151" s="3"/>
      <c r="F5151" s="3"/>
    </row>
    <row r="5152" spans="3:6" x14ac:dyDescent="0.3">
      <c r="C5152" s="3"/>
      <c r="D5152" s="3"/>
      <c r="E5152" s="3"/>
      <c r="F5152" s="3"/>
    </row>
    <row r="5153" spans="3:6" x14ac:dyDescent="0.3">
      <c r="C5153" s="3"/>
      <c r="D5153" s="3"/>
      <c r="E5153" s="3"/>
      <c r="F5153" s="3"/>
    </row>
    <row r="5154" spans="3:6" x14ac:dyDescent="0.3">
      <c r="C5154" s="3"/>
      <c r="D5154" s="3"/>
      <c r="E5154" s="3"/>
      <c r="F5154" s="3"/>
    </row>
    <row r="5155" spans="3:6" x14ac:dyDescent="0.3">
      <c r="C5155" s="3"/>
      <c r="D5155" s="3"/>
      <c r="E5155" s="3"/>
      <c r="F5155" s="3"/>
    </row>
    <row r="5156" spans="3:6" x14ac:dyDescent="0.3">
      <c r="C5156" s="3"/>
      <c r="D5156" s="3"/>
      <c r="E5156" s="3"/>
      <c r="F5156" s="3"/>
    </row>
    <row r="5157" spans="3:6" x14ac:dyDescent="0.3">
      <c r="C5157" s="3"/>
      <c r="D5157" s="3"/>
      <c r="E5157" s="3"/>
      <c r="F5157" s="3"/>
    </row>
    <row r="5158" spans="3:6" x14ac:dyDescent="0.3">
      <c r="C5158" s="3"/>
      <c r="D5158" s="3"/>
      <c r="E5158" s="3"/>
      <c r="F5158" s="3"/>
    </row>
    <row r="5159" spans="3:6" x14ac:dyDescent="0.3">
      <c r="C5159" s="3"/>
      <c r="D5159" s="3"/>
      <c r="E5159" s="3"/>
      <c r="F5159" s="3"/>
    </row>
    <row r="5160" spans="3:6" x14ac:dyDescent="0.3">
      <c r="C5160" s="3"/>
      <c r="D5160" s="3"/>
      <c r="E5160" s="3"/>
      <c r="F5160" s="3"/>
    </row>
    <row r="5161" spans="3:6" x14ac:dyDescent="0.3">
      <c r="C5161" s="3"/>
      <c r="D5161" s="3"/>
      <c r="E5161" s="3"/>
      <c r="F5161" s="3"/>
    </row>
    <row r="5162" spans="3:6" x14ac:dyDescent="0.3">
      <c r="C5162" s="3"/>
      <c r="D5162" s="3"/>
      <c r="E5162" s="3"/>
      <c r="F5162" s="3"/>
    </row>
    <row r="5163" spans="3:6" x14ac:dyDescent="0.3">
      <c r="C5163" s="3"/>
      <c r="D5163" s="3"/>
      <c r="E5163" s="3"/>
      <c r="F5163" s="3"/>
    </row>
    <row r="5164" spans="3:6" x14ac:dyDescent="0.3">
      <c r="C5164" s="3"/>
      <c r="D5164" s="3"/>
      <c r="E5164" s="3"/>
      <c r="F5164" s="3"/>
    </row>
    <row r="5165" spans="3:6" x14ac:dyDescent="0.3">
      <c r="C5165" s="3"/>
      <c r="D5165" s="3"/>
      <c r="E5165" s="3"/>
      <c r="F5165" s="3"/>
    </row>
    <row r="5166" spans="3:6" x14ac:dyDescent="0.3">
      <c r="C5166" s="3"/>
      <c r="D5166" s="3"/>
      <c r="E5166" s="3"/>
      <c r="F5166" s="3"/>
    </row>
    <row r="5167" spans="3:6" x14ac:dyDescent="0.3">
      <c r="C5167" s="3"/>
      <c r="D5167" s="3"/>
      <c r="E5167" s="3"/>
      <c r="F5167" s="3"/>
    </row>
    <row r="5168" spans="3:6" x14ac:dyDescent="0.3">
      <c r="C5168" s="3"/>
      <c r="D5168" s="3"/>
      <c r="E5168" s="3"/>
      <c r="F5168" s="3"/>
    </row>
    <row r="5169" spans="3:6" x14ac:dyDescent="0.3">
      <c r="C5169" s="3"/>
      <c r="D5169" s="3"/>
      <c r="E5169" s="3"/>
      <c r="F5169" s="3"/>
    </row>
    <row r="5170" spans="3:6" x14ac:dyDescent="0.3">
      <c r="C5170" s="3"/>
      <c r="D5170" s="3"/>
      <c r="E5170" s="3"/>
      <c r="F5170" s="3"/>
    </row>
    <row r="5171" spans="3:6" x14ac:dyDescent="0.3">
      <c r="C5171" s="3"/>
      <c r="D5171" s="3"/>
      <c r="E5171" s="3"/>
      <c r="F5171" s="3"/>
    </row>
    <row r="5172" spans="3:6" x14ac:dyDescent="0.3">
      <c r="C5172" s="3"/>
      <c r="D5172" s="3"/>
      <c r="E5172" s="3"/>
      <c r="F5172" s="3"/>
    </row>
    <row r="5173" spans="3:6" x14ac:dyDescent="0.3">
      <c r="C5173" s="3"/>
      <c r="D5173" s="3"/>
      <c r="E5173" s="3"/>
      <c r="F5173" s="3"/>
    </row>
    <row r="5174" spans="3:6" x14ac:dyDescent="0.3">
      <c r="C5174" s="3"/>
      <c r="D5174" s="3"/>
      <c r="E5174" s="3"/>
      <c r="F5174" s="3"/>
    </row>
    <row r="5175" spans="3:6" x14ac:dyDescent="0.3">
      <c r="C5175" s="3"/>
      <c r="D5175" s="3"/>
      <c r="E5175" s="3"/>
      <c r="F5175" s="3"/>
    </row>
    <row r="5176" spans="3:6" x14ac:dyDescent="0.3">
      <c r="C5176" s="3"/>
      <c r="D5176" s="3"/>
      <c r="E5176" s="3"/>
      <c r="F5176" s="3"/>
    </row>
    <row r="5177" spans="3:6" x14ac:dyDescent="0.3">
      <c r="C5177" s="3"/>
      <c r="D5177" s="3"/>
      <c r="E5177" s="3"/>
      <c r="F5177" s="3"/>
    </row>
    <row r="5178" spans="3:6" x14ac:dyDescent="0.3">
      <c r="C5178" s="3"/>
      <c r="D5178" s="3"/>
      <c r="E5178" s="3"/>
      <c r="F5178" s="3"/>
    </row>
    <row r="5179" spans="3:6" x14ac:dyDescent="0.3">
      <c r="C5179" s="3"/>
      <c r="D5179" s="3"/>
      <c r="E5179" s="3"/>
      <c r="F5179" s="3"/>
    </row>
    <row r="5180" spans="3:6" x14ac:dyDescent="0.3">
      <c r="C5180" s="3"/>
      <c r="D5180" s="3"/>
      <c r="E5180" s="3"/>
      <c r="F5180" s="3"/>
    </row>
    <row r="5181" spans="3:6" x14ac:dyDescent="0.3">
      <c r="C5181" s="3"/>
      <c r="D5181" s="3"/>
      <c r="E5181" s="3"/>
      <c r="F5181" s="3"/>
    </row>
    <row r="5182" spans="3:6" x14ac:dyDescent="0.3">
      <c r="C5182" s="3"/>
      <c r="D5182" s="3"/>
      <c r="E5182" s="3"/>
      <c r="F5182" s="3"/>
    </row>
    <row r="5183" spans="3:6" x14ac:dyDescent="0.3">
      <c r="C5183" s="3"/>
      <c r="D5183" s="3"/>
      <c r="E5183" s="3"/>
      <c r="F5183" s="3"/>
    </row>
    <row r="5184" spans="3:6" x14ac:dyDescent="0.3">
      <c r="C5184" s="3"/>
      <c r="D5184" s="3"/>
      <c r="E5184" s="3"/>
      <c r="F5184" s="3"/>
    </row>
    <row r="5185" spans="3:6" x14ac:dyDescent="0.3">
      <c r="C5185" s="3"/>
      <c r="D5185" s="3"/>
      <c r="E5185" s="3"/>
      <c r="F5185" s="3"/>
    </row>
    <row r="5186" spans="3:6" x14ac:dyDescent="0.3">
      <c r="C5186" s="3"/>
      <c r="D5186" s="3"/>
      <c r="E5186" s="3"/>
      <c r="F5186" s="3"/>
    </row>
    <row r="5187" spans="3:6" x14ac:dyDescent="0.3">
      <c r="C5187" s="3"/>
      <c r="D5187" s="3"/>
      <c r="E5187" s="3"/>
      <c r="F5187" s="3"/>
    </row>
    <row r="5188" spans="3:6" x14ac:dyDescent="0.3">
      <c r="C5188" s="3"/>
      <c r="D5188" s="3"/>
      <c r="E5188" s="3"/>
      <c r="F5188" s="3"/>
    </row>
    <row r="5189" spans="3:6" x14ac:dyDescent="0.3">
      <c r="C5189" s="3"/>
      <c r="D5189" s="3"/>
      <c r="E5189" s="3"/>
      <c r="F5189" s="3"/>
    </row>
    <row r="5190" spans="3:6" x14ac:dyDescent="0.3">
      <c r="C5190" s="3"/>
      <c r="D5190" s="3"/>
      <c r="E5190" s="3"/>
      <c r="F5190" s="3"/>
    </row>
    <row r="5191" spans="3:6" x14ac:dyDescent="0.3">
      <c r="C5191" s="3"/>
      <c r="D5191" s="3"/>
      <c r="E5191" s="3"/>
      <c r="F5191" s="3"/>
    </row>
    <row r="5192" spans="3:6" x14ac:dyDescent="0.3">
      <c r="C5192" s="3"/>
      <c r="D5192" s="3"/>
      <c r="E5192" s="3"/>
      <c r="F5192" s="3"/>
    </row>
    <row r="5193" spans="3:6" x14ac:dyDescent="0.3">
      <c r="C5193" s="3"/>
      <c r="D5193" s="3"/>
      <c r="E5193" s="3"/>
      <c r="F5193" s="3"/>
    </row>
    <row r="5194" spans="3:6" x14ac:dyDescent="0.3">
      <c r="C5194" s="3"/>
      <c r="D5194" s="3"/>
      <c r="E5194" s="3"/>
      <c r="F5194" s="3"/>
    </row>
    <row r="5195" spans="3:6" x14ac:dyDescent="0.3">
      <c r="C5195" s="3"/>
      <c r="D5195" s="3"/>
      <c r="E5195" s="3"/>
      <c r="F5195" s="3"/>
    </row>
    <row r="5196" spans="3:6" x14ac:dyDescent="0.3">
      <c r="C5196" s="3"/>
      <c r="D5196" s="3"/>
      <c r="E5196" s="3"/>
      <c r="F5196" s="3"/>
    </row>
    <row r="5197" spans="3:6" x14ac:dyDescent="0.3">
      <c r="C5197" s="3"/>
      <c r="D5197" s="3"/>
      <c r="E5197" s="3"/>
      <c r="F5197" s="3"/>
    </row>
    <row r="5198" spans="3:6" x14ac:dyDescent="0.3">
      <c r="C5198" s="3"/>
      <c r="D5198" s="3"/>
      <c r="E5198" s="3"/>
      <c r="F5198" s="3"/>
    </row>
    <row r="5199" spans="3:6" x14ac:dyDescent="0.3">
      <c r="C5199" s="3"/>
      <c r="D5199" s="3"/>
      <c r="E5199" s="3"/>
      <c r="F5199" s="3"/>
    </row>
    <row r="5200" spans="3:6" x14ac:dyDescent="0.3">
      <c r="C5200" s="3"/>
      <c r="D5200" s="3"/>
      <c r="E5200" s="3"/>
      <c r="F5200" s="3"/>
    </row>
    <row r="5201" spans="3:6" x14ac:dyDescent="0.3">
      <c r="C5201" s="3"/>
      <c r="D5201" s="3"/>
      <c r="E5201" s="3"/>
      <c r="F5201" s="3"/>
    </row>
    <row r="5202" spans="3:6" x14ac:dyDescent="0.3">
      <c r="C5202" s="3"/>
      <c r="D5202" s="3"/>
      <c r="E5202" s="3"/>
      <c r="F5202" s="3"/>
    </row>
    <row r="5203" spans="3:6" x14ac:dyDescent="0.3">
      <c r="C5203" s="3"/>
      <c r="D5203" s="3"/>
      <c r="E5203" s="3"/>
      <c r="F5203" s="3"/>
    </row>
    <row r="5204" spans="3:6" x14ac:dyDescent="0.3">
      <c r="C5204" s="3"/>
      <c r="D5204" s="3"/>
      <c r="E5204" s="3"/>
      <c r="F5204" s="3"/>
    </row>
    <row r="5205" spans="3:6" x14ac:dyDescent="0.3">
      <c r="C5205" s="3"/>
      <c r="D5205" s="3"/>
      <c r="E5205" s="3"/>
      <c r="F5205" s="3"/>
    </row>
    <row r="5206" spans="3:6" x14ac:dyDescent="0.3">
      <c r="C5206" s="3"/>
      <c r="D5206" s="3"/>
      <c r="E5206" s="3"/>
      <c r="F5206" s="3"/>
    </row>
    <row r="5207" spans="3:6" x14ac:dyDescent="0.3">
      <c r="C5207" s="3"/>
      <c r="D5207" s="3"/>
      <c r="E5207" s="3"/>
      <c r="F5207" s="3"/>
    </row>
    <row r="5208" spans="3:6" x14ac:dyDescent="0.3">
      <c r="C5208" s="3"/>
      <c r="D5208" s="3"/>
      <c r="E5208" s="3"/>
      <c r="F5208" s="3"/>
    </row>
    <row r="5209" spans="3:6" x14ac:dyDescent="0.3">
      <c r="C5209" s="3"/>
      <c r="D5209" s="3"/>
      <c r="E5209" s="3"/>
      <c r="F5209" s="3"/>
    </row>
    <row r="5210" spans="3:6" x14ac:dyDescent="0.3">
      <c r="C5210" s="3"/>
      <c r="D5210" s="3"/>
      <c r="E5210" s="3"/>
      <c r="F5210" s="3"/>
    </row>
    <row r="5211" spans="3:6" x14ac:dyDescent="0.3">
      <c r="C5211" s="3"/>
      <c r="D5211" s="3"/>
      <c r="E5211" s="3"/>
      <c r="F5211" s="3"/>
    </row>
    <row r="5212" spans="3:6" x14ac:dyDescent="0.3">
      <c r="C5212" s="3"/>
      <c r="D5212" s="3"/>
      <c r="E5212" s="3"/>
      <c r="F5212" s="3"/>
    </row>
    <row r="5213" spans="3:6" x14ac:dyDescent="0.3">
      <c r="C5213" s="3"/>
      <c r="D5213" s="3"/>
      <c r="E5213" s="3"/>
      <c r="F5213" s="3"/>
    </row>
    <row r="5214" spans="3:6" x14ac:dyDescent="0.3">
      <c r="C5214" s="3"/>
      <c r="D5214" s="3"/>
      <c r="E5214" s="3"/>
      <c r="F5214" s="3"/>
    </row>
    <row r="5215" spans="3:6" x14ac:dyDescent="0.3">
      <c r="C5215" s="3"/>
      <c r="D5215" s="3"/>
      <c r="E5215" s="3"/>
      <c r="F5215" s="3"/>
    </row>
    <row r="5216" spans="3:6" x14ac:dyDescent="0.3">
      <c r="C5216" s="3"/>
      <c r="D5216" s="3"/>
      <c r="E5216" s="3"/>
      <c r="F5216" s="3"/>
    </row>
    <row r="5217" spans="3:6" x14ac:dyDescent="0.3">
      <c r="C5217" s="3"/>
      <c r="D5217" s="3"/>
      <c r="E5217" s="3"/>
      <c r="F5217" s="3"/>
    </row>
    <row r="5218" spans="3:6" x14ac:dyDescent="0.3">
      <c r="C5218" s="3"/>
      <c r="D5218" s="3"/>
      <c r="E5218" s="3"/>
      <c r="F5218" s="3"/>
    </row>
    <row r="5219" spans="3:6" x14ac:dyDescent="0.3">
      <c r="C5219" s="3"/>
      <c r="D5219" s="3"/>
      <c r="E5219" s="3"/>
      <c r="F5219" s="3"/>
    </row>
    <row r="5220" spans="3:6" x14ac:dyDescent="0.3">
      <c r="C5220" s="3"/>
      <c r="D5220" s="3"/>
      <c r="E5220" s="3"/>
      <c r="F5220" s="3"/>
    </row>
    <row r="5221" spans="3:6" x14ac:dyDescent="0.3">
      <c r="C5221" s="3"/>
      <c r="D5221" s="3"/>
      <c r="E5221" s="3"/>
      <c r="F5221" s="3"/>
    </row>
    <row r="5222" spans="3:6" x14ac:dyDescent="0.3">
      <c r="C5222" s="3"/>
      <c r="D5222" s="3"/>
      <c r="E5222" s="3"/>
      <c r="F5222" s="3"/>
    </row>
    <row r="5223" spans="3:6" x14ac:dyDescent="0.3">
      <c r="C5223" s="3"/>
      <c r="D5223" s="3"/>
      <c r="E5223" s="3"/>
      <c r="F5223" s="3"/>
    </row>
    <row r="5224" spans="3:6" x14ac:dyDescent="0.3">
      <c r="C5224" s="3"/>
      <c r="D5224" s="3"/>
      <c r="E5224" s="3"/>
      <c r="F5224" s="3"/>
    </row>
    <row r="5225" spans="3:6" x14ac:dyDescent="0.3">
      <c r="C5225" s="3"/>
      <c r="D5225" s="3"/>
      <c r="E5225" s="3"/>
      <c r="F5225" s="3"/>
    </row>
    <row r="5226" spans="3:6" x14ac:dyDescent="0.3">
      <c r="C5226" s="3"/>
      <c r="D5226" s="3"/>
      <c r="E5226" s="3"/>
      <c r="F5226" s="3"/>
    </row>
    <row r="5227" spans="3:6" x14ac:dyDescent="0.3">
      <c r="C5227" s="3"/>
      <c r="D5227" s="3"/>
      <c r="E5227" s="3"/>
      <c r="F5227" s="3"/>
    </row>
    <row r="5228" spans="3:6" x14ac:dyDescent="0.3">
      <c r="C5228" s="3"/>
      <c r="D5228" s="3"/>
      <c r="E5228" s="3"/>
      <c r="F5228" s="3"/>
    </row>
    <row r="5229" spans="3:6" x14ac:dyDescent="0.3">
      <c r="C5229" s="3"/>
      <c r="D5229" s="3"/>
      <c r="E5229" s="3"/>
      <c r="F5229" s="3"/>
    </row>
    <row r="5230" spans="3:6" x14ac:dyDescent="0.3">
      <c r="C5230" s="3"/>
      <c r="D5230" s="3"/>
      <c r="E5230" s="3"/>
      <c r="F5230" s="3"/>
    </row>
    <row r="5231" spans="3:6" x14ac:dyDescent="0.3">
      <c r="C5231" s="3"/>
      <c r="D5231" s="3"/>
      <c r="E5231" s="3"/>
      <c r="F5231" s="3"/>
    </row>
    <row r="5232" spans="3:6" x14ac:dyDescent="0.3">
      <c r="C5232" s="3"/>
      <c r="D5232" s="3"/>
      <c r="E5232" s="3"/>
      <c r="F5232" s="3"/>
    </row>
    <row r="5233" spans="3:6" x14ac:dyDescent="0.3">
      <c r="C5233" s="3"/>
      <c r="D5233" s="3"/>
      <c r="E5233" s="3"/>
      <c r="F5233" s="3"/>
    </row>
    <row r="5234" spans="3:6" x14ac:dyDescent="0.3">
      <c r="C5234" s="3"/>
      <c r="D5234" s="3"/>
      <c r="E5234" s="3"/>
      <c r="F5234" s="3"/>
    </row>
    <row r="5235" spans="3:6" x14ac:dyDescent="0.3">
      <c r="C5235" s="3"/>
      <c r="D5235" s="3"/>
      <c r="E5235" s="3"/>
      <c r="F5235" s="3"/>
    </row>
    <row r="5236" spans="3:6" x14ac:dyDescent="0.3">
      <c r="C5236" s="3"/>
      <c r="D5236" s="3"/>
      <c r="E5236" s="3"/>
      <c r="F5236" s="3"/>
    </row>
    <row r="5237" spans="3:6" x14ac:dyDescent="0.3">
      <c r="C5237" s="3"/>
      <c r="D5237" s="3"/>
      <c r="E5237" s="3"/>
      <c r="F5237" s="3"/>
    </row>
    <row r="5238" spans="3:6" x14ac:dyDescent="0.3">
      <c r="C5238" s="3"/>
      <c r="D5238" s="3"/>
      <c r="E5238" s="3"/>
      <c r="F5238" s="3"/>
    </row>
    <row r="5239" spans="3:6" x14ac:dyDescent="0.3">
      <c r="C5239" s="3"/>
      <c r="D5239" s="3"/>
      <c r="E5239" s="3"/>
      <c r="F5239" s="3"/>
    </row>
    <row r="5240" spans="3:6" x14ac:dyDescent="0.3">
      <c r="C5240" s="3"/>
      <c r="D5240" s="3"/>
      <c r="E5240" s="3"/>
      <c r="F5240" s="3"/>
    </row>
    <row r="5241" spans="3:6" x14ac:dyDescent="0.3">
      <c r="C5241" s="3"/>
      <c r="D5241" s="3"/>
      <c r="E5241" s="3"/>
      <c r="F5241" s="3"/>
    </row>
    <row r="5242" spans="3:6" x14ac:dyDescent="0.3">
      <c r="C5242" s="3"/>
      <c r="D5242" s="3"/>
      <c r="E5242" s="3"/>
      <c r="F5242" s="3"/>
    </row>
    <row r="5243" spans="3:6" x14ac:dyDescent="0.3">
      <c r="C5243" s="3"/>
      <c r="D5243" s="3"/>
      <c r="E5243" s="3"/>
      <c r="F5243" s="3"/>
    </row>
    <row r="5244" spans="3:6" x14ac:dyDescent="0.3">
      <c r="C5244" s="3"/>
      <c r="D5244" s="3"/>
      <c r="E5244" s="3"/>
      <c r="F5244" s="3"/>
    </row>
    <row r="5245" spans="3:6" x14ac:dyDescent="0.3">
      <c r="C5245" s="3"/>
      <c r="D5245" s="3"/>
      <c r="E5245" s="3"/>
      <c r="F5245" s="3"/>
    </row>
    <row r="5246" spans="3:6" x14ac:dyDescent="0.3">
      <c r="C5246" s="3"/>
      <c r="D5246" s="3"/>
      <c r="E5246" s="3"/>
      <c r="F5246" s="3"/>
    </row>
    <row r="5247" spans="3:6" x14ac:dyDescent="0.3">
      <c r="C5247" s="3"/>
      <c r="D5247" s="3"/>
      <c r="E5247" s="3"/>
      <c r="F5247" s="3"/>
    </row>
    <row r="5248" spans="3:6" x14ac:dyDescent="0.3">
      <c r="C5248" s="3"/>
      <c r="D5248" s="3"/>
      <c r="E5248" s="3"/>
      <c r="F5248" s="3"/>
    </row>
    <row r="5249" spans="3:6" x14ac:dyDescent="0.3">
      <c r="C5249" s="3"/>
      <c r="D5249" s="3"/>
      <c r="E5249" s="3"/>
      <c r="F5249" s="3"/>
    </row>
    <row r="5250" spans="3:6" x14ac:dyDescent="0.3">
      <c r="C5250" s="3"/>
      <c r="D5250" s="3"/>
      <c r="E5250" s="3"/>
      <c r="F5250" s="3"/>
    </row>
    <row r="5251" spans="3:6" x14ac:dyDescent="0.3">
      <c r="C5251" s="3"/>
      <c r="D5251" s="3"/>
      <c r="E5251" s="3"/>
      <c r="F5251" s="3"/>
    </row>
    <row r="5252" spans="3:6" x14ac:dyDescent="0.3">
      <c r="C5252" s="3"/>
      <c r="D5252" s="3"/>
      <c r="E5252" s="3"/>
      <c r="F5252" s="3"/>
    </row>
    <row r="5253" spans="3:6" x14ac:dyDescent="0.3">
      <c r="C5253" s="3"/>
      <c r="D5253" s="3"/>
      <c r="E5253" s="3"/>
      <c r="F5253" s="3"/>
    </row>
    <row r="5254" spans="3:6" x14ac:dyDescent="0.3">
      <c r="C5254" s="3"/>
      <c r="D5254" s="3"/>
      <c r="E5254" s="3"/>
      <c r="F5254" s="3"/>
    </row>
    <row r="5255" spans="3:6" x14ac:dyDescent="0.3">
      <c r="C5255" s="3"/>
      <c r="D5255" s="3"/>
      <c r="E5255" s="3"/>
      <c r="F5255" s="3"/>
    </row>
    <row r="5256" spans="3:6" x14ac:dyDescent="0.3">
      <c r="C5256" s="3"/>
      <c r="D5256" s="3"/>
      <c r="E5256" s="3"/>
      <c r="F5256" s="3"/>
    </row>
    <row r="5257" spans="3:6" x14ac:dyDescent="0.3">
      <c r="C5257" s="3"/>
      <c r="D5257" s="3"/>
      <c r="E5257" s="3"/>
      <c r="F5257" s="3"/>
    </row>
    <row r="5258" spans="3:6" x14ac:dyDescent="0.3">
      <c r="C5258" s="3"/>
      <c r="D5258" s="3"/>
      <c r="E5258" s="3"/>
      <c r="F5258" s="3"/>
    </row>
    <row r="5259" spans="3:6" x14ac:dyDescent="0.3">
      <c r="C5259" s="3"/>
      <c r="D5259" s="3"/>
      <c r="E5259" s="3"/>
      <c r="F5259" s="3"/>
    </row>
    <row r="5260" spans="3:6" x14ac:dyDescent="0.3">
      <c r="C5260" s="3"/>
      <c r="D5260" s="3"/>
      <c r="E5260" s="3"/>
      <c r="F5260" s="3"/>
    </row>
    <row r="5261" spans="3:6" x14ac:dyDescent="0.3">
      <c r="C5261" s="3"/>
      <c r="D5261" s="3"/>
      <c r="E5261" s="3"/>
      <c r="F5261" s="3"/>
    </row>
    <row r="5262" spans="3:6" x14ac:dyDescent="0.3">
      <c r="C5262" s="3"/>
      <c r="D5262" s="3"/>
      <c r="E5262" s="3"/>
      <c r="F5262" s="3"/>
    </row>
    <row r="5263" spans="3:6" x14ac:dyDescent="0.3">
      <c r="C5263" s="3"/>
      <c r="D5263" s="3"/>
      <c r="E5263" s="3"/>
      <c r="F5263" s="3"/>
    </row>
    <row r="5264" spans="3:6" x14ac:dyDescent="0.3">
      <c r="C5264" s="3"/>
      <c r="D5264" s="3"/>
      <c r="E5264" s="3"/>
      <c r="F5264" s="3"/>
    </row>
    <row r="5265" spans="3:6" x14ac:dyDescent="0.3">
      <c r="C5265" s="3"/>
      <c r="D5265" s="3"/>
      <c r="E5265" s="3"/>
      <c r="F5265" s="3"/>
    </row>
    <row r="5266" spans="3:6" x14ac:dyDescent="0.3">
      <c r="C5266" s="3"/>
      <c r="D5266" s="3"/>
      <c r="E5266" s="3"/>
      <c r="F5266" s="3"/>
    </row>
    <row r="5267" spans="3:6" x14ac:dyDescent="0.3">
      <c r="C5267" s="3"/>
      <c r="D5267" s="3"/>
      <c r="E5267" s="3"/>
      <c r="F5267" s="3"/>
    </row>
    <row r="5268" spans="3:6" x14ac:dyDescent="0.3">
      <c r="C5268" s="3"/>
      <c r="D5268" s="3"/>
      <c r="E5268" s="3"/>
      <c r="F5268" s="3"/>
    </row>
    <row r="5269" spans="3:6" x14ac:dyDescent="0.3">
      <c r="C5269" s="3"/>
      <c r="D5269" s="3"/>
      <c r="E5269" s="3"/>
      <c r="F5269" s="3"/>
    </row>
    <row r="5270" spans="3:6" x14ac:dyDescent="0.3">
      <c r="C5270" s="3"/>
      <c r="D5270" s="3"/>
      <c r="E5270" s="3"/>
      <c r="F5270" s="3"/>
    </row>
    <row r="5271" spans="3:6" x14ac:dyDescent="0.3">
      <c r="C5271" s="3"/>
      <c r="D5271" s="3"/>
      <c r="E5271" s="3"/>
      <c r="F5271" s="3"/>
    </row>
    <row r="5272" spans="3:6" x14ac:dyDescent="0.3">
      <c r="C5272" s="3"/>
      <c r="D5272" s="3"/>
      <c r="E5272" s="3"/>
      <c r="F5272" s="3"/>
    </row>
    <row r="5273" spans="3:6" x14ac:dyDescent="0.3">
      <c r="C5273" s="3"/>
      <c r="D5273" s="3"/>
      <c r="E5273" s="3"/>
      <c r="F5273" s="3"/>
    </row>
    <row r="5274" spans="3:6" x14ac:dyDescent="0.3">
      <c r="C5274" s="3"/>
      <c r="D5274" s="3"/>
      <c r="E5274" s="3"/>
      <c r="F5274" s="3"/>
    </row>
    <row r="5275" spans="3:6" x14ac:dyDescent="0.3">
      <c r="C5275" s="3"/>
      <c r="D5275" s="3"/>
      <c r="E5275" s="3"/>
      <c r="F5275" s="3"/>
    </row>
    <row r="5276" spans="3:6" x14ac:dyDescent="0.3">
      <c r="C5276" s="3"/>
      <c r="D5276" s="3"/>
      <c r="E5276" s="3"/>
      <c r="F5276" s="3"/>
    </row>
    <row r="5277" spans="3:6" x14ac:dyDescent="0.3">
      <c r="C5277" s="3"/>
      <c r="D5277" s="3"/>
      <c r="E5277" s="3"/>
      <c r="F5277" s="3"/>
    </row>
    <row r="5278" spans="3:6" x14ac:dyDescent="0.3">
      <c r="C5278" s="3"/>
      <c r="D5278" s="3"/>
      <c r="E5278" s="3"/>
      <c r="F5278" s="3"/>
    </row>
    <row r="5279" spans="3:6" x14ac:dyDescent="0.3">
      <c r="C5279" s="3"/>
      <c r="D5279" s="3"/>
      <c r="E5279" s="3"/>
      <c r="F5279" s="3"/>
    </row>
    <row r="5280" spans="3:6" x14ac:dyDescent="0.3">
      <c r="C5280" s="3"/>
      <c r="D5280" s="3"/>
      <c r="E5280" s="3"/>
      <c r="F5280" s="3"/>
    </row>
    <row r="5281" spans="3:6" x14ac:dyDescent="0.3">
      <c r="C5281" s="3"/>
      <c r="D5281" s="3"/>
      <c r="E5281" s="3"/>
      <c r="F5281" s="3"/>
    </row>
    <row r="5282" spans="3:6" x14ac:dyDescent="0.3">
      <c r="C5282" s="3"/>
      <c r="D5282" s="3"/>
      <c r="E5282" s="3"/>
      <c r="F5282" s="3"/>
    </row>
    <row r="5283" spans="3:6" x14ac:dyDescent="0.3">
      <c r="C5283" s="3"/>
      <c r="D5283" s="3"/>
      <c r="E5283" s="3"/>
      <c r="F5283" s="3"/>
    </row>
    <row r="5284" spans="3:6" x14ac:dyDescent="0.3">
      <c r="C5284" s="3"/>
      <c r="D5284" s="3"/>
      <c r="E5284" s="3"/>
      <c r="F5284" s="3"/>
    </row>
    <row r="5285" spans="3:6" x14ac:dyDescent="0.3">
      <c r="C5285" s="3"/>
      <c r="D5285" s="3"/>
      <c r="E5285" s="3"/>
      <c r="F5285" s="3"/>
    </row>
    <row r="5286" spans="3:6" x14ac:dyDescent="0.3">
      <c r="C5286" s="3"/>
      <c r="D5286" s="3"/>
      <c r="E5286" s="3"/>
      <c r="F5286" s="3"/>
    </row>
    <row r="5287" spans="3:6" x14ac:dyDescent="0.3">
      <c r="C5287" s="3"/>
      <c r="D5287" s="3"/>
      <c r="E5287" s="3"/>
      <c r="F5287" s="3"/>
    </row>
    <row r="5288" spans="3:6" x14ac:dyDescent="0.3">
      <c r="C5288" s="3"/>
      <c r="D5288" s="3"/>
      <c r="E5288" s="3"/>
      <c r="F5288" s="3"/>
    </row>
    <row r="5289" spans="3:6" x14ac:dyDescent="0.3">
      <c r="C5289" s="3"/>
      <c r="D5289" s="3"/>
      <c r="E5289" s="3"/>
      <c r="F5289" s="3"/>
    </row>
    <row r="5290" spans="3:6" x14ac:dyDescent="0.3">
      <c r="C5290" s="3"/>
      <c r="D5290" s="3"/>
      <c r="E5290" s="3"/>
      <c r="F5290" s="3"/>
    </row>
    <row r="5291" spans="3:6" x14ac:dyDescent="0.3">
      <c r="C5291" s="3"/>
      <c r="D5291" s="3"/>
      <c r="E5291" s="3"/>
      <c r="F5291" s="3"/>
    </row>
    <row r="5292" spans="3:6" x14ac:dyDescent="0.3">
      <c r="C5292" s="3"/>
      <c r="D5292" s="3"/>
      <c r="E5292" s="3"/>
      <c r="F5292" s="3"/>
    </row>
    <row r="5293" spans="3:6" x14ac:dyDescent="0.3">
      <c r="C5293" s="3"/>
      <c r="D5293" s="3"/>
      <c r="E5293" s="3"/>
      <c r="F5293" s="3"/>
    </row>
    <row r="5294" spans="3:6" x14ac:dyDescent="0.3">
      <c r="C5294" s="3"/>
      <c r="D5294" s="3"/>
      <c r="E5294" s="3"/>
      <c r="F5294" s="3"/>
    </row>
    <row r="5295" spans="3:6" x14ac:dyDescent="0.3">
      <c r="C5295" s="3"/>
      <c r="D5295" s="3"/>
      <c r="E5295" s="3"/>
      <c r="F5295" s="3"/>
    </row>
    <row r="5296" spans="3:6" x14ac:dyDescent="0.3">
      <c r="C5296" s="3"/>
      <c r="D5296" s="3"/>
      <c r="E5296" s="3"/>
      <c r="F5296" s="3"/>
    </row>
    <row r="5297" spans="3:6" x14ac:dyDescent="0.3">
      <c r="C5297" s="3"/>
      <c r="D5297" s="3"/>
      <c r="E5297" s="3"/>
      <c r="F5297" s="3"/>
    </row>
    <row r="5298" spans="3:6" x14ac:dyDescent="0.3">
      <c r="C5298" s="3"/>
      <c r="D5298" s="3"/>
      <c r="E5298" s="3"/>
      <c r="F5298" s="3"/>
    </row>
    <row r="5299" spans="3:6" x14ac:dyDescent="0.3">
      <c r="C5299" s="3"/>
      <c r="D5299" s="3"/>
      <c r="E5299" s="3"/>
      <c r="F5299" s="3"/>
    </row>
    <row r="5300" spans="3:6" x14ac:dyDescent="0.3">
      <c r="C5300" s="3"/>
      <c r="D5300" s="3"/>
      <c r="E5300" s="3"/>
      <c r="F5300" s="3"/>
    </row>
    <row r="5301" spans="3:6" x14ac:dyDescent="0.3">
      <c r="C5301" s="3"/>
      <c r="D5301" s="3"/>
      <c r="E5301" s="3"/>
      <c r="F5301" s="3"/>
    </row>
    <row r="5302" spans="3:6" x14ac:dyDescent="0.3">
      <c r="C5302" s="3"/>
      <c r="D5302" s="3"/>
      <c r="E5302" s="3"/>
      <c r="F5302" s="3"/>
    </row>
    <row r="5303" spans="3:6" x14ac:dyDescent="0.3">
      <c r="C5303" s="3"/>
      <c r="D5303" s="3"/>
      <c r="E5303" s="3"/>
      <c r="F5303" s="3"/>
    </row>
    <row r="5304" spans="3:6" x14ac:dyDescent="0.3">
      <c r="C5304" s="3"/>
      <c r="D5304" s="3"/>
      <c r="E5304" s="3"/>
      <c r="F5304" s="3"/>
    </row>
    <row r="5305" spans="3:6" x14ac:dyDescent="0.3">
      <c r="C5305" s="3"/>
      <c r="D5305" s="3"/>
      <c r="E5305" s="3"/>
      <c r="F5305" s="3"/>
    </row>
    <row r="5306" spans="3:6" x14ac:dyDescent="0.3">
      <c r="C5306" s="3"/>
      <c r="D5306" s="3"/>
      <c r="E5306" s="3"/>
      <c r="F5306" s="3"/>
    </row>
    <row r="5307" spans="3:6" x14ac:dyDescent="0.3">
      <c r="C5307" s="3"/>
      <c r="D5307" s="3"/>
      <c r="E5307" s="3"/>
      <c r="F5307" s="3"/>
    </row>
    <row r="5308" spans="3:6" x14ac:dyDescent="0.3">
      <c r="C5308" s="3"/>
      <c r="D5308" s="3"/>
      <c r="E5308" s="3"/>
      <c r="F5308" s="3"/>
    </row>
    <row r="5309" spans="3:6" x14ac:dyDescent="0.3">
      <c r="C5309" s="3"/>
      <c r="D5309" s="3"/>
      <c r="E5309" s="3"/>
      <c r="F5309" s="3"/>
    </row>
    <row r="5310" spans="3:6" x14ac:dyDescent="0.3">
      <c r="C5310" s="3"/>
      <c r="D5310" s="3"/>
      <c r="E5310" s="3"/>
      <c r="F5310" s="3"/>
    </row>
    <row r="5311" spans="3:6" x14ac:dyDescent="0.3">
      <c r="C5311" s="3"/>
      <c r="D5311" s="3"/>
      <c r="E5311" s="3"/>
      <c r="F5311" s="3"/>
    </row>
    <row r="5312" spans="3:6" x14ac:dyDescent="0.3">
      <c r="C5312" s="3"/>
      <c r="D5312" s="3"/>
      <c r="E5312" s="3"/>
      <c r="F5312" s="3"/>
    </row>
    <row r="5313" spans="3:6" x14ac:dyDescent="0.3">
      <c r="C5313" s="3"/>
      <c r="D5313" s="3"/>
      <c r="E5313" s="3"/>
      <c r="F5313" s="3"/>
    </row>
    <row r="5314" spans="3:6" x14ac:dyDescent="0.3">
      <c r="C5314" s="3"/>
      <c r="D5314" s="3"/>
      <c r="E5314" s="3"/>
      <c r="F5314" s="3"/>
    </row>
    <row r="5315" spans="3:6" x14ac:dyDescent="0.3">
      <c r="C5315" s="3"/>
      <c r="D5315" s="3"/>
      <c r="E5315" s="3"/>
      <c r="F5315" s="3"/>
    </row>
    <row r="5316" spans="3:6" x14ac:dyDescent="0.3">
      <c r="C5316" s="3"/>
      <c r="D5316" s="3"/>
      <c r="E5316" s="3"/>
      <c r="F5316" s="3"/>
    </row>
    <row r="5317" spans="3:6" x14ac:dyDescent="0.3">
      <c r="C5317" s="3"/>
      <c r="D5317" s="3"/>
      <c r="E5317" s="3"/>
      <c r="F5317" s="3"/>
    </row>
    <row r="5318" spans="3:6" x14ac:dyDescent="0.3">
      <c r="C5318" s="3"/>
      <c r="D5318" s="3"/>
      <c r="E5318" s="3"/>
      <c r="F5318" s="3"/>
    </row>
    <row r="5319" spans="3:6" x14ac:dyDescent="0.3">
      <c r="C5319" s="3"/>
      <c r="D5319" s="3"/>
      <c r="E5319" s="3"/>
      <c r="F5319" s="3"/>
    </row>
    <row r="5320" spans="3:6" x14ac:dyDescent="0.3">
      <c r="C5320" s="3"/>
      <c r="D5320" s="3"/>
      <c r="E5320" s="3"/>
      <c r="F5320" s="3"/>
    </row>
    <row r="5321" spans="3:6" x14ac:dyDescent="0.3">
      <c r="C5321" s="3"/>
      <c r="D5321" s="3"/>
      <c r="E5321" s="3"/>
      <c r="F5321" s="3"/>
    </row>
    <row r="5322" spans="3:6" x14ac:dyDescent="0.3">
      <c r="C5322" s="3"/>
      <c r="D5322" s="3"/>
      <c r="E5322" s="3"/>
      <c r="F5322" s="3"/>
    </row>
    <row r="5323" spans="3:6" x14ac:dyDescent="0.3">
      <c r="C5323" s="3"/>
      <c r="D5323" s="3"/>
      <c r="E5323" s="3"/>
      <c r="F5323" s="3"/>
    </row>
    <row r="5324" spans="3:6" x14ac:dyDescent="0.3">
      <c r="C5324" s="3"/>
      <c r="D5324" s="3"/>
      <c r="E5324" s="3"/>
      <c r="F5324" s="3"/>
    </row>
    <row r="5325" spans="3:6" x14ac:dyDescent="0.3">
      <c r="C5325" s="3"/>
      <c r="D5325" s="3"/>
      <c r="E5325" s="3"/>
      <c r="F5325" s="3"/>
    </row>
    <row r="5326" spans="3:6" x14ac:dyDescent="0.3">
      <c r="C5326" s="3"/>
      <c r="D5326" s="3"/>
      <c r="E5326" s="3"/>
      <c r="F5326" s="3"/>
    </row>
    <row r="5327" spans="3:6" x14ac:dyDescent="0.3">
      <c r="C5327" s="3"/>
      <c r="D5327" s="3"/>
      <c r="E5327" s="3"/>
      <c r="F5327" s="3"/>
    </row>
    <row r="5328" spans="3:6" x14ac:dyDescent="0.3">
      <c r="C5328" s="3"/>
      <c r="D5328" s="3"/>
      <c r="E5328" s="3"/>
      <c r="F5328" s="3"/>
    </row>
    <row r="5329" spans="3:6" x14ac:dyDescent="0.3">
      <c r="C5329" s="3"/>
      <c r="D5329" s="3"/>
      <c r="E5329" s="3"/>
      <c r="F5329" s="3"/>
    </row>
    <row r="5330" spans="3:6" x14ac:dyDescent="0.3">
      <c r="C5330" s="3"/>
      <c r="D5330" s="3"/>
      <c r="E5330" s="3"/>
      <c r="F5330" s="3"/>
    </row>
    <row r="5331" spans="3:6" x14ac:dyDescent="0.3">
      <c r="C5331" s="3"/>
      <c r="D5331" s="3"/>
      <c r="E5331" s="3"/>
      <c r="F5331" s="3"/>
    </row>
    <row r="5332" spans="3:6" x14ac:dyDescent="0.3">
      <c r="C5332" s="3"/>
      <c r="D5332" s="3"/>
      <c r="E5332" s="3"/>
      <c r="F5332" s="3"/>
    </row>
    <row r="5333" spans="3:6" x14ac:dyDescent="0.3">
      <c r="C5333" s="3"/>
      <c r="D5333" s="3"/>
      <c r="E5333" s="3"/>
      <c r="F5333" s="3"/>
    </row>
    <row r="5334" spans="3:6" x14ac:dyDescent="0.3">
      <c r="C5334" s="3"/>
      <c r="D5334" s="3"/>
      <c r="E5334" s="3"/>
      <c r="F5334" s="3"/>
    </row>
    <row r="5335" spans="3:6" x14ac:dyDescent="0.3">
      <c r="C5335" s="3"/>
      <c r="D5335" s="3"/>
      <c r="E5335" s="3"/>
      <c r="F5335" s="3"/>
    </row>
    <row r="5336" spans="3:6" x14ac:dyDescent="0.3">
      <c r="C5336" s="3"/>
      <c r="D5336" s="3"/>
      <c r="E5336" s="3"/>
      <c r="F5336" s="3"/>
    </row>
    <row r="5337" spans="3:6" x14ac:dyDescent="0.3">
      <c r="C5337" s="3"/>
      <c r="D5337" s="3"/>
      <c r="E5337" s="3"/>
      <c r="F5337" s="3"/>
    </row>
    <row r="5338" spans="3:6" x14ac:dyDescent="0.3">
      <c r="C5338" s="3"/>
      <c r="D5338" s="3"/>
      <c r="E5338" s="3"/>
      <c r="F5338" s="3"/>
    </row>
    <row r="5339" spans="3:6" x14ac:dyDescent="0.3">
      <c r="C5339" s="3"/>
      <c r="D5339" s="3"/>
      <c r="E5339" s="3"/>
      <c r="F5339" s="3"/>
    </row>
    <row r="5340" spans="3:6" x14ac:dyDescent="0.3">
      <c r="C5340" s="3"/>
      <c r="D5340" s="3"/>
      <c r="E5340" s="3"/>
      <c r="F5340" s="3"/>
    </row>
    <row r="5341" spans="3:6" x14ac:dyDescent="0.3">
      <c r="C5341" s="3"/>
      <c r="D5341" s="3"/>
      <c r="E5341" s="3"/>
      <c r="F5341" s="3"/>
    </row>
    <row r="5342" spans="3:6" x14ac:dyDescent="0.3">
      <c r="C5342" s="3"/>
      <c r="D5342" s="3"/>
      <c r="E5342" s="3"/>
      <c r="F5342" s="3"/>
    </row>
    <row r="5343" spans="3:6" x14ac:dyDescent="0.3">
      <c r="C5343" s="3"/>
      <c r="D5343" s="3"/>
      <c r="E5343" s="3"/>
      <c r="F5343" s="3"/>
    </row>
    <row r="5344" spans="3:6" x14ac:dyDescent="0.3">
      <c r="C5344" s="3"/>
      <c r="D5344" s="3"/>
      <c r="E5344" s="3"/>
      <c r="F5344" s="3"/>
    </row>
    <row r="5345" spans="3:6" x14ac:dyDescent="0.3">
      <c r="C5345" s="3"/>
      <c r="D5345" s="3"/>
      <c r="E5345" s="3"/>
      <c r="F5345" s="3"/>
    </row>
    <row r="5346" spans="3:6" x14ac:dyDescent="0.3">
      <c r="C5346" s="3"/>
      <c r="D5346" s="3"/>
      <c r="E5346" s="3"/>
      <c r="F5346" s="3"/>
    </row>
    <row r="5347" spans="3:6" x14ac:dyDescent="0.3">
      <c r="C5347" s="3"/>
      <c r="D5347" s="3"/>
      <c r="E5347" s="3"/>
      <c r="F5347" s="3"/>
    </row>
    <row r="5348" spans="3:6" x14ac:dyDescent="0.3">
      <c r="C5348" s="3"/>
      <c r="D5348" s="3"/>
      <c r="E5348" s="3"/>
      <c r="F5348" s="3"/>
    </row>
    <row r="5349" spans="3:6" x14ac:dyDescent="0.3">
      <c r="C5349" s="3"/>
      <c r="D5349" s="3"/>
      <c r="E5349" s="3"/>
      <c r="F5349" s="3"/>
    </row>
    <row r="5350" spans="3:6" x14ac:dyDescent="0.3">
      <c r="C5350" s="3"/>
      <c r="D5350" s="3"/>
      <c r="E5350" s="3"/>
      <c r="F5350" s="3"/>
    </row>
    <row r="5351" spans="3:6" x14ac:dyDescent="0.3">
      <c r="C5351" s="3"/>
      <c r="D5351" s="3"/>
      <c r="E5351" s="3"/>
      <c r="F5351" s="3"/>
    </row>
    <row r="5352" spans="3:6" x14ac:dyDescent="0.3">
      <c r="C5352" s="3"/>
      <c r="D5352" s="3"/>
      <c r="E5352" s="3"/>
      <c r="F5352" s="3"/>
    </row>
    <row r="5353" spans="3:6" x14ac:dyDescent="0.3">
      <c r="C5353" s="3"/>
      <c r="D5353" s="3"/>
      <c r="E5353" s="3"/>
      <c r="F5353" s="3"/>
    </row>
    <row r="5354" spans="3:6" x14ac:dyDescent="0.3">
      <c r="C5354" s="3"/>
      <c r="D5354" s="3"/>
      <c r="E5354" s="3"/>
      <c r="F5354" s="3"/>
    </row>
    <row r="5355" spans="3:6" x14ac:dyDescent="0.3">
      <c r="C5355" s="3"/>
      <c r="D5355" s="3"/>
      <c r="E5355" s="3"/>
      <c r="F5355" s="3"/>
    </row>
    <row r="5356" spans="3:6" x14ac:dyDescent="0.3">
      <c r="C5356" s="3"/>
      <c r="D5356" s="3"/>
      <c r="E5356" s="3"/>
      <c r="F5356" s="3"/>
    </row>
    <row r="5357" spans="3:6" x14ac:dyDescent="0.3">
      <c r="C5357" s="3"/>
      <c r="D5357" s="3"/>
      <c r="E5357" s="3"/>
      <c r="F5357" s="3"/>
    </row>
    <row r="5358" spans="3:6" x14ac:dyDescent="0.3">
      <c r="C5358" s="3"/>
      <c r="D5358" s="3"/>
      <c r="E5358" s="3"/>
      <c r="F5358" s="3"/>
    </row>
    <row r="5359" spans="3:6" x14ac:dyDescent="0.3">
      <c r="C5359" s="3"/>
      <c r="D5359" s="3"/>
      <c r="E5359" s="3"/>
      <c r="F5359" s="3"/>
    </row>
    <row r="5360" spans="3:6" x14ac:dyDescent="0.3">
      <c r="C5360" s="3"/>
      <c r="D5360" s="3"/>
      <c r="E5360" s="3"/>
      <c r="F5360" s="3"/>
    </row>
    <row r="5361" spans="3:6" x14ac:dyDescent="0.3">
      <c r="C5361" s="3"/>
      <c r="D5361" s="3"/>
      <c r="E5361" s="3"/>
      <c r="F5361" s="3"/>
    </row>
    <row r="5362" spans="3:6" x14ac:dyDescent="0.3">
      <c r="C5362" s="3"/>
      <c r="D5362" s="3"/>
      <c r="E5362" s="3"/>
      <c r="F5362" s="3"/>
    </row>
    <row r="5363" spans="3:6" x14ac:dyDescent="0.3">
      <c r="C5363" s="3"/>
      <c r="D5363" s="3"/>
      <c r="E5363" s="3"/>
      <c r="F5363" s="3"/>
    </row>
    <row r="5364" spans="3:6" x14ac:dyDescent="0.3">
      <c r="C5364" s="3"/>
      <c r="D5364" s="3"/>
      <c r="E5364" s="3"/>
      <c r="F5364" s="3"/>
    </row>
    <row r="5365" spans="3:6" x14ac:dyDescent="0.3">
      <c r="C5365" s="3"/>
      <c r="D5365" s="3"/>
      <c r="E5365" s="3"/>
      <c r="F5365" s="3"/>
    </row>
    <row r="5366" spans="3:6" x14ac:dyDescent="0.3">
      <c r="C5366" s="3"/>
      <c r="D5366" s="3"/>
      <c r="E5366" s="3"/>
      <c r="F5366" s="3"/>
    </row>
    <row r="5367" spans="3:6" x14ac:dyDescent="0.3">
      <c r="C5367" s="3"/>
      <c r="D5367" s="3"/>
      <c r="E5367" s="3"/>
      <c r="F5367" s="3"/>
    </row>
    <row r="5368" spans="3:6" x14ac:dyDescent="0.3">
      <c r="C5368" s="3"/>
      <c r="D5368" s="3"/>
      <c r="E5368" s="3"/>
      <c r="F5368" s="3"/>
    </row>
    <row r="5369" spans="3:6" x14ac:dyDescent="0.3">
      <c r="C5369" s="3"/>
      <c r="D5369" s="3"/>
      <c r="E5369" s="3"/>
      <c r="F5369" s="3"/>
    </row>
    <row r="5370" spans="3:6" x14ac:dyDescent="0.3">
      <c r="C5370" s="3"/>
      <c r="D5370" s="3"/>
      <c r="E5370" s="3"/>
      <c r="F5370" s="3"/>
    </row>
    <row r="5371" spans="3:6" x14ac:dyDescent="0.3">
      <c r="C5371" s="3"/>
      <c r="D5371" s="3"/>
      <c r="E5371" s="3"/>
      <c r="F5371" s="3"/>
    </row>
    <row r="5372" spans="3:6" x14ac:dyDescent="0.3">
      <c r="C5372" s="3"/>
      <c r="D5372" s="3"/>
      <c r="E5372" s="3"/>
      <c r="F5372" s="3"/>
    </row>
    <row r="5373" spans="3:6" x14ac:dyDescent="0.3">
      <c r="C5373" s="3"/>
      <c r="D5373" s="3"/>
      <c r="E5373" s="3"/>
      <c r="F5373" s="3"/>
    </row>
    <row r="5374" spans="3:6" x14ac:dyDescent="0.3">
      <c r="C5374" s="3"/>
      <c r="D5374" s="3"/>
      <c r="E5374" s="3"/>
      <c r="F5374" s="3"/>
    </row>
    <row r="5375" spans="3:6" x14ac:dyDescent="0.3">
      <c r="C5375" s="3"/>
      <c r="D5375" s="3"/>
      <c r="E5375" s="3"/>
      <c r="F5375" s="3"/>
    </row>
    <row r="5376" spans="3:6" x14ac:dyDescent="0.3">
      <c r="C5376" s="3"/>
      <c r="D5376" s="3"/>
      <c r="E5376" s="3"/>
      <c r="F5376" s="3"/>
    </row>
    <row r="5377" spans="3:6" x14ac:dyDescent="0.3">
      <c r="C5377" s="3"/>
      <c r="D5377" s="3"/>
      <c r="E5377" s="3"/>
      <c r="F5377" s="3"/>
    </row>
    <row r="5378" spans="3:6" x14ac:dyDescent="0.3">
      <c r="C5378" s="3"/>
      <c r="D5378" s="3"/>
      <c r="E5378" s="3"/>
      <c r="F5378" s="3"/>
    </row>
    <row r="5379" spans="3:6" x14ac:dyDescent="0.3">
      <c r="C5379" s="3"/>
      <c r="D5379" s="3"/>
      <c r="E5379" s="3"/>
      <c r="F5379" s="3"/>
    </row>
    <row r="5380" spans="3:6" x14ac:dyDescent="0.3">
      <c r="C5380" s="3"/>
      <c r="D5380" s="3"/>
      <c r="E5380" s="3"/>
      <c r="F5380" s="3"/>
    </row>
    <row r="5381" spans="3:6" x14ac:dyDescent="0.3">
      <c r="C5381" s="3"/>
      <c r="D5381" s="3"/>
      <c r="E5381" s="3"/>
      <c r="F5381" s="3"/>
    </row>
    <row r="5382" spans="3:6" x14ac:dyDescent="0.3">
      <c r="C5382" s="3"/>
      <c r="D5382" s="3"/>
      <c r="E5382" s="3"/>
      <c r="F5382" s="3"/>
    </row>
    <row r="5383" spans="3:6" x14ac:dyDescent="0.3">
      <c r="C5383" s="3"/>
      <c r="D5383" s="3"/>
      <c r="E5383" s="3"/>
      <c r="F5383" s="3"/>
    </row>
    <row r="5384" spans="3:6" x14ac:dyDescent="0.3">
      <c r="C5384" s="3"/>
      <c r="D5384" s="3"/>
      <c r="E5384" s="3"/>
      <c r="F5384" s="3"/>
    </row>
    <row r="5385" spans="3:6" x14ac:dyDescent="0.3">
      <c r="C5385" s="3"/>
      <c r="D5385" s="3"/>
      <c r="E5385" s="3"/>
      <c r="F5385" s="3"/>
    </row>
    <row r="5386" spans="3:6" x14ac:dyDescent="0.3">
      <c r="C5386" s="3"/>
      <c r="D5386" s="3"/>
      <c r="E5386" s="3"/>
      <c r="F5386" s="3"/>
    </row>
    <row r="5387" spans="3:6" x14ac:dyDescent="0.3">
      <c r="C5387" s="3"/>
      <c r="D5387" s="3"/>
      <c r="E5387" s="3"/>
      <c r="F5387" s="3"/>
    </row>
    <row r="5388" spans="3:6" x14ac:dyDescent="0.3">
      <c r="C5388" s="3"/>
      <c r="D5388" s="3"/>
      <c r="E5388" s="3"/>
      <c r="F5388" s="3"/>
    </row>
    <row r="5389" spans="3:6" x14ac:dyDescent="0.3">
      <c r="C5389" s="3"/>
      <c r="D5389" s="3"/>
      <c r="E5389" s="3"/>
      <c r="F5389" s="3"/>
    </row>
    <row r="5390" spans="3:6" x14ac:dyDescent="0.3">
      <c r="C5390" s="3"/>
      <c r="D5390" s="3"/>
      <c r="E5390" s="3"/>
      <c r="F5390" s="3"/>
    </row>
    <row r="5391" spans="3:6" x14ac:dyDescent="0.3">
      <c r="C5391" s="3"/>
      <c r="D5391" s="3"/>
      <c r="E5391" s="3"/>
      <c r="F5391" s="3"/>
    </row>
    <row r="5392" spans="3:6" x14ac:dyDescent="0.3">
      <c r="C5392" s="3"/>
      <c r="D5392" s="3"/>
      <c r="E5392" s="3"/>
      <c r="F5392" s="3"/>
    </row>
    <row r="5393" spans="3:6" x14ac:dyDescent="0.3">
      <c r="C5393" s="3"/>
      <c r="D5393" s="3"/>
      <c r="E5393" s="3"/>
      <c r="F5393" s="3"/>
    </row>
    <row r="5394" spans="3:6" x14ac:dyDescent="0.3">
      <c r="C5394" s="3"/>
      <c r="D5394" s="3"/>
      <c r="E5394" s="3"/>
      <c r="F5394" s="3"/>
    </row>
    <row r="5395" spans="3:6" x14ac:dyDescent="0.3">
      <c r="C5395" s="3"/>
      <c r="D5395" s="3"/>
      <c r="E5395" s="3"/>
      <c r="F5395" s="3"/>
    </row>
    <row r="5396" spans="3:6" x14ac:dyDescent="0.3">
      <c r="C5396" s="3"/>
      <c r="D5396" s="3"/>
      <c r="E5396" s="3"/>
      <c r="F5396" s="3"/>
    </row>
    <row r="5397" spans="3:6" x14ac:dyDescent="0.3">
      <c r="C5397" s="3"/>
      <c r="D5397" s="3"/>
      <c r="E5397" s="3"/>
      <c r="F5397" s="3"/>
    </row>
    <row r="5398" spans="3:6" x14ac:dyDescent="0.3">
      <c r="C5398" s="3"/>
      <c r="D5398" s="3"/>
      <c r="E5398" s="3"/>
      <c r="F5398" s="3"/>
    </row>
    <row r="5399" spans="3:6" x14ac:dyDescent="0.3">
      <c r="C5399" s="3"/>
      <c r="D5399" s="3"/>
      <c r="E5399" s="3"/>
      <c r="F5399" s="3"/>
    </row>
    <row r="5400" spans="3:6" x14ac:dyDescent="0.3">
      <c r="C5400" s="3"/>
      <c r="D5400" s="3"/>
      <c r="E5400" s="3"/>
      <c r="F5400" s="3"/>
    </row>
    <row r="5401" spans="3:6" x14ac:dyDescent="0.3">
      <c r="C5401" s="3"/>
      <c r="D5401" s="3"/>
      <c r="E5401" s="3"/>
      <c r="F5401" s="3"/>
    </row>
    <row r="5402" spans="3:6" x14ac:dyDescent="0.3">
      <c r="C5402" s="3"/>
      <c r="D5402" s="3"/>
      <c r="E5402" s="3"/>
      <c r="F5402" s="3"/>
    </row>
    <row r="5403" spans="3:6" x14ac:dyDescent="0.3">
      <c r="C5403" s="3"/>
      <c r="D5403" s="3"/>
      <c r="E5403" s="3"/>
      <c r="F5403" s="3"/>
    </row>
    <row r="5404" spans="3:6" x14ac:dyDescent="0.3">
      <c r="C5404" s="3"/>
      <c r="D5404" s="3"/>
      <c r="E5404" s="3"/>
      <c r="F5404" s="3"/>
    </row>
    <row r="5405" spans="3:6" x14ac:dyDescent="0.3">
      <c r="C5405" s="3"/>
      <c r="D5405" s="3"/>
      <c r="E5405" s="3"/>
      <c r="F5405" s="3"/>
    </row>
    <row r="5406" spans="3:6" x14ac:dyDescent="0.3">
      <c r="C5406" s="3"/>
      <c r="D5406" s="3"/>
      <c r="E5406" s="3"/>
      <c r="F5406" s="3"/>
    </row>
    <row r="5407" spans="3:6" x14ac:dyDescent="0.3">
      <c r="C5407" s="3"/>
      <c r="D5407" s="3"/>
      <c r="E5407" s="3"/>
      <c r="F5407" s="3"/>
    </row>
    <row r="5408" spans="3:6" x14ac:dyDescent="0.3">
      <c r="C5408" s="3"/>
      <c r="D5408" s="3"/>
      <c r="E5408" s="3"/>
      <c r="F5408" s="3"/>
    </row>
    <row r="5409" spans="3:6" x14ac:dyDescent="0.3">
      <c r="C5409" s="3"/>
      <c r="D5409" s="3"/>
      <c r="E5409" s="3"/>
      <c r="F5409" s="3"/>
    </row>
    <row r="5410" spans="3:6" x14ac:dyDescent="0.3">
      <c r="C5410" s="3"/>
      <c r="D5410" s="3"/>
      <c r="E5410" s="3"/>
      <c r="F5410" s="3"/>
    </row>
    <row r="5411" spans="3:6" x14ac:dyDescent="0.3">
      <c r="C5411" s="3"/>
      <c r="D5411" s="3"/>
      <c r="E5411" s="3"/>
      <c r="F5411" s="3"/>
    </row>
    <row r="5412" spans="3:6" x14ac:dyDescent="0.3">
      <c r="C5412" s="3"/>
      <c r="D5412" s="3"/>
      <c r="E5412" s="3"/>
      <c r="F5412" s="3"/>
    </row>
    <row r="5413" spans="3:6" x14ac:dyDescent="0.3">
      <c r="C5413" s="3"/>
      <c r="D5413" s="3"/>
      <c r="E5413" s="3"/>
      <c r="F5413" s="3"/>
    </row>
    <row r="5414" spans="3:6" x14ac:dyDescent="0.3">
      <c r="C5414" s="3"/>
      <c r="D5414" s="3"/>
      <c r="E5414" s="3"/>
      <c r="F5414" s="3"/>
    </row>
    <row r="5415" spans="3:6" x14ac:dyDescent="0.3">
      <c r="C5415" s="3"/>
      <c r="D5415" s="3"/>
      <c r="E5415" s="3"/>
      <c r="F5415" s="3"/>
    </row>
    <row r="5416" spans="3:6" x14ac:dyDescent="0.3">
      <c r="C5416" s="3"/>
      <c r="D5416" s="3"/>
      <c r="E5416" s="3"/>
      <c r="F5416" s="3"/>
    </row>
    <row r="5417" spans="3:6" x14ac:dyDescent="0.3">
      <c r="C5417" s="3"/>
      <c r="D5417" s="3"/>
      <c r="E5417" s="3"/>
      <c r="F5417" s="3"/>
    </row>
    <row r="5418" spans="3:6" x14ac:dyDescent="0.3">
      <c r="C5418" s="3"/>
      <c r="D5418" s="3"/>
      <c r="E5418" s="3"/>
      <c r="F5418" s="3"/>
    </row>
    <row r="5419" spans="3:6" x14ac:dyDescent="0.3">
      <c r="C5419" s="3"/>
      <c r="D5419" s="3"/>
      <c r="E5419" s="3"/>
      <c r="F5419" s="3"/>
    </row>
    <row r="5420" spans="3:6" x14ac:dyDescent="0.3">
      <c r="C5420" s="3"/>
      <c r="D5420" s="3"/>
      <c r="E5420" s="3"/>
      <c r="F5420" s="3"/>
    </row>
    <row r="5421" spans="3:6" x14ac:dyDescent="0.3">
      <c r="C5421" s="3"/>
      <c r="D5421" s="3"/>
      <c r="E5421" s="3"/>
      <c r="F5421" s="3"/>
    </row>
    <row r="5422" spans="3:6" x14ac:dyDescent="0.3">
      <c r="C5422" s="3"/>
      <c r="D5422" s="3"/>
      <c r="E5422" s="3"/>
      <c r="F5422" s="3"/>
    </row>
    <row r="5423" spans="3:6" x14ac:dyDescent="0.3">
      <c r="C5423" s="3"/>
      <c r="D5423" s="3"/>
      <c r="E5423" s="3"/>
      <c r="F5423" s="3"/>
    </row>
    <row r="5424" spans="3:6" x14ac:dyDescent="0.3">
      <c r="C5424" s="3"/>
      <c r="D5424" s="3"/>
      <c r="E5424" s="3"/>
      <c r="F5424" s="3"/>
    </row>
    <row r="5425" spans="3:6" x14ac:dyDescent="0.3">
      <c r="C5425" s="3"/>
      <c r="D5425" s="3"/>
      <c r="E5425" s="3"/>
      <c r="F5425" s="3"/>
    </row>
    <row r="5426" spans="3:6" x14ac:dyDescent="0.3">
      <c r="C5426" s="3"/>
      <c r="D5426" s="3"/>
      <c r="E5426" s="3"/>
      <c r="F5426" s="3"/>
    </row>
    <row r="5427" spans="3:6" x14ac:dyDescent="0.3">
      <c r="C5427" s="3"/>
      <c r="D5427" s="3"/>
      <c r="E5427" s="3"/>
      <c r="F5427" s="3"/>
    </row>
    <row r="5428" spans="3:6" x14ac:dyDescent="0.3">
      <c r="C5428" s="3"/>
      <c r="D5428" s="3"/>
      <c r="E5428" s="3"/>
      <c r="F5428" s="3"/>
    </row>
    <row r="5429" spans="3:6" x14ac:dyDescent="0.3">
      <c r="C5429" s="3"/>
      <c r="D5429" s="3"/>
      <c r="E5429" s="3"/>
      <c r="F5429" s="3"/>
    </row>
    <row r="5430" spans="3:6" x14ac:dyDescent="0.3">
      <c r="C5430" s="3"/>
      <c r="D5430" s="3"/>
      <c r="E5430" s="3"/>
      <c r="F5430" s="3"/>
    </row>
    <row r="5431" spans="3:6" x14ac:dyDescent="0.3">
      <c r="C5431" s="3"/>
      <c r="D5431" s="3"/>
      <c r="E5431" s="3"/>
      <c r="F5431" s="3"/>
    </row>
    <row r="5432" spans="3:6" x14ac:dyDescent="0.3">
      <c r="C5432" s="3"/>
      <c r="D5432" s="3"/>
      <c r="E5432" s="3"/>
      <c r="F5432" s="3"/>
    </row>
    <row r="5433" spans="3:6" x14ac:dyDescent="0.3">
      <c r="C5433" s="3"/>
      <c r="D5433" s="3"/>
      <c r="E5433" s="3"/>
      <c r="F5433" s="3"/>
    </row>
    <row r="5434" spans="3:6" x14ac:dyDescent="0.3">
      <c r="C5434" s="3"/>
      <c r="D5434" s="3"/>
      <c r="E5434" s="3"/>
      <c r="F5434" s="3"/>
    </row>
    <row r="5435" spans="3:6" x14ac:dyDescent="0.3">
      <c r="C5435" s="3"/>
      <c r="D5435" s="3"/>
      <c r="E5435" s="3"/>
      <c r="F5435" s="3"/>
    </row>
    <row r="5436" spans="3:6" x14ac:dyDescent="0.3">
      <c r="C5436" s="3"/>
      <c r="D5436" s="3"/>
      <c r="E5436" s="3"/>
      <c r="F5436" s="3"/>
    </row>
    <row r="5437" spans="3:6" x14ac:dyDescent="0.3">
      <c r="C5437" s="3"/>
      <c r="D5437" s="3"/>
      <c r="E5437" s="3"/>
      <c r="F5437" s="3"/>
    </row>
    <row r="5438" spans="3:6" x14ac:dyDescent="0.3">
      <c r="C5438" s="3"/>
      <c r="D5438" s="3"/>
      <c r="E5438" s="3"/>
      <c r="F5438" s="3"/>
    </row>
    <row r="5439" spans="3:6" x14ac:dyDescent="0.3">
      <c r="C5439" s="3"/>
      <c r="D5439" s="3"/>
      <c r="E5439" s="3"/>
      <c r="F5439" s="3"/>
    </row>
    <row r="5440" spans="3:6" x14ac:dyDescent="0.3">
      <c r="C5440" s="3"/>
      <c r="D5440" s="3"/>
      <c r="E5440" s="3"/>
      <c r="F5440" s="3"/>
    </row>
    <row r="5441" spans="3:6" x14ac:dyDescent="0.3">
      <c r="C5441" s="3"/>
      <c r="D5441" s="3"/>
      <c r="E5441" s="3"/>
      <c r="F5441" s="3"/>
    </row>
    <row r="5442" spans="3:6" x14ac:dyDescent="0.3">
      <c r="C5442" s="3"/>
      <c r="D5442" s="3"/>
      <c r="E5442" s="3"/>
      <c r="F5442" s="3"/>
    </row>
    <row r="5443" spans="3:6" x14ac:dyDescent="0.3">
      <c r="C5443" s="3"/>
      <c r="D5443" s="3"/>
      <c r="E5443" s="3"/>
      <c r="F5443" s="3"/>
    </row>
    <row r="5444" spans="3:6" x14ac:dyDescent="0.3">
      <c r="C5444" s="3"/>
      <c r="D5444" s="3"/>
      <c r="E5444" s="3"/>
      <c r="F5444" s="3"/>
    </row>
    <row r="5445" spans="3:6" x14ac:dyDescent="0.3">
      <c r="C5445" s="3"/>
      <c r="D5445" s="3"/>
      <c r="E5445" s="3"/>
      <c r="F5445" s="3"/>
    </row>
    <row r="5446" spans="3:6" x14ac:dyDescent="0.3">
      <c r="C5446" s="3"/>
      <c r="D5446" s="3"/>
      <c r="E5446" s="3"/>
      <c r="F5446" s="3"/>
    </row>
    <row r="5447" spans="3:6" x14ac:dyDescent="0.3">
      <c r="C5447" s="3"/>
      <c r="D5447" s="3"/>
      <c r="E5447" s="3"/>
      <c r="F5447" s="3"/>
    </row>
    <row r="5448" spans="3:6" x14ac:dyDescent="0.3">
      <c r="C5448" s="3"/>
      <c r="D5448" s="3"/>
      <c r="E5448" s="3"/>
      <c r="F5448" s="3"/>
    </row>
    <row r="5449" spans="3:6" x14ac:dyDescent="0.3">
      <c r="C5449" s="3"/>
      <c r="D5449" s="3"/>
      <c r="E5449" s="3"/>
      <c r="F5449" s="3"/>
    </row>
    <row r="5450" spans="3:6" x14ac:dyDescent="0.3">
      <c r="C5450" s="3"/>
      <c r="D5450" s="3"/>
      <c r="E5450" s="3"/>
      <c r="F5450" s="3"/>
    </row>
    <row r="5451" spans="3:6" x14ac:dyDescent="0.3">
      <c r="C5451" s="3"/>
      <c r="D5451" s="3"/>
      <c r="E5451" s="3"/>
      <c r="F5451" s="3"/>
    </row>
    <row r="5452" spans="3:6" x14ac:dyDescent="0.3">
      <c r="C5452" s="3"/>
      <c r="D5452" s="3"/>
      <c r="E5452" s="3"/>
      <c r="F5452" s="3"/>
    </row>
    <row r="5453" spans="3:6" x14ac:dyDescent="0.3">
      <c r="C5453" s="3"/>
      <c r="D5453" s="3"/>
      <c r="E5453" s="3"/>
      <c r="F5453" s="3"/>
    </row>
    <row r="5454" spans="3:6" x14ac:dyDescent="0.3">
      <c r="C5454" s="3"/>
      <c r="D5454" s="3"/>
      <c r="E5454" s="3"/>
      <c r="F5454" s="3"/>
    </row>
    <row r="5455" spans="3:6" x14ac:dyDescent="0.3">
      <c r="C5455" s="3"/>
      <c r="D5455" s="3"/>
      <c r="E5455" s="3"/>
      <c r="F5455" s="3"/>
    </row>
    <row r="5456" spans="3:6" x14ac:dyDescent="0.3">
      <c r="C5456" s="3"/>
      <c r="D5456" s="3"/>
      <c r="E5456" s="3"/>
      <c r="F5456" s="3"/>
    </row>
    <row r="5457" spans="3:6" x14ac:dyDescent="0.3">
      <c r="C5457" s="3"/>
      <c r="D5457" s="3"/>
      <c r="E5457" s="3"/>
      <c r="F5457" s="3"/>
    </row>
    <row r="5458" spans="3:6" x14ac:dyDescent="0.3">
      <c r="C5458" s="3"/>
      <c r="D5458" s="3"/>
      <c r="E5458" s="3"/>
      <c r="F5458" s="3"/>
    </row>
    <row r="5459" spans="3:6" x14ac:dyDescent="0.3">
      <c r="C5459" s="3"/>
      <c r="D5459" s="3"/>
      <c r="E5459" s="3"/>
      <c r="F5459" s="3"/>
    </row>
    <row r="5460" spans="3:6" x14ac:dyDescent="0.3">
      <c r="C5460" s="3"/>
      <c r="D5460" s="3"/>
      <c r="E5460" s="3"/>
      <c r="F5460" s="3"/>
    </row>
    <row r="5461" spans="3:6" x14ac:dyDescent="0.3">
      <c r="C5461" s="3"/>
      <c r="D5461" s="3"/>
      <c r="E5461" s="3"/>
      <c r="F5461" s="3"/>
    </row>
    <row r="5462" spans="3:6" x14ac:dyDescent="0.3">
      <c r="C5462" s="3"/>
      <c r="D5462" s="3"/>
      <c r="E5462" s="3"/>
      <c r="F5462" s="3"/>
    </row>
    <row r="5463" spans="3:6" x14ac:dyDescent="0.3">
      <c r="C5463" s="3"/>
      <c r="D5463" s="3"/>
      <c r="E5463" s="3"/>
      <c r="F5463" s="3"/>
    </row>
    <row r="5464" spans="3:6" x14ac:dyDescent="0.3">
      <c r="C5464" s="3"/>
      <c r="D5464" s="3"/>
      <c r="E5464" s="3"/>
      <c r="F5464" s="3"/>
    </row>
    <row r="5465" spans="3:6" x14ac:dyDescent="0.3">
      <c r="C5465" s="3"/>
      <c r="D5465" s="3"/>
      <c r="E5465" s="3"/>
      <c r="F5465" s="3"/>
    </row>
    <row r="5466" spans="3:6" x14ac:dyDescent="0.3">
      <c r="C5466" s="3"/>
      <c r="D5466" s="3"/>
      <c r="E5466" s="3"/>
      <c r="F5466" s="3"/>
    </row>
    <row r="5467" spans="3:6" x14ac:dyDescent="0.3">
      <c r="C5467" s="3"/>
      <c r="D5467" s="3"/>
      <c r="E5467" s="3"/>
      <c r="F5467" s="3"/>
    </row>
    <row r="5468" spans="3:6" x14ac:dyDescent="0.3">
      <c r="C5468" s="3"/>
      <c r="D5468" s="3"/>
      <c r="E5468" s="3"/>
      <c r="F5468" s="3"/>
    </row>
    <row r="5469" spans="3:6" x14ac:dyDescent="0.3">
      <c r="C5469" s="3"/>
      <c r="D5469" s="3"/>
      <c r="E5469" s="3"/>
      <c r="F5469" s="3"/>
    </row>
    <row r="5470" spans="3:6" x14ac:dyDescent="0.3">
      <c r="C5470" s="3"/>
      <c r="D5470" s="3"/>
      <c r="E5470" s="3"/>
      <c r="F5470" s="3"/>
    </row>
    <row r="5471" spans="3:6" x14ac:dyDescent="0.3">
      <c r="C5471" s="3"/>
      <c r="D5471" s="3"/>
      <c r="E5471" s="3"/>
      <c r="F5471" s="3"/>
    </row>
    <row r="5472" spans="3:6" x14ac:dyDescent="0.3">
      <c r="C5472" s="3"/>
      <c r="D5472" s="3"/>
      <c r="E5472" s="3"/>
      <c r="F5472" s="3"/>
    </row>
    <row r="5473" spans="3:6" x14ac:dyDescent="0.3">
      <c r="C5473" s="3"/>
      <c r="D5473" s="3"/>
      <c r="E5473" s="3"/>
      <c r="F5473" s="3"/>
    </row>
    <row r="5474" spans="3:6" x14ac:dyDescent="0.3">
      <c r="C5474" s="3"/>
      <c r="D5474" s="3"/>
      <c r="E5474" s="3"/>
      <c r="F5474" s="3"/>
    </row>
    <row r="5475" spans="3:6" x14ac:dyDescent="0.3">
      <c r="C5475" s="3"/>
      <c r="D5475" s="3"/>
      <c r="E5475" s="3"/>
      <c r="F5475" s="3"/>
    </row>
    <row r="5476" spans="3:6" x14ac:dyDescent="0.3">
      <c r="C5476" s="3"/>
      <c r="D5476" s="3"/>
      <c r="E5476" s="3"/>
      <c r="F5476" s="3"/>
    </row>
    <row r="5477" spans="3:6" x14ac:dyDescent="0.3">
      <c r="C5477" s="3"/>
      <c r="D5477" s="3"/>
      <c r="E5477" s="3"/>
      <c r="F5477" s="3"/>
    </row>
    <row r="5478" spans="3:6" x14ac:dyDescent="0.3">
      <c r="C5478" s="3"/>
      <c r="D5478" s="3"/>
      <c r="E5478" s="3"/>
      <c r="F5478" s="3"/>
    </row>
    <row r="5479" spans="3:6" x14ac:dyDescent="0.3">
      <c r="C5479" s="3"/>
      <c r="D5479" s="3"/>
      <c r="E5479" s="3"/>
      <c r="F5479" s="3"/>
    </row>
    <row r="5480" spans="3:6" x14ac:dyDescent="0.3">
      <c r="C5480" s="3"/>
      <c r="D5480" s="3"/>
      <c r="E5480" s="3"/>
      <c r="F5480" s="3"/>
    </row>
    <row r="5481" spans="3:6" x14ac:dyDescent="0.3">
      <c r="C5481" s="3"/>
      <c r="D5481" s="3"/>
      <c r="E5481" s="3"/>
      <c r="F5481" s="3"/>
    </row>
    <row r="5482" spans="3:6" x14ac:dyDescent="0.3">
      <c r="C5482" s="3"/>
      <c r="D5482" s="3"/>
      <c r="E5482" s="3"/>
      <c r="F5482" s="3"/>
    </row>
    <row r="5483" spans="3:6" x14ac:dyDescent="0.3">
      <c r="C5483" s="3"/>
      <c r="D5483" s="3"/>
      <c r="E5483" s="3"/>
      <c r="F5483" s="3"/>
    </row>
    <row r="5484" spans="3:6" x14ac:dyDescent="0.3">
      <c r="C5484" s="3"/>
      <c r="D5484" s="3"/>
      <c r="E5484" s="3"/>
      <c r="F5484" s="3"/>
    </row>
    <row r="5485" spans="3:6" x14ac:dyDescent="0.3">
      <c r="C5485" s="3"/>
      <c r="D5485" s="3"/>
      <c r="E5485" s="3"/>
      <c r="F5485" s="3"/>
    </row>
    <row r="5486" spans="3:6" x14ac:dyDescent="0.3">
      <c r="C5486" s="3"/>
      <c r="D5486" s="3"/>
      <c r="E5486" s="3"/>
      <c r="F5486" s="3"/>
    </row>
    <row r="5487" spans="3:6" x14ac:dyDescent="0.3">
      <c r="C5487" s="3"/>
      <c r="D5487" s="3"/>
      <c r="E5487" s="3"/>
      <c r="F5487" s="3"/>
    </row>
    <row r="5488" spans="3:6" x14ac:dyDescent="0.3">
      <c r="C5488" s="3"/>
      <c r="D5488" s="3"/>
      <c r="E5488" s="3"/>
      <c r="F5488" s="3"/>
    </row>
    <row r="5489" spans="3:6" x14ac:dyDescent="0.3">
      <c r="C5489" s="3"/>
      <c r="D5489" s="3"/>
      <c r="E5489" s="3"/>
      <c r="F5489" s="3"/>
    </row>
    <row r="5490" spans="3:6" x14ac:dyDescent="0.3">
      <c r="C5490" s="3"/>
      <c r="D5490" s="3"/>
      <c r="E5490" s="3"/>
      <c r="F5490" s="3"/>
    </row>
    <row r="5491" spans="3:6" x14ac:dyDescent="0.3">
      <c r="C5491" s="3"/>
      <c r="D5491" s="3"/>
      <c r="E5491" s="3"/>
      <c r="F5491" s="3"/>
    </row>
    <row r="5492" spans="3:6" x14ac:dyDescent="0.3">
      <c r="C5492" s="3"/>
      <c r="D5492" s="3"/>
      <c r="E5492" s="3"/>
      <c r="F5492" s="3"/>
    </row>
    <row r="5493" spans="3:6" x14ac:dyDescent="0.3">
      <c r="C5493" s="3"/>
      <c r="D5493" s="3"/>
      <c r="E5493" s="3"/>
      <c r="F5493" s="3"/>
    </row>
    <row r="5494" spans="3:6" x14ac:dyDescent="0.3">
      <c r="C5494" s="3"/>
      <c r="D5494" s="3"/>
      <c r="E5494" s="3"/>
      <c r="F5494" s="3"/>
    </row>
    <row r="5495" spans="3:6" x14ac:dyDescent="0.3">
      <c r="C5495" s="3"/>
      <c r="D5495" s="3"/>
      <c r="E5495" s="3"/>
      <c r="F5495" s="3"/>
    </row>
    <row r="5496" spans="3:6" x14ac:dyDescent="0.3">
      <c r="C5496" s="3"/>
      <c r="D5496" s="3"/>
      <c r="E5496" s="3"/>
      <c r="F5496" s="3"/>
    </row>
    <row r="5497" spans="3:6" x14ac:dyDescent="0.3">
      <c r="C5497" s="3"/>
      <c r="D5497" s="3"/>
      <c r="E5497" s="3"/>
      <c r="F5497" s="3"/>
    </row>
    <row r="5498" spans="3:6" x14ac:dyDescent="0.3">
      <c r="C5498" s="3"/>
      <c r="D5498" s="3"/>
      <c r="E5498" s="3"/>
      <c r="F5498" s="3"/>
    </row>
    <row r="5499" spans="3:6" x14ac:dyDescent="0.3">
      <c r="C5499" s="3"/>
      <c r="D5499" s="3"/>
      <c r="E5499" s="3"/>
      <c r="F5499" s="3"/>
    </row>
    <row r="5500" spans="3:6" x14ac:dyDescent="0.3">
      <c r="C5500" s="3"/>
      <c r="D5500" s="3"/>
      <c r="E5500" s="3"/>
      <c r="F5500" s="3"/>
    </row>
    <row r="5501" spans="3:6" x14ac:dyDescent="0.3">
      <c r="C5501" s="3"/>
      <c r="D5501" s="3"/>
      <c r="E5501" s="3"/>
      <c r="F5501" s="3"/>
    </row>
    <row r="5502" spans="3:6" x14ac:dyDescent="0.3">
      <c r="C5502" s="3"/>
      <c r="D5502" s="3"/>
      <c r="E5502" s="3"/>
      <c r="F5502" s="3"/>
    </row>
    <row r="5503" spans="3:6" x14ac:dyDescent="0.3">
      <c r="C5503" s="3"/>
      <c r="D5503" s="3"/>
      <c r="E5503" s="3"/>
      <c r="F5503" s="3"/>
    </row>
    <row r="5504" spans="3:6" x14ac:dyDescent="0.3">
      <c r="C5504" s="3"/>
      <c r="D5504" s="3"/>
      <c r="E5504" s="3"/>
      <c r="F5504" s="3"/>
    </row>
    <row r="5505" spans="3:6" x14ac:dyDescent="0.3">
      <c r="C5505" s="3"/>
      <c r="D5505" s="3"/>
      <c r="E5505" s="3"/>
      <c r="F5505" s="3"/>
    </row>
    <row r="5506" spans="3:6" x14ac:dyDescent="0.3">
      <c r="C5506" s="3"/>
      <c r="D5506" s="3"/>
      <c r="E5506" s="3"/>
      <c r="F5506" s="3"/>
    </row>
    <row r="5507" spans="3:6" x14ac:dyDescent="0.3">
      <c r="C5507" s="3"/>
      <c r="D5507" s="3"/>
      <c r="E5507" s="3"/>
      <c r="F5507" s="3"/>
    </row>
    <row r="5508" spans="3:6" x14ac:dyDescent="0.3">
      <c r="C5508" s="3"/>
      <c r="D5508" s="3"/>
      <c r="E5508" s="3"/>
      <c r="F5508" s="3"/>
    </row>
    <row r="5509" spans="3:6" x14ac:dyDescent="0.3">
      <c r="C5509" s="3"/>
      <c r="D5509" s="3"/>
      <c r="E5509" s="3"/>
      <c r="F5509" s="3"/>
    </row>
    <row r="5510" spans="3:6" x14ac:dyDescent="0.3">
      <c r="C5510" s="3"/>
      <c r="D5510" s="3"/>
      <c r="E5510" s="3"/>
      <c r="F5510" s="3"/>
    </row>
    <row r="5511" spans="3:6" x14ac:dyDescent="0.3">
      <c r="C5511" s="3"/>
      <c r="D5511" s="3"/>
      <c r="E5511" s="3"/>
      <c r="F5511" s="3"/>
    </row>
    <row r="5512" spans="3:6" x14ac:dyDescent="0.3">
      <c r="C5512" s="3"/>
      <c r="D5512" s="3"/>
      <c r="E5512" s="3"/>
      <c r="F5512" s="3"/>
    </row>
    <row r="5513" spans="3:6" x14ac:dyDescent="0.3">
      <c r="C5513" s="3"/>
      <c r="D5513" s="3"/>
      <c r="E5513" s="3"/>
      <c r="F5513" s="3"/>
    </row>
    <row r="5514" spans="3:6" x14ac:dyDescent="0.3">
      <c r="C5514" s="3"/>
      <c r="D5514" s="3"/>
      <c r="E5514" s="3"/>
      <c r="F5514" s="3"/>
    </row>
    <row r="5515" spans="3:6" x14ac:dyDescent="0.3">
      <c r="C5515" s="3"/>
      <c r="D5515" s="3"/>
      <c r="E5515" s="3"/>
      <c r="F5515" s="3"/>
    </row>
    <row r="5516" spans="3:6" x14ac:dyDescent="0.3">
      <c r="C5516" s="3"/>
      <c r="D5516" s="3"/>
      <c r="E5516" s="3"/>
      <c r="F5516" s="3"/>
    </row>
    <row r="5517" spans="3:6" x14ac:dyDescent="0.3">
      <c r="C5517" s="3"/>
      <c r="D5517" s="3"/>
      <c r="E5517" s="3"/>
      <c r="F5517" s="3"/>
    </row>
    <row r="5518" spans="3:6" x14ac:dyDescent="0.3">
      <c r="C5518" s="3"/>
      <c r="D5518" s="3"/>
      <c r="E5518" s="3"/>
      <c r="F5518" s="3"/>
    </row>
    <row r="5519" spans="3:6" x14ac:dyDescent="0.3">
      <c r="C5519" s="3"/>
      <c r="D5519" s="3"/>
      <c r="E5519" s="3"/>
      <c r="F5519" s="3"/>
    </row>
    <row r="5520" spans="3:6" x14ac:dyDescent="0.3">
      <c r="C5520" s="3"/>
      <c r="D5520" s="3"/>
      <c r="E5520" s="3"/>
      <c r="F5520" s="3"/>
    </row>
    <row r="5521" spans="3:6" x14ac:dyDescent="0.3">
      <c r="C5521" s="3"/>
      <c r="D5521" s="3"/>
      <c r="E5521" s="3"/>
      <c r="F5521" s="3"/>
    </row>
    <row r="5522" spans="3:6" x14ac:dyDescent="0.3">
      <c r="C5522" s="3"/>
      <c r="D5522" s="3"/>
      <c r="E5522" s="3"/>
      <c r="F5522" s="3"/>
    </row>
    <row r="5523" spans="3:6" x14ac:dyDescent="0.3">
      <c r="C5523" s="3"/>
      <c r="D5523" s="3"/>
      <c r="E5523" s="3"/>
      <c r="F5523" s="3"/>
    </row>
    <row r="5524" spans="3:6" x14ac:dyDescent="0.3">
      <c r="C5524" s="3"/>
      <c r="D5524" s="3"/>
      <c r="E5524" s="3"/>
      <c r="F5524" s="3"/>
    </row>
    <row r="5525" spans="3:6" x14ac:dyDescent="0.3">
      <c r="C5525" s="3"/>
      <c r="D5525" s="3"/>
      <c r="E5525" s="3"/>
      <c r="F5525" s="3"/>
    </row>
    <row r="5526" spans="3:6" x14ac:dyDescent="0.3">
      <c r="C5526" s="3"/>
      <c r="D5526" s="3"/>
      <c r="E5526" s="3"/>
      <c r="F5526" s="3"/>
    </row>
    <row r="5527" spans="3:6" x14ac:dyDescent="0.3">
      <c r="C5527" s="3"/>
      <c r="D5527" s="3"/>
      <c r="E5527" s="3"/>
      <c r="F5527" s="3"/>
    </row>
    <row r="5528" spans="3:6" x14ac:dyDescent="0.3">
      <c r="C5528" s="3"/>
      <c r="D5528" s="3"/>
      <c r="E5528" s="3"/>
      <c r="F5528" s="3"/>
    </row>
    <row r="5529" spans="3:6" x14ac:dyDescent="0.3">
      <c r="C5529" s="3"/>
      <c r="D5529" s="3"/>
      <c r="E5529" s="3"/>
      <c r="F5529" s="3"/>
    </row>
    <row r="5530" spans="3:6" x14ac:dyDescent="0.3">
      <c r="C5530" s="3"/>
      <c r="D5530" s="3"/>
      <c r="E5530" s="3"/>
      <c r="F5530" s="3"/>
    </row>
    <row r="5531" spans="3:6" x14ac:dyDescent="0.3">
      <c r="C5531" s="3"/>
      <c r="D5531" s="3"/>
      <c r="E5531" s="3"/>
      <c r="F5531" s="3"/>
    </row>
    <row r="5532" spans="3:6" x14ac:dyDescent="0.3">
      <c r="C5532" s="3"/>
      <c r="D5532" s="3"/>
      <c r="E5532" s="3"/>
      <c r="F5532" s="3"/>
    </row>
    <row r="5533" spans="3:6" x14ac:dyDescent="0.3">
      <c r="C5533" s="3"/>
      <c r="D5533" s="3"/>
      <c r="E5533" s="3"/>
      <c r="F5533" s="3"/>
    </row>
    <row r="5534" spans="3:6" x14ac:dyDescent="0.3">
      <c r="C5534" s="3"/>
      <c r="D5534" s="3"/>
      <c r="E5534" s="3"/>
      <c r="F5534" s="3"/>
    </row>
    <row r="5535" spans="3:6" x14ac:dyDescent="0.3">
      <c r="C5535" s="3"/>
      <c r="D5535" s="3"/>
      <c r="E5535" s="3"/>
      <c r="F5535" s="3"/>
    </row>
    <row r="5536" spans="3:6" x14ac:dyDescent="0.3">
      <c r="C5536" s="3"/>
      <c r="D5536" s="3"/>
      <c r="E5536" s="3"/>
      <c r="F5536" s="3"/>
    </row>
    <row r="5537" spans="3:6" x14ac:dyDescent="0.3">
      <c r="C5537" s="3"/>
      <c r="D5537" s="3"/>
      <c r="E5537" s="3"/>
      <c r="F5537" s="3"/>
    </row>
    <row r="5538" spans="3:6" x14ac:dyDescent="0.3">
      <c r="C5538" s="3"/>
      <c r="D5538" s="3"/>
      <c r="E5538" s="3"/>
      <c r="F5538" s="3"/>
    </row>
    <row r="5539" spans="3:6" x14ac:dyDescent="0.3">
      <c r="C5539" s="3"/>
      <c r="D5539" s="3"/>
      <c r="E5539" s="3"/>
      <c r="F5539" s="3"/>
    </row>
    <row r="5540" spans="3:6" x14ac:dyDescent="0.3">
      <c r="C5540" s="3"/>
      <c r="D5540" s="3"/>
      <c r="E5540" s="3"/>
      <c r="F5540" s="3"/>
    </row>
    <row r="5541" spans="3:6" x14ac:dyDescent="0.3">
      <c r="C5541" s="3"/>
      <c r="D5541" s="3"/>
      <c r="E5541" s="3"/>
      <c r="F5541" s="3"/>
    </row>
    <row r="5542" spans="3:6" x14ac:dyDescent="0.3">
      <c r="C5542" s="3"/>
      <c r="D5542" s="3"/>
      <c r="E5542" s="3"/>
      <c r="F5542" s="3"/>
    </row>
    <row r="5543" spans="3:6" x14ac:dyDescent="0.3">
      <c r="C5543" s="3"/>
      <c r="D5543" s="3"/>
      <c r="E5543" s="3"/>
      <c r="F5543" s="3"/>
    </row>
    <row r="5544" spans="3:6" x14ac:dyDescent="0.3">
      <c r="C5544" s="3"/>
      <c r="D5544" s="3"/>
      <c r="E5544" s="3"/>
      <c r="F5544" s="3"/>
    </row>
    <row r="5545" spans="3:6" x14ac:dyDescent="0.3">
      <c r="C5545" s="3"/>
      <c r="D5545" s="3"/>
      <c r="E5545" s="3"/>
      <c r="F5545" s="3"/>
    </row>
    <row r="5546" spans="3:6" x14ac:dyDescent="0.3">
      <c r="C5546" s="3"/>
      <c r="D5546" s="3"/>
      <c r="E5546" s="3"/>
      <c r="F5546" s="3"/>
    </row>
    <row r="5547" spans="3:6" x14ac:dyDescent="0.3">
      <c r="C5547" s="3"/>
      <c r="D5547" s="3"/>
      <c r="E5547" s="3"/>
      <c r="F5547" s="3"/>
    </row>
    <row r="5548" spans="3:6" x14ac:dyDescent="0.3">
      <c r="C5548" s="3"/>
      <c r="D5548" s="3"/>
      <c r="E5548" s="3"/>
      <c r="F5548" s="3"/>
    </row>
    <row r="5549" spans="3:6" x14ac:dyDescent="0.3">
      <c r="C5549" s="3"/>
      <c r="D5549" s="3"/>
      <c r="E5549" s="3"/>
      <c r="F5549" s="3"/>
    </row>
    <row r="5550" spans="3:6" x14ac:dyDescent="0.3">
      <c r="C5550" s="3"/>
      <c r="D5550" s="3"/>
      <c r="E5550" s="3"/>
      <c r="F5550" s="3"/>
    </row>
    <row r="5551" spans="3:6" x14ac:dyDescent="0.3">
      <c r="C5551" s="3"/>
      <c r="D5551" s="3"/>
      <c r="E5551" s="3"/>
      <c r="F5551" s="3"/>
    </row>
    <row r="5552" spans="3:6" x14ac:dyDescent="0.3">
      <c r="C5552" s="3"/>
      <c r="D5552" s="3"/>
      <c r="E5552" s="3"/>
      <c r="F5552" s="3"/>
    </row>
    <row r="5553" spans="3:6" x14ac:dyDescent="0.3">
      <c r="C5553" s="3"/>
      <c r="D5553" s="3"/>
      <c r="E5553" s="3"/>
      <c r="F5553" s="3"/>
    </row>
    <row r="5554" spans="3:6" x14ac:dyDescent="0.3">
      <c r="C5554" s="3"/>
      <c r="D5554" s="3"/>
      <c r="E5554" s="3"/>
      <c r="F5554" s="3"/>
    </row>
    <row r="5555" spans="3:6" x14ac:dyDescent="0.3">
      <c r="C5555" s="3"/>
      <c r="D5555" s="3"/>
      <c r="E5555" s="3"/>
      <c r="F5555" s="3"/>
    </row>
    <row r="5556" spans="3:6" x14ac:dyDescent="0.3">
      <c r="C5556" s="3"/>
      <c r="D5556" s="3"/>
      <c r="E5556" s="3"/>
      <c r="F5556" s="3"/>
    </row>
    <row r="5557" spans="3:6" x14ac:dyDescent="0.3">
      <c r="C5557" s="3"/>
      <c r="D5557" s="3"/>
      <c r="E5557" s="3"/>
      <c r="F5557" s="3"/>
    </row>
    <row r="5558" spans="3:6" x14ac:dyDescent="0.3">
      <c r="C5558" s="3"/>
      <c r="D5558" s="3"/>
      <c r="E5558" s="3"/>
      <c r="F5558" s="3"/>
    </row>
    <row r="5559" spans="3:6" x14ac:dyDescent="0.3">
      <c r="C5559" s="3"/>
      <c r="D5559" s="3"/>
      <c r="E5559" s="3"/>
      <c r="F5559" s="3"/>
    </row>
    <row r="5560" spans="3:6" x14ac:dyDescent="0.3">
      <c r="C5560" s="3"/>
      <c r="D5560" s="3"/>
      <c r="E5560" s="3"/>
      <c r="F5560" s="3"/>
    </row>
    <row r="5561" spans="3:6" x14ac:dyDescent="0.3">
      <c r="C5561" s="3"/>
      <c r="D5561" s="3"/>
      <c r="E5561" s="3"/>
      <c r="F5561" s="3"/>
    </row>
    <row r="5562" spans="3:6" x14ac:dyDescent="0.3">
      <c r="C5562" s="3"/>
      <c r="D5562" s="3"/>
      <c r="E5562" s="3"/>
      <c r="F5562" s="3"/>
    </row>
    <row r="5563" spans="3:6" x14ac:dyDescent="0.3">
      <c r="C5563" s="3"/>
      <c r="D5563" s="3"/>
      <c r="E5563" s="3"/>
      <c r="F5563" s="3"/>
    </row>
    <row r="5564" spans="3:6" x14ac:dyDescent="0.3">
      <c r="C5564" s="3"/>
      <c r="D5564" s="3"/>
      <c r="E5564" s="3"/>
      <c r="F5564" s="3"/>
    </row>
    <row r="5565" spans="3:6" x14ac:dyDescent="0.3">
      <c r="C5565" s="3"/>
      <c r="D5565" s="3"/>
      <c r="E5565" s="3"/>
      <c r="F5565" s="3"/>
    </row>
    <row r="5566" spans="3:6" x14ac:dyDescent="0.3">
      <c r="C5566" s="3"/>
      <c r="D5566" s="3"/>
      <c r="E5566" s="3"/>
      <c r="F5566" s="3"/>
    </row>
    <row r="5567" spans="3:6" x14ac:dyDescent="0.3">
      <c r="C5567" s="3"/>
      <c r="D5567" s="3"/>
      <c r="E5567" s="3"/>
      <c r="F5567" s="3"/>
    </row>
    <row r="5568" spans="3:6" x14ac:dyDescent="0.3">
      <c r="C5568" s="3"/>
      <c r="D5568" s="3"/>
      <c r="E5568" s="3"/>
      <c r="F5568" s="3"/>
    </row>
    <row r="5569" spans="3:6" x14ac:dyDescent="0.3">
      <c r="C5569" s="3"/>
      <c r="D5569" s="3"/>
      <c r="E5569" s="3"/>
      <c r="F5569" s="3"/>
    </row>
    <row r="5570" spans="3:6" x14ac:dyDescent="0.3">
      <c r="C5570" s="3"/>
      <c r="D5570" s="3"/>
      <c r="E5570" s="3"/>
      <c r="F5570" s="3"/>
    </row>
    <row r="5571" spans="3:6" x14ac:dyDescent="0.3">
      <c r="C5571" s="3"/>
      <c r="D5571" s="3"/>
      <c r="E5571" s="3"/>
      <c r="F5571" s="3"/>
    </row>
    <row r="5572" spans="3:6" x14ac:dyDescent="0.3">
      <c r="C5572" s="3"/>
      <c r="D5572" s="3"/>
      <c r="E5572" s="3"/>
      <c r="F5572" s="3"/>
    </row>
    <row r="5573" spans="3:6" x14ac:dyDescent="0.3">
      <c r="C5573" s="3"/>
      <c r="D5573" s="3"/>
      <c r="E5573" s="3"/>
      <c r="F5573" s="3"/>
    </row>
    <row r="5574" spans="3:6" x14ac:dyDescent="0.3">
      <c r="C5574" s="3"/>
      <c r="D5574" s="3"/>
      <c r="E5574" s="3"/>
      <c r="F5574" s="3"/>
    </row>
    <row r="5575" spans="3:6" x14ac:dyDescent="0.3">
      <c r="C5575" s="3"/>
      <c r="D5575" s="3"/>
      <c r="E5575" s="3"/>
      <c r="F5575" s="3"/>
    </row>
    <row r="5576" spans="3:6" x14ac:dyDescent="0.3">
      <c r="C5576" s="3"/>
      <c r="D5576" s="3"/>
      <c r="E5576" s="3"/>
      <c r="F5576" s="3"/>
    </row>
    <row r="5577" spans="3:6" x14ac:dyDescent="0.3">
      <c r="C5577" s="3"/>
      <c r="D5577" s="3"/>
      <c r="E5577" s="3"/>
      <c r="F5577" s="3"/>
    </row>
    <row r="5578" spans="3:6" x14ac:dyDescent="0.3">
      <c r="C5578" s="3"/>
      <c r="D5578" s="3"/>
      <c r="E5578" s="3"/>
      <c r="F5578" s="3"/>
    </row>
    <row r="5579" spans="3:6" x14ac:dyDescent="0.3">
      <c r="C5579" s="3"/>
      <c r="D5579" s="3"/>
      <c r="E5579" s="3"/>
      <c r="F5579" s="3"/>
    </row>
    <row r="5580" spans="3:6" x14ac:dyDescent="0.3">
      <c r="C5580" s="3"/>
      <c r="D5580" s="3"/>
      <c r="E5580" s="3"/>
      <c r="F5580" s="3"/>
    </row>
    <row r="5581" spans="3:6" x14ac:dyDescent="0.3">
      <c r="C5581" s="3"/>
      <c r="D5581" s="3"/>
      <c r="E5581" s="3"/>
      <c r="F5581" s="3"/>
    </row>
    <row r="5582" spans="3:6" x14ac:dyDescent="0.3">
      <c r="C5582" s="3"/>
      <c r="D5582" s="3"/>
      <c r="E5582" s="3"/>
      <c r="F5582" s="3"/>
    </row>
    <row r="5583" spans="3:6" x14ac:dyDescent="0.3">
      <c r="C5583" s="3"/>
      <c r="D5583" s="3"/>
      <c r="E5583" s="3"/>
      <c r="F5583" s="3"/>
    </row>
    <row r="5584" spans="3:6" x14ac:dyDescent="0.3">
      <c r="C5584" s="3"/>
      <c r="D5584" s="3"/>
      <c r="E5584" s="3"/>
      <c r="F5584" s="3"/>
    </row>
    <row r="5585" spans="3:6" x14ac:dyDescent="0.3">
      <c r="C5585" s="3"/>
      <c r="D5585" s="3"/>
      <c r="E5585" s="3"/>
      <c r="F5585" s="3"/>
    </row>
    <row r="5586" spans="3:6" x14ac:dyDescent="0.3">
      <c r="C5586" s="3"/>
      <c r="D5586" s="3"/>
      <c r="E5586" s="3"/>
      <c r="F5586" s="3"/>
    </row>
    <row r="5587" spans="3:6" x14ac:dyDescent="0.3">
      <c r="C5587" s="3"/>
      <c r="D5587" s="3"/>
      <c r="E5587" s="3"/>
      <c r="F5587" s="3"/>
    </row>
    <row r="5588" spans="3:6" x14ac:dyDescent="0.3">
      <c r="C5588" s="3"/>
      <c r="D5588" s="3"/>
      <c r="E5588" s="3"/>
      <c r="F5588" s="3"/>
    </row>
    <row r="5589" spans="3:6" x14ac:dyDescent="0.3">
      <c r="C5589" s="3"/>
      <c r="D5589" s="3"/>
      <c r="E5589" s="3"/>
      <c r="F5589" s="3"/>
    </row>
    <row r="5590" spans="3:6" x14ac:dyDescent="0.3">
      <c r="C5590" s="3"/>
      <c r="D5590" s="3"/>
      <c r="E5590" s="3"/>
      <c r="F5590" s="3"/>
    </row>
    <row r="5591" spans="3:6" x14ac:dyDescent="0.3">
      <c r="C5591" s="3"/>
      <c r="D5591" s="3"/>
      <c r="E5591" s="3"/>
      <c r="F5591" s="3"/>
    </row>
    <row r="5592" spans="3:6" x14ac:dyDescent="0.3">
      <c r="C5592" s="3"/>
      <c r="D5592" s="3"/>
      <c r="E5592" s="3"/>
      <c r="F5592" s="3"/>
    </row>
    <row r="5593" spans="3:6" x14ac:dyDescent="0.3">
      <c r="C5593" s="3"/>
      <c r="D5593" s="3"/>
      <c r="E5593" s="3"/>
      <c r="F5593" s="3"/>
    </row>
    <row r="5594" spans="3:6" x14ac:dyDescent="0.3">
      <c r="C5594" s="3"/>
      <c r="D5594" s="3"/>
      <c r="E5594" s="3"/>
      <c r="F5594" s="3"/>
    </row>
    <row r="5595" spans="3:6" x14ac:dyDescent="0.3">
      <c r="C5595" s="3"/>
      <c r="D5595" s="3"/>
      <c r="E5595" s="3"/>
      <c r="F5595" s="3"/>
    </row>
    <row r="5596" spans="3:6" x14ac:dyDescent="0.3">
      <c r="C5596" s="3"/>
      <c r="D5596" s="3"/>
      <c r="E5596" s="3"/>
      <c r="F5596" s="3"/>
    </row>
    <row r="5597" spans="3:6" x14ac:dyDescent="0.3">
      <c r="C5597" s="3"/>
      <c r="D5597" s="3"/>
      <c r="E5597" s="3"/>
      <c r="F5597" s="3"/>
    </row>
    <row r="5598" spans="3:6" x14ac:dyDescent="0.3">
      <c r="C5598" s="3"/>
      <c r="D5598" s="3"/>
      <c r="E5598" s="3"/>
      <c r="F5598" s="3"/>
    </row>
    <row r="5599" spans="3:6" x14ac:dyDescent="0.3">
      <c r="C5599" s="3"/>
      <c r="D5599" s="3"/>
      <c r="E5599" s="3"/>
      <c r="F5599" s="3"/>
    </row>
    <row r="5600" spans="3:6" x14ac:dyDescent="0.3">
      <c r="C5600" s="3"/>
      <c r="D5600" s="3"/>
      <c r="E5600" s="3"/>
      <c r="F5600" s="3"/>
    </row>
    <row r="5601" spans="3:6" x14ac:dyDescent="0.3">
      <c r="C5601" s="3"/>
      <c r="D5601" s="3"/>
      <c r="E5601" s="3"/>
      <c r="F5601" s="3"/>
    </row>
    <row r="5602" spans="3:6" x14ac:dyDescent="0.3">
      <c r="C5602" s="3"/>
      <c r="D5602" s="3"/>
      <c r="E5602" s="3"/>
      <c r="F5602" s="3"/>
    </row>
    <row r="5603" spans="3:6" x14ac:dyDescent="0.3">
      <c r="C5603" s="3"/>
      <c r="D5603" s="3"/>
      <c r="E5603" s="3"/>
      <c r="F5603" s="3"/>
    </row>
    <row r="5604" spans="3:6" x14ac:dyDescent="0.3">
      <c r="C5604" s="3"/>
      <c r="D5604" s="3"/>
      <c r="E5604" s="3"/>
      <c r="F5604" s="3"/>
    </row>
    <row r="5605" spans="3:6" x14ac:dyDescent="0.3">
      <c r="C5605" s="3"/>
      <c r="D5605" s="3"/>
      <c r="E5605" s="3"/>
      <c r="F5605" s="3"/>
    </row>
    <row r="5606" spans="3:6" x14ac:dyDescent="0.3">
      <c r="C5606" s="3"/>
      <c r="D5606" s="3"/>
      <c r="E5606" s="3"/>
      <c r="F5606" s="3"/>
    </row>
    <row r="5607" spans="3:6" x14ac:dyDescent="0.3">
      <c r="C5607" s="3"/>
      <c r="D5607" s="3"/>
      <c r="E5607" s="3"/>
      <c r="F5607" s="3"/>
    </row>
    <row r="5608" spans="3:6" x14ac:dyDescent="0.3">
      <c r="C5608" s="3"/>
      <c r="D5608" s="3"/>
      <c r="E5608" s="3"/>
      <c r="F5608" s="3"/>
    </row>
    <row r="5609" spans="3:6" x14ac:dyDescent="0.3">
      <c r="C5609" s="3"/>
      <c r="D5609" s="3"/>
      <c r="E5609" s="3"/>
      <c r="F5609" s="3"/>
    </row>
    <row r="5610" spans="3:6" x14ac:dyDescent="0.3">
      <c r="C5610" s="3"/>
      <c r="D5610" s="3"/>
      <c r="E5610" s="3"/>
      <c r="F5610" s="3"/>
    </row>
    <row r="5611" spans="3:6" x14ac:dyDescent="0.3">
      <c r="C5611" s="3"/>
      <c r="D5611" s="3"/>
      <c r="E5611" s="3"/>
      <c r="F5611" s="3"/>
    </row>
    <row r="5612" spans="3:6" x14ac:dyDescent="0.3">
      <c r="C5612" s="3"/>
      <c r="D5612" s="3"/>
      <c r="E5612" s="3"/>
      <c r="F5612" s="3"/>
    </row>
    <row r="5613" spans="3:6" x14ac:dyDescent="0.3">
      <c r="C5613" s="3"/>
      <c r="D5613" s="3"/>
      <c r="E5613" s="3"/>
      <c r="F5613" s="3"/>
    </row>
    <row r="5614" spans="3:6" x14ac:dyDescent="0.3">
      <c r="C5614" s="3"/>
      <c r="D5614" s="3"/>
      <c r="E5614" s="3"/>
      <c r="F5614" s="3"/>
    </row>
    <row r="5615" spans="3:6" x14ac:dyDescent="0.3">
      <c r="C5615" s="3"/>
      <c r="D5615" s="3"/>
      <c r="E5615" s="3"/>
      <c r="F5615" s="3"/>
    </row>
    <row r="5616" spans="3:6" x14ac:dyDescent="0.3">
      <c r="C5616" s="3"/>
      <c r="D5616" s="3"/>
      <c r="E5616" s="3"/>
      <c r="F5616" s="3"/>
    </row>
    <row r="5617" spans="3:6" x14ac:dyDescent="0.3">
      <c r="C5617" s="3"/>
      <c r="D5617" s="3"/>
      <c r="E5617" s="3"/>
      <c r="F5617" s="3"/>
    </row>
    <row r="5618" spans="3:6" x14ac:dyDescent="0.3">
      <c r="C5618" s="3"/>
      <c r="D5618" s="3"/>
      <c r="E5618" s="3"/>
      <c r="F5618" s="3"/>
    </row>
    <row r="5619" spans="3:6" x14ac:dyDescent="0.3">
      <c r="C5619" s="3"/>
      <c r="D5619" s="3"/>
      <c r="E5619" s="3"/>
      <c r="F5619" s="3"/>
    </row>
    <row r="5620" spans="3:6" x14ac:dyDescent="0.3">
      <c r="C5620" s="3"/>
      <c r="D5620" s="3"/>
      <c r="E5620" s="3"/>
      <c r="F5620" s="3"/>
    </row>
    <row r="5621" spans="3:6" x14ac:dyDescent="0.3">
      <c r="C5621" s="3"/>
      <c r="D5621" s="3"/>
      <c r="E5621" s="3"/>
      <c r="F5621" s="3"/>
    </row>
    <row r="5622" spans="3:6" x14ac:dyDescent="0.3">
      <c r="C5622" s="3"/>
      <c r="D5622" s="3"/>
      <c r="E5622" s="3"/>
      <c r="F5622" s="3"/>
    </row>
    <row r="5623" spans="3:6" x14ac:dyDescent="0.3">
      <c r="C5623" s="3"/>
      <c r="D5623" s="3"/>
      <c r="E5623" s="3"/>
      <c r="F5623" s="3"/>
    </row>
    <row r="5624" spans="3:6" x14ac:dyDescent="0.3">
      <c r="C5624" s="3"/>
      <c r="D5624" s="3"/>
      <c r="E5624" s="3"/>
      <c r="F5624" s="3"/>
    </row>
    <row r="5625" spans="3:6" x14ac:dyDescent="0.3">
      <c r="C5625" s="3"/>
      <c r="D5625" s="3"/>
      <c r="E5625" s="3"/>
      <c r="F5625" s="3"/>
    </row>
    <row r="5626" spans="3:6" x14ac:dyDescent="0.3">
      <c r="C5626" s="3"/>
      <c r="D5626" s="3"/>
      <c r="E5626" s="3"/>
      <c r="F5626" s="3"/>
    </row>
    <row r="5627" spans="3:6" x14ac:dyDescent="0.3">
      <c r="C5627" s="3"/>
      <c r="D5627" s="3"/>
      <c r="E5627" s="3"/>
      <c r="F5627" s="3"/>
    </row>
    <row r="5628" spans="3:6" x14ac:dyDescent="0.3">
      <c r="C5628" s="3"/>
      <c r="D5628" s="3"/>
      <c r="E5628" s="3"/>
      <c r="F5628" s="3"/>
    </row>
    <row r="5629" spans="3:6" x14ac:dyDescent="0.3">
      <c r="C5629" s="3"/>
      <c r="D5629" s="3"/>
      <c r="E5629" s="3"/>
      <c r="F5629" s="3"/>
    </row>
    <row r="5630" spans="3:6" x14ac:dyDescent="0.3">
      <c r="C5630" s="3"/>
      <c r="D5630" s="3"/>
      <c r="E5630" s="3"/>
      <c r="F5630" s="3"/>
    </row>
    <row r="5631" spans="3:6" x14ac:dyDescent="0.3">
      <c r="C5631" s="3"/>
      <c r="D5631" s="3"/>
      <c r="E5631" s="3"/>
      <c r="F5631" s="3"/>
    </row>
    <row r="5632" spans="3:6" x14ac:dyDescent="0.3">
      <c r="C5632" s="3"/>
      <c r="D5632" s="3"/>
      <c r="E5632" s="3"/>
      <c r="F5632" s="3"/>
    </row>
    <row r="5633" spans="3:6" x14ac:dyDescent="0.3">
      <c r="C5633" s="3"/>
      <c r="D5633" s="3"/>
      <c r="E5633" s="3"/>
      <c r="F5633" s="3"/>
    </row>
    <row r="5634" spans="3:6" x14ac:dyDescent="0.3">
      <c r="C5634" s="3"/>
      <c r="D5634" s="3"/>
      <c r="E5634" s="3"/>
      <c r="F5634" s="3"/>
    </row>
    <row r="5635" spans="3:6" x14ac:dyDescent="0.3">
      <c r="C5635" s="3"/>
      <c r="D5635" s="3"/>
      <c r="E5635" s="3"/>
      <c r="F5635" s="3"/>
    </row>
    <row r="5636" spans="3:6" x14ac:dyDescent="0.3">
      <c r="C5636" s="3"/>
      <c r="D5636" s="3"/>
      <c r="E5636" s="3"/>
      <c r="F5636" s="3"/>
    </row>
    <row r="5637" spans="3:6" x14ac:dyDescent="0.3">
      <c r="C5637" s="3"/>
      <c r="D5637" s="3"/>
      <c r="E5637" s="3"/>
      <c r="F5637" s="3"/>
    </row>
    <row r="5638" spans="3:6" x14ac:dyDescent="0.3">
      <c r="C5638" s="3"/>
      <c r="D5638" s="3"/>
      <c r="E5638" s="3"/>
      <c r="F5638" s="3"/>
    </row>
    <row r="5639" spans="3:6" x14ac:dyDescent="0.3">
      <c r="C5639" s="3"/>
      <c r="D5639" s="3"/>
      <c r="E5639" s="3"/>
      <c r="F5639" s="3"/>
    </row>
    <row r="5640" spans="3:6" x14ac:dyDescent="0.3">
      <c r="C5640" s="3"/>
      <c r="D5640" s="3"/>
      <c r="E5640" s="3"/>
      <c r="F5640" s="3"/>
    </row>
    <row r="5641" spans="3:6" x14ac:dyDescent="0.3">
      <c r="C5641" s="3"/>
      <c r="D5641" s="3"/>
      <c r="E5641" s="3"/>
      <c r="F5641" s="3"/>
    </row>
    <row r="5642" spans="3:6" x14ac:dyDescent="0.3">
      <c r="C5642" s="3"/>
      <c r="D5642" s="3"/>
      <c r="E5642" s="3"/>
      <c r="F5642" s="3"/>
    </row>
    <row r="5643" spans="3:6" x14ac:dyDescent="0.3">
      <c r="C5643" s="3"/>
      <c r="D5643" s="3"/>
      <c r="E5643" s="3"/>
      <c r="F5643" s="3"/>
    </row>
    <row r="5644" spans="3:6" x14ac:dyDescent="0.3">
      <c r="C5644" s="3"/>
      <c r="D5644" s="3"/>
      <c r="E5644" s="3"/>
      <c r="F5644" s="3"/>
    </row>
    <row r="5645" spans="3:6" x14ac:dyDescent="0.3">
      <c r="C5645" s="3"/>
      <c r="D5645" s="3"/>
      <c r="E5645" s="3"/>
      <c r="F5645" s="3"/>
    </row>
    <row r="5646" spans="3:6" x14ac:dyDescent="0.3">
      <c r="C5646" s="3"/>
      <c r="D5646" s="3"/>
      <c r="E5646" s="3"/>
      <c r="F5646" s="3"/>
    </row>
    <row r="5647" spans="3:6" x14ac:dyDescent="0.3">
      <c r="C5647" s="3"/>
      <c r="D5647" s="3"/>
      <c r="E5647" s="3"/>
      <c r="F5647" s="3"/>
    </row>
    <row r="5648" spans="3:6" x14ac:dyDescent="0.3">
      <c r="C5648" s="3"/>
      <c r="D5648" s="3"/>
      <c r="E5648" s="3"/>
      <c r="F5648" s="3"/>
    </row>
    <row r="5649" spans="3:6" x14ac:dyDescent="0.3">
      <c r="C5649" s="3"/>
      <c r="D5649" s="3"/>
      <c r="E5649" s="3"/>
      <c r="F5649" s="3"/>
    </row>
    <row r="5650" spans="3:6" x14ac:dyDescent="0.3">
      <c r="C5650" s="3"/>
      <c r="D5650" s="3"/>
      <c r="E5650" s="3"/>
      <c r="F5650" s="3"/>
    </row>
    <row r="5651" spans="3:6" x14ac:dyDescent="0.3">
      <c r="C5651" s="3"/>
      <c r="D5651" s="3"/>
      <c r="E5651" s="3"/>
      <c r="F5651" s="3"/>
    </row>
    <row r="5652" spans="3:6" x14ac:dyDescent="0.3">
      <c r="C5652" s="3"/>
      <c r="D5652" s="3"/>
      <c r="E5652" s="3"/>
      <c r="F5652" s="3"/>
    </row>
    <row r="5653" spans="3:6" x14ac:dyDescent="0.3">
      <c r="C5653" s="3"/>
      <c r="D5653" s="3"/>
      <c r="E5653" s="3"/>
      <c r="F5653" s="3"/>
    </row>
    <row r="5654" spans="3:6" x14ac:dyDescent="0.3">
      <c r="C5654" s="3"/>
      <c r="D5654" s="3"/>
      <c r="E5654" s="3"/>
      <c r="F5654" s="3"/>
    </row>
    <row r="5655" spans="3:6" x14ac:dyDescent="0.3">
      <c r="C5655" s="3"/>
      <c r="D5655" s="3"/>
      <c r="E5655" s="3"/>
      <c r="F5655" s="3"/>
    </row>
    <row r="5656" spans="3:6" x14ac:dyDescent="0.3">
      <c r="C5656" s="3"/>
      <c r="D5656" s="3"/>
      <c r="E5656" s="3"/>
      <c r="F5656" s="3"/>
    </row>
    <row r="5657" spans="3:6" x14ac:dyDescent="0.3">
      <c r="C5657" s="3"/>
      <c r="D5657" s="3"/>
      <c r="E5657" s="3"/>
      <c r="F5657" s="3"/>
    </row>
    <row r="5658" spans="3:6" x14ac:dyDescent="0.3">
      <c r="C5658" s="3"/>
      <c r="D5658" s="3"/>
      <c r="E5658" s="3"/>
      <c r="F5658" s="3"/>
    </row>
    <row r="5659" spans="3:6" x14ac:dyDescent="0.3">
      <c r="C5659" s="3"/>
      <c r="D5659" s="3"/>
      <c r="E5659" s="3"/>
      <c r="F5659" s="3"/>
    </row>
    <row r="5660" spans="3:6" x14ac:dyDescent="0.3">
      <c r="C5660" s="3"/>
      <c r="D5660" s="3"/>
      <c r="E5660" s="3"/>
      <c r="F5660" s="3"/>
    </row>
    <row r="5661" spans="3:6" x14ac:dyDescent="0.3">
      <c r="C5661" s="3"/>
      <c r="D5661" s="3"/>
      <c r="E5661" s="3"/>
      <c r="F5661" s="3"/>
    </row>
    <row r="5662" spans="3:6" x14ac:dyDescent="0.3">
      <c r="C5662" s="3"/>
      <c r="D5662" s="3"/>
      <c r="E5662" s="3"/>
      <c r="F5662" s="3"/>
    </row>
    <row r="5663" spans="3:6" x14ac:dyDescent="0.3">
      <c r="C5663" s="3"/>
      <c r="D5663" s="3"/>
      <c r="E5663" s="3"/>
      <c r="F5663" s="3"/>
    </row>
    <row r="5664" spans="3:6" x14ac:dyDescent="0.3">
      <c r="C5664" s="3"/>
      <c r="D5664" s="3"/>
      <c r="E5664" s="3"/>
      <c r="F5664" s="3"/>
    </row>
    <row r="5665" spans="3:6" x14ac:dyDescent="0.3">
      <c r="C5665" s="3"/>
      <c r="D5665" s="3"/>
      <c r="E5665" s="3"/>
      <c r="F5665" s="3"/>
    </row>
    <row r="5666" spans="3:6" x14ac:dyDescent="0.3">
      <c r="C5666" s="3"/>
      <c r="D5666" s="3"/>
      <c r="E5666" s="3"/>
      <c r="F5666" s="3"/>
    </row>
    <row r="5667" spans="3:6" x14ac:dyDescent="0.3">
      <c r="C5667" s="3"/>
      <c r="D5667" s="3"/>
      <c r="E5667" s="3"/>
      <c r="F5667" s="3"/>
    </row>
    <row r="5668" spans="3:6" x14ac:dyDescent="0.3">
      <c r="C5668" s="3"/>
      <c r="D5668" s="3"/>
      <c r="E5668" s="3"/>
      <c r="F5668" s="3"/>
    </row>
    <row r="5669" spans="3:6" x14ac:dyDescent="0.3">
      <c r="C5669" s="3"/>
      <c r="D5669" s="3"/>
      <c r="E5669" s="3"/>
      <c r="F5669" s="3"/>
    </row>
    <row r="5670" spans="3:6" x14ac:dyDescent="0.3">
      <c r="C5670" s="3"/>
      <c r="D5670" s="3"/>
      <c r="E5670" s="3"/>
      <c r="F5670" s="3"/>
    </row>
    <row r="5671" spans="3:6" x14ac:dyDescent="0.3">
      <c r="C5671" s="3"/>
      <c r="D5671" s="3"/>
      <c r="E5671" s="3"/>
      <c r="F5671" s="3"/>
    </row>
    <row r="5672" spans="3:6" x14ac:dyDescent="0.3">
      <c r="C5672" s="3"/>
      <c r="D5672" s="3"/>
      <c r="E5672" s="3"/>
      <c r="F5672" s="3"/>
    </row>
    <row r="5673" spans="3:6" x14ac:dyDescent="0.3">
      <c r="C5673" s="3"/>
      <c r="D5673" s="3"/>
      <c r="E5673" s="3"/>
      <c r="F5673" s="3"/>
    </row>
    <row r="5674" spans="3:6" x14ac:dyDescent="0.3">
      <c r="C5674" s="3"/>
      <c r="D5674" s="3"/>
      <c r="E5674" s="3"/>
      <c r="F5674" s="3"/>
    </row>
    <row r="5675" spans="3:6" x14ac:dyDescent="0.3">
      <c r="C5675" s="3"/>
      <c r="D5675" s="3"/>
      <c r="E5675" s="3"/>
      <c r="F5675" s="3"/>
    </row>
    <row r="5676" spans="3:6" x14ac:dyDescent="0.3">
      <c r="C5676" s="3"/>
      <c r="D5676" s="3"/>
      <c r="E5676" s="3"/>
      <c r="F5676" s="3"/>
    </row>
    <row r="5677" spans="3:6" x14ac:dyDescent="0.3">
      <c r="C5677" s="3"/>
      <c r="D5677" s="3"/>
      <c r="E5677" s="3"/>
      <c r="F5677" s="3"/>
    </row>
    <row r="5678" spans="3:6" x14ac:dyDescent="0.3">
      <c r="C5678" s="3"/>
      <c r="D5678" s="3"/>
      <c r="E5678" s="3"/>
      <c r="F5678" s="3"/>
    </row>
    <row r="5679" spans="3:6" x14ac:dyDescent="0.3">
      <c r="C5679" s="3"/>
      <c r="D5679" s="3"/>
      <c r="E5679" s="3"/>
      <c r="F5679" s="3"/>
    </row>
    <row r="5680" spans="3:6" x14ac:dyDescent="0.3">
      <c r="C5680" s="3"/>
      <c r="D5680" s="3"/>
      <c r="E5680" s="3"/>
      <c r="F5680" s="3"/>
    </row>
    <row r="5681" spans="3:6" x14ac:dyDescent="0.3">
      <c r="C5681" s="3"/>
      <c r="D5681" s="3"/>
      <c r="E5681" s="3"/>
      <c r="F5681" s="3"/>
    </row>
    <row r="5682" spans="3:6" x14ac:dyDescent="0.3">
      <c r="C5682" s="3"/>
      <c r="D5682" s="3"/>
      <c r="E5682" s="3"/>
      <c r="F5682" s="3"/>
    </row>
    <row r="5683" spans="3:6" x14ac:dyDescent="0.3">
      <c r="C5683" s="3"/>
      <c r="D5683" s="3"/>
      <c r="E5683" s="3"/>
      <c r="F5683" s="3"/>
    </row>
    <row r="5684" spans="3:6" x14ac:dyDescent="0.3">
      <c r="C5684" s="3"/>
      <c r="D5684" s="3"/>
      <c r="E5684" s="3"/>
      <c r="F5684" s="3"/>
    </row>
    <row r="5685" spans="3:6" x14ac:dyDescent="0.3">
      <c r="C5685" s="3"/>
      <c r="D5685" s="3"/>
      <c r="E5685" s="3"/>
      <c r="F5685" s="3"/>
    </row>
    <row r="5686" spans="3:6" x14ac:dyDescent="0.3">
      <c r="C5686" s="3"/>
      <c r="D5686" s="3"/>
      <c r="E5686" s="3"/>
      <c r="F5686" s="3"/>
    </row>
    <row r="5687" spans="3:6" x14ac:dyDescent="0.3">
      <c r="C5687" s="3"/>
      <c r="D5687" s="3"/>
      <c r="E5687" s="3"/>
      <c r="F5687" s="3"/>
    </row>
    <row r="5688" spans="3:6" x14ac:dyDescent="0.3">
      <c r="C5688" s="3"/>
      <c r="D5688" s="3"/>
      <c r="E5688" s="3"/>
      <c r="F5688" s="3"/>
    </row>
    <row r="5689" spans="3:6" x14ac:dyDescent="0.3">
      <c r="C5689" s="3"/>
      <c r="D5689" s="3"/>
      <c r="E5689" s="3"/>
      <c r="F5689" s="3"/>
    </row>
    <row r="5690" spans="3:6" x14ac:dyDescent="0.3">
      <c r="C5690" s="3"/>
      <c r="D5690" s="3"/>
      <c r="E5690" s="3"/>
      <c r="F5690" s="3"/>
    </row>
    <row r="5691" spans="3:6" x14ac:dyDescent="0.3">
      <c r="C5691" s="3"/>
      <c r="D5691" s="3"/>
      <c r="E5691" s="3"/>
      <c r="F5691" s="3"/>
    </row>
    <row r="5692" spans="3:6" x14ac:dyDescent="0.3">
      <c r="C5692" s="3"/>
      <c r="D5692" s="3"/>
      <c r="E5692" s="3"/>
      <c r="F5692" s="3"/>
    </row>
    <row r="5693" spans="3:6" x14ac:dyDescent="0.3">
      <c r="C5693" s="3"/>
      <c r="D5693" s="3"/>
      <c r="E5693" s="3"/>
      <c r="F5693" s="3"/>
    </row>
    <row r="5694" spans="3:6" x14ac:dyDescent="0.3">
      <c r="C5694" s="3"/>
      <c r="D5694" s="3"/>
      <c r="E5694" s="3"/>
      <c r="F5694" s="3"/>
    </row>
    <row r="5695" spans="3:6" x14ac:dyDescent="0.3">
      <c r="C5695" s="3"/>
      <c r="D5695" s="3"/>
      <c r="E5695" s="3"/>
      <c r="F5695" s="3"/>
    </row>
    <row r="5696" spans="3:6" x14ac:dyDescent="0.3">
      <c r="C5696" s="3"/>
      <c r="D5696" s="3"/>
      <c r="E5696" s="3"/>
      <c r="F5696" s="3"/>
    </row>
    <row r="5697" spans="3:6" x14ac:dyDescent="0.3">
      <c r="C5697" s="3"/>
      <c r="D5697" s="3"/>
      <c r="E5697" s="3"/>
      <c r="F5697" s="3"/>
    </row>
    <row r="5698" spans="3:6" x14ac:dyDescent="0.3">
      <c r="C5698" s="3"/>
      <c r="D5698" s="3"/>
      <c r="E5698" s="3"/>
      <c r="F5698" s="3"/>
    </row>
    <row r="5699" spans="3:6" x14ac:dyDescent="0.3">
      <c r="C5699" s="3"/>
      <c r="D5699" s="3"/>
      <c r="E5699" s="3"/>
      <c r="F5699" s="3"/>
    </row>
    <row r="5700" spans="3:6" x14ac:dyDescent="0.3">
      <c r="C5700" s="3"/>
      <c r="D5700" s="3"/>
      <c r="E5700" s="3"/>
      <c r="F5700" s="3"/>
    </row>
    <row r="5701" spans="3:6" x14ac:dyDescent="0.3">
      <c r="C5701" s="3"/>
      <c r="D5701" s="3"/>
      <c r="E5701" s="3"/>
      <c r="F5701" s="3"/>
    </row>
    <row r="5702" spans="3:6" x14ac:dyDescent="0.3">
      <c r="C5702" s="3"/>
      <c r="D5702" s="3"/>
      <c r="E5702" s="3"/>
      <c r="F5702" s="3"/>
    </row>
    <row r="5703" spans="3:6" x14ac:dyDescent="0.3">
      <c r="C5703" s="3"/>
      <c r="D5703" s="3"/>
      <c r="E5703" s="3"/>
      <c r="F5703" s="3"/>
    </row>
    <row r="5704" spans="3:6" x14ac:dyDescent="0.3">
      <c r="C5704" s="3"/>
      <c r="D5704" s="3"/>
      <c r="E5704" s="3"/>
      <c r="F5704" s="3"/>
    </row>
    <row r="5705" spans="3:6" x14ac:dyDescent="0.3">
      <c r="C5705" s="3"/>
      <c r="D5705" s="3"/>
      <c r="E5705" s="3"/>
      <c r="F5705" s="3"/>
    </row>
    <row r="5706" spans="3:6" x14ac:dyDescent="0.3">
      <c r="C5706" s="3"/>
      <c r="D5706" s="3"/>
      <c r="E5706" s="3"/>
      <c r="F5706" s="3"/>
    </row>
    <row r="5707" spans="3:6" x14ac:dyDescent="0.3">
      <c r="C5707" s="3"/>
      <c r="D5707" s="3"/>
      <c r="E5707" s="3"/>
      <c r="F5707" s="3"/>
    </row>
    <row r="5708" spans="3:6" x14ac:dyDescent="0.3">
      <c r="C5708" s="3"/>
      <c r="D5708" s="3"/>
      <c r="E5708" s="3"/>
      <c r="F5708" s="3"/>
    </row>
    <row r="5709" spans="3:6" x14ac:dyDescent="0.3">
      <c r="C5709" s="3"/>
      <c r="D5709" s="3"/>
      <c r="E5709" s="3"/>
      <c r="F5709" s="3"/>
    </row>
    <row r="5710" spans="3:6" x14ac:dyDescent="0.3">
      <c r="C5710" s="3"/>
      <c r="D5710" s="3"/>
      <c r="E5710" s="3"/>
      <c r="F5710" s="3"/>
    </row>
    <row r="5711" spans="3:6" x14ac:dyDescent="0.3">
      <c r="C5711" s="3"/>
      <c r="D5711" s="3"/>
      <c r="E5711" s="3"/>
      <c r="F5711" s="3"/>
    </row>
    <row r="5712" spans="3:6" x14ac:dyDescent="0.3">
      <c r="C5712" s="3"/>
      <c r="D5712" s="3"/>
      <c r="E5712" s="3"/>
      <c r="F5712" s="3"/>
    </row>
    <row r="5713" spans="3:6" x14ac:dyDescent="0.3">
      <c r="C5713" s="3"/>
      <c r="D5713" s="3"/>
      <c r="E5713" s="3"/>
      <c r="F5713" s="3"/>
    </row>
    <row r="5714" spans="3:6" x14ac:dyDescent="0.3">
      <c r="C5714" s="3"/>
      <c r="D5714" s="3"/>
      <c r="E5714" s="3"/>
      <c r="F5714" s="3"/>
    </row>
    <row r="5715" spans="3:6" x14ac:dyDescent="0.3">
      <c r="C5715" s="3"/>
      <c r="D5715" s="3"/>
      <c r="E5715" s="3"/>
      <c r="F5715" s="3"/>
    </row>
    <row r="5716" spans="3:6" x14ac:dyDescent="0.3">
      <c r="C5716" s="3"/>
      <c r="D5716" s="3"/>
      <c r="E5716" s="3"/>
      <c r="F5716" s="3"/>
    </row>
    <row r="5717" spans="3:6" x14ac:dyDescent="0.3">
      <c r="C5717" s="3"/>
      <c r="D5717" s="3"/>
      <c r="E5717" s="3"/>
      <c r="F5717" s="3"/>
    </row>
    <row r="5718" spans="3:6" x14ac:dyDescent="0.3">
      <c r="C5718" s="3"/>
      <c r="D5718" s="3"/>
      <c r="E5718" s="3"/>
      <c r="F5718" s="3"/>
    </row>
    <row r="5719" spans="3:6" x14ac:dyDescent="0.3">
      <c r="C5719" s="3"/>
      <c r="D5719" s="3"/>
      <c r="E5719" s="3"/>
      <c r="F5719" s="3"/>
    </row>
    <row r="5720" spans="3:6" x14ac:dyDescent="0.3">
      <c r="C5720" s="3"/>
      <c r="D5720" s="3"/>
      <c r="E5720" s="3"/>
      <c r="F5720" s="3"/>
    </row>
    <row r="5721" spans="3:6" x14ac:dyDescent="0.3">
      <c r="C5721" s="3"/>
      <c r="D5721" s="3"/>
      <c r="E5721" s="3"/>
      <c r="F5721" s="3"/>
    </row>
    <row r="5722" spans="3:6" x14ac:dyDescent="0.3">
      <c r="C5722" s="3"/>
      <c r="D5722" s="3"/>
      <c r="E5722" s="3"/>
      <c r="F5722" s="3"/>
    </row>
    <row r="5723" spans="3:6" x14ac:dyDescent="0.3">
      <c r="C5723" s="3"/>
      <c r="D5723" s="3"/>
      <c r="E5723" s="3"/>
      <c r="F5723" s="3"/>
    </row>
    <row r="5724" spans="3:6" x14ac:dyDescent="0.3">
      <c r="C5724" s="3"/>
      <c r="D5724" s="3"/>
      <c r="E5724" s="3"/>
      <c r="F5724" s="3"/>
    </row>
    <row r="5725" spans="3:6" x14ac:dyDescent="0.3">
      <c r="C5725" s="3"/>
      <c r="D5725" s="3"/>
      <c r="E5725" s="3"/>
      <c r="F5725" s="3"/>
    </row>
    <row r="5726" spans="3:6" x14ac:dyDescent="0.3">
      <c r="C5726" s="3"/>
      <c r="D5726" s="3"/>
      <c r="E5726" s="3"/>
      <c r="F5726" s="3"/>
    </row>
    <row r="5727" spans="3:6" x14ac:dyDescent="0.3">
      <c r="C5727" s="3"/>
      <c r="D5727" s="3"/>
      <c r="E5727" s="3"/>
      <c r="F5727" s="3"/>
    </row>
    <row r="5728" spans="3:6" x14ac:dyDescent="0.3">
      <c r="C5728" s="3"/>
      <c r="D5728" s="3"/>
      <c r="E5728" s="3"/>
      <c r="F5728" s="3"/>
    </row>
    <row r="5729" spans="3:6" x14ac:dyDescent="0.3">
      <c r="C5729" s="3"/>
      <c r="D5729" s="3"/>
      <c r="E5729" s="3"/>
      <c r="F5729" s="3"/>
    </row>
    <row r="5730" spans="3:6" x14ac:dyDescent="0.3">
      <c r="C5730" s="3"/>
      <c r="D5730" s="3"/>
      <c r="E5730" s="3"/>
      <c r="F5730" s="3"/>
    </row>
    <row r="5731" spans="3:6" x14ac:dyDescent="0.3">
      <c r="C5731" s="3"/>
      <c r="D5731" s="3"/>
      <c r="E5731" s="3"/>
      <c r="F5731" s="3"/>
    </row>
    <row r="5732" spans="3:6" x14ac:dyDescent="0.3">
      <c r="C5732" s="3"/>
      <c r="D5732" s="3"/>
      <c r="E5732" s="3"/>
      <c r="F5732" s="3"/>
    </row>
    <row r="5733" spans="3:6" x14ac:dyDescent="0.3">
      <c r="C5733" s="3"/>
      <c r="D5733" s="3"/>
      <c r="E5733" s="3"/>
      <c r="F5733" s="3"/>
    </row>
    <row r="5734" spans="3:6" x14ac:dyDescent="0.3">
      <c r="C5734" s="3"/>
      <c r="D5734" s="3"/>
      <c r="E5734" s="3"/>
      <c r="F5734" s="3"/>
    </row>
    <row r="5735" spans="3:6" x14ac:dyDescent="0.3">
      <c r="C5735" s="3"/>
      <c r="D5735" s="3"/>
      <c r="E5735" s="3"/>
      <c r="F5735" s="3"/>
    </row>
    <row r="5736" spans="3:6" x14ac:dyDescent="0.3">
      <c r="C5736" s="3"/>
      <c r="D5736" s="3"/>
      <c r="E5736" s="3"/>
      <c r="F5736" s="3"/>
    </row>
    <row r="5737" spans="3:6" x14ac:dyDescent="0.3">
      <c r="C5737" s="3"/>
      <c r="D5737" s="3"/>
      <c r="E5737" s="3"/>
      <c r="F5737" s="3"/>
    </row>
    <row r="5738" spans="3:6" x14ac:dyDescent="0.3">
      <c r="C5738" s="3"/>
      <c r="D5738" s="3"/>
      <c r="E5738" s="3"/>
      <c r="F5738" s="3"/>
    </row>
    <row r="5739" spans="3:6" x14ac:dyDescent="0.3">
      <c r="C5739" s="3"/>
      <c r="D5739" s="3"/>
      <c r="E5739" s="3"/>
      <c r="F5739" s="3"/>
    </row>
    <row r="5740" spans="3:6" x14ac:dyDescent="0.3">
      <c r="C5740" s="3"/>
      <c r="D5740" s="3"/>
      <c r="E5740" s="3"/>
      <c r="F5740" s="3"/>
    </row>
    <row r="5741" spans="3:6" x14ac:dyDescent="0.3">
      <c r="C5741" s="3"/>
      <c r="D5741" s="3"/>
      <c r="E5741" s="3"/>
      <c r="F5741" s="3"/>
    </row>
    <row r="5742" spans="3:6" x14ac:dyDescent="0.3">
      <c r="C5742" s="3"/>
      <c r="D5742" s="3"/>
      <c r="E5742" s="3"/>
      <c r="F5742" s="3"/>
    </row>
    <row r="5743" spans="3:6" x14ac:dyDescent="0.3">
      <c r="C5743" s="3"/>
      <c r="D5743" s="3"/>
      <c r="E5743" s="3"/>
      <c r="F5743" s="3"/>
    </row>
    <row r="5744" spans="3:6" x14ac:dyDescent="0.3">
      <c r="C5744" s="3"/>
      <c r="D5744" s="3"/>
      <c r="E5744" s="3"/>
      <c r="F5744" s="3"/>
    </row>
    <row r="5745" spans="3:6" x14ac:dyDescent="0.3">
      <c r="C5745" s="3"/>
      <c r="D5745" s="3"/>
      <c r="E5745" s="3"/>
      <c r="F5745" s="3"/>
    </row>
    <row r="5746" spans="3:6" x14ac:dyDescent="0.3">
      <c r="C5746" s="3"/>
      <c r="D5746" s="3"/>
      <c r="E5746" s="3"/>
      <c r="F5746" s="3"/>
    </row>
    <row r="5747" spans="3:6" x14ac:dyDescent="0.3">
      <c r="C5747" s="3"/>
      <c r="D5747" s="3"/>
      <c r="E5747" s="3"/>
      <c r="F5747" s="3"/>
    </row>
    <row r="5748" spans="3:6" x14ac:dyDescent="0.3">
      <c r="C5748" s="3"/>
      <c r="D5748" s="3"/>
      <c r="E5748" s="3"/>
      <c r="F5748" s="3"/>
    </row>
    <row r="5749" spans="3:6" x14ac:dyDescent="0.3">
      <c r="C5749" s="3"/>
      <c r="D5749" s="3"/>
      <c r="E5749" s="3"/>
      <c r="F5749" s="3"/>
    </row>
    <row r="5750" spans="3:6" x14ac:dyDescent="0.3">
      <c r="C5750" s="3"/>
      <c r="D5750" s="3"/>
      <c r="E5750" s="3"/>
      <c r="F5750" s="3"/>
    </row>
    <row r="5751" spans="3:6" x14ac:dyDescent="0.3">
      <c r="C5751" s="3"/>
      <c r="D5751" s="3"/>
      <c r="E5751" s="3"/>
      <c r="F5751" s="3"/>
    </row>
    <row r="5752" spans="3:6" x14ac:dyDescent="0.3">
      <c r="C5752" s="3"/>
      <c r="D5752" s="3"/>
      <c r="E5752" s="3"/>
      <c r="F5752" s="3"/>
    </row>
    <row r="5753" spans="3:6" x14ac:dyDescent="0.3">
      <c r="C5753" s="3"/>
      <c r="D5753" s="3"/>
      <c r="E5753" s="3"/>
      <c r="F5753" s="3"/>
    </row>
    <row r="5754" spans="3:6" x14ac:dyDescent="0.3">
      <c r="C5754" s="3"/>
      <c r="D5754" s="3"/>
      <c r="E5754" s="3"/>
      <c r="F5754" s="3"/>
    </row>
    <row r="5755" spans="3:6" x14ac:dyDescent="0.3">
      <c r="C5755" s="3"/>
      <c r="D5755" s="3"/>
      <c r="E5755" s="3"/>
      <c r="F5755" s="3"/>
    </row>
    <row r="5756" spans="3:6" x14ac:dyDescent="0.3">
      <c r="C5756" s="3"/>
      <c r="D5756" s="3"/>
      <c r="E5756" s="3"/>
      <c r="F5756" s="3"/>
    </row>
    <row r="5757" spans="3:6" x14ac:dyDescent="0.3">
      <c r="C5757" s="3"/>
      <c r="D5757" s="3"/>
      <c r="E5757" s="3"/>
      <c r="F5757" s="3"/>
    </row>
    <row r="5758" spans="3:6" x14ac:dyDescent="0.3">
      <c r="C5758" s="3"/>
      <c r="D5758" s="3"/>
      <c r="E5758" s="3"/>
      <c r="F5758" s="3"/>
    </row>
    <row r="5759" spans="3:6" x14ac:dyDescent="0.3">
      <c r="C5759" s="3"/>
      <c r="D5759" s="3"/>
      <c r="E5759" s="3"/>
      <c r="F5759" s="3"/>
    </row>
    <row r="5760" spans="3:6" x14ac:dyDescent="0.3">
      <c r="C5760" s="3"/>
      <c r="D5760" s="3"/>
      <c r="E5760" s="3"/>
      <c r="F5760" s="3"/>
    </row>
    <row r="5761" spans="3:6" x14ac:dyDescent="0.3">
      <c r="C5761" s="3"/>
      <c r="D5761" s="3"/>
      <c r="E5761" s="3"/>
      <c r="F5761" s="3"/>
    </row>
    <row r="5762" spans="3:6" x14ac:dyDescent="0.3">
      <c r="C5762" s="3"/>
      <c r="D5762" s="3"/>
      <c r="E5762" s="3"/>
      <c r="F5762" s="3"/>
    </row>
    <row r="5763" spans="3:6" x14ac:dyDescent="0.3">
      <c r="C5763" s="3"/>
      <c r="D5763" s="3"/>
      <c r="E5763" s="3"/>
      <c r="F5763" s="3"/>
    </row>
    <row r="5764" spans="3:6" x14ac:dyDescent="0.3">
      <c r="C5764" s="3"/>
      <c r="D5764" s="3"/>
      <c r="E5764" s="3"/>
      <c r="F5764" s="3"/>
    </row>
    <row r="5765" spans="3:6" x14ac:dyDescent="0.3">
      <c r="C5765" s="3"/>
      <c r="D5765" s="3"/>
      <c r="E5765" s="3"/>
      <c r="F5765" s="3"/>
    </row>
    <row r="5766" spans="3:6" x14ac:dyDescent="0.3">
      <c r="C5766" s="3"/>
      <c r="D5766" s="3"/>
      <c r="E5766" s="3"/>
      <c r="F5766" s="3"/>
    </row>
    <row r="5767" spans="3:6" x14ac:dyDescent="0.3">
      <c r="C5767" s="3"/>
      <c r="D5767" s="3"/>
      <c r="E5767" s="3"/>
      <c r="F5767" s="3"/>
    </row>
    <row r="5768" spans="3:6" x14ac:dyDescent="0.3">
      <c r="C5768" s="3"/>
      <c r="D5768" s="3"/>
      <c r="E5768" s="3"/>
      <c r="F5768" s="3"/>
    </row>
    <row r="5769" spans="3:6" x14ac:dyDescent="0.3">
      <c r="C5769" s="3"/>
      <c r="D5769" s="3"/>
      <c r="E5769" s="3"/>
      <c r="F5769" s="3"/>
    </row>
    <row r="5770" spans="3:6" x14ac:dyDescent="0.3">
      <c r="C5770" s="3"/>
      <c r="D5770" s="3"/>
      <c r="E5770" s="3"/>
      <c r="F5770" s="3"/>
    </row>
    <row r="5771" spans="3:6" x14ac:dyDescent="0.3">
      <c r="C5771" s="3"/>
      <c r="D5771" s="3"/>
      <c r="E5771" s="3"/>
      <c r="F5771" s="3"/>
    </row>
    <row r="5772" spans="3:6" x14ac:dyDescent="0.3">
      <c r="C5772" s="3"/>
      <c r="D5772" s="3"/>
      <c r="E5772" s="3"/>
      <c r="F5772" s="3"/>
    </row>
    <row r="5773" spans="3:6" x14ac:dyDescent="0.3">
      <c r="C5773" s="3"/>
      <c r="D5773" s="3"/>
      <c r="E5773" s="3"/>
      <c r="F5773" s="3"/>
    </row>
    <row r="5774" spans="3:6" x14ac:dyDescent="0.3">
      <c r="C5774" s="3"/>
      <c r="D5774" s="3"/>
      <c r="E5774" s="3"/>
      <c r="F5774" s="3"/>
    </row>
    <row r="5775" spans="3:6" x14ac:dyDescent="0.3">
      <c r="C5775" s="3"/>
      <c r="D5775" s="3"/>
      <c r="E5775" s="3"/>
      <c r="F5775" s="3"/>
    </row>
    <row r="5776" spans="3:6" x14ac:dyDescent="0.3">
      <c r="C5776" s="3"/>
      <c r="D5776" s="3"/>
      <c r="E5776" s="3"/>
      <c r="F5776" s="3"/>
    </row>
    <row r="5777" spans="3:6" x14ac:dyDescent="0.3">
      <c r="C5777" s="3"/>
      <c r="D5777" s="3"/>
      <c r="E5777" s="3"/>
      <c r="F5777" s="3"/>
    </row>
    <row r="5778" spans="3:6" x14ac:dyDescent="0.3">
      <c r="C5778" s="3"/>
      <c r="D5778" s="3"/>
      <c r="E5778" s="3"/>
      <c r="F5778" s="3"/>
    </row>
    <row r="5779" spans="3:6" x14ac:dyDescent="0.3">
      <c r="C5779" s="3"/>
      <c r="D5779" s="3"/>
      <c r="E5779" s="3"/>
      <c r="F5779" s="3"/>
    </row>
    <row r="5780" spans="3:6" x14ac:dyDescent="0.3">
      <c r="C5780" s="3"/>
      <c r="D5780" s="3"/>
      <c r="E5780" s="3"/>
      <c r="F5780" s="3"/>
    </row>
    <row r="5781" spans="3:6" x14ac:dyDescent="0.3">
      <c r="C5781" s="3"/>
      <c r="D5781" s="3"/>
      <c r="E5781" s="3"/>
      <c r="F5781" s="3"/>
    </row>
    <row r="5782" spans="3:6" x14ac:dyDescent="0.3">
      <c r="C5782" s="3"/>
      <c r="D5782" s="3"/>
      <c r="E5782" s="3"/>
      <c r="F5782" s="3"/>
    </row>
    <row r="5783" spans="3:6" x14ac:dyDescent="0.3">
      <c r="C5783" s="3"/>
      <c r="D5783" s="3"/>
      <c r="E5783" s="3"/>
      <c r="F5783" s="3"/>
    </row>
    <row r="5784" spans="3:6" x14ac:dyDescent="0.3">
      <c r="C5784" s="3"/>
      <c r="D5784" s="3"/>
      <c r="E5784" s="3"/>
      <c r="F5784" s="3"/>
    </row>
    <row r="5785" spans="3:6" x14ac:dyDescent="0.3">
      <c r="C5785" s="3"/>
      <c r="D5785" s="3"/>
      <c r="E5785" s="3"/>
      <c r="F5785" s="3"/>
    </row>
    <row r="5786" spans="3:6" x14ac:dyDescent="0.3">
      <c r="C5786" s="3"/>
      <c r="D5786" s="3"/>
      <c r="E5786" s="3"/>
      <c r="F5786" s="3"/>
    </row>
    <row r="5787" spans="3:6" x14ac:dyDescent="0.3">
      <c r="C5787" s="3"/>
      <c r="D5787" s="3"/>
      <c r="E5787" s="3"/>
      <c r="F5787" s="3"/>
    </row>
    <row r="5788" spans="3:6" x14ac:dyDescent="0.3">
      <c r="C5788" s="3"/>
      <c r="D5788" s="3"/>
      <c r="E5788" s="3"/>
      <c r="F5788" s="3"/>
    </row>
    <row r="5789" spans="3:6" x14ac:dyDescent="0.3">
      <c r="C5789" s="3"/>
      <c r="D5789" s="3"/>
      <c r="E5789" s="3"/>
      <c r="F5789" s="3"/>
    </row>
    <row r="5790" spans="3:6" x14ac:dyDescent="0.3">
      <c r="C5790" s="3"/>
      <c r="D5790" s="3"/>
      <c r="E5790" s="3"/>
      <c r="F5790" s="3"/>
    </row>
    <row r="5791" spans="3:6" x14ac:dyDescent="0.3">
      <c r="C5791" s="3"/>
      <c r="D5791" s="3"/>
      <c r="E5791" s="3"/>
      <c r="F5791" s="3"/>
    </row>
    <row r="5792" spans="3:6" x14ac:dyDescent="0.3">
      <c r="C5792" s="3"/>
      <c r="D5792" s="3"/>
      <c r="E5792" s="3"/>
      <c r="F5792" s="3"/>
    </row>
    <row r="5793" spans="3:6" x14ac:dyDescent="0.3">
      <c r="C5793" s="3"/>
      <c r="D5793" s="3"/>
      <c r="E5793" s="3"/>
      <c r="F5793" s="3"/>
    </row>
    <row r="5794" spans="3:6" x14ac:dyDescent="0.3">
      <c r="C5794" s="3"/>
      <c r="D5794" s="3"/>
      <c r="E5794" s="3"/>
      <c r="F5794" s="3"/>
    </row>
    <row r="5795" spans="3:6" x14ac:dyDescent="0.3">
      <c r="C5795" s="3"/>
      <c r="D5795" s="3"/>
      <c r="E5795" s="3"/>
      <c r="F5795" s="3"/>
    </row>
    <row r="5796" spans="3:6" x14ac:dyDescent="0.3">
      <c r="C5796" s="3"/>
      <c r="D5796" s="3"/>
      <c r="E5796" s="3"/>
      <c r="F5796" s="3"/>
    </row>
    <row r="5797" spans="3:6" x14ac:dyDescent="0.3">
      <c r="C5797" s="3"/>
      <c r="D5797" s="3"/>
      <c r="E5797" s="3"/>
      <c r="F5797" s="3"/>
    </row>
    <row r="5798" spans="3:6" x14ac:dyDescent="0.3">
      <c r="C5798" s="3"/>
      <c r="D5798" s="3"/>
      <c r="E5798" s="3"/>
      <c r="F5798" s="3"/>
    </row>
    <row r="5799" spans="3:6" x14ac:dyDescent="0.3">
      <c r="C5799" s="3"/>
      <c r="D5799" s="3"/>
      <c r="E5799" s="3"/>
      <c r="F5799" s="3"/>
    </row>
    <row r="5800" spans="3:6" x14ac:dyDescent="0.3">
      <c r="C5800" s="3"/>
      <c r="D5800" s="3"/>
      <c r="E5800" s="3"/>
      <c r="F5800" s="3"/>
    </row>
    <row r="5801" spans="3:6" x14ac:dyDescent="0.3">
      <c r="C5801" s="3"/>
      <c r="D5801" s="3"/>
      <c r="E5801" s="3"/>
      <c r="F5801" s="3"/>
    </row>
    <row r="5802" spans="3:6" x14ac:dyDescent="0.3">
      <c r="C5802" s="3"/>
      <c r="D5802" s="3"/>
      <c r="E5802" s="3"/>
      <c r="F5802" s="3"/>
    </row>
    <row r="5803" spans="3:6" x14ac:dyDescent="0.3">
      <c r="C5803" s="3"/>
      <c r="D5803" s="3"/>
      <c r="E5803" s="3"/>
      <c r="F5803" s="3"/>
    </row>
    <row r="5804" spans="3:6" x14ac:dyDescent="0.3">
      <c r="C5804" s="3"/>
      <c r="D5804" s="3"/>
      <c r="E5804" s="3"/>
      <c r="F5804" s="3"/>
    </row>
    <row r="5805" spans="3:6" x14ac:dyDescent="0.3">
      <c r="C5805" s="3"/>
      <c r="D5805" s="3"/>
      <c r="E5805" s="3"/>
      <c r="F5805" s="3"/>
    </row>
    <row r="5806" spans="3:6" x14ac:dyDescent="0.3">
      <c r="C5806" s="3"/>
      <c r="D5806" s="3"/>
      <c r="E5806" s="3"/>
      <c r="F5806" s="3"/>
    </row>
    <row r="5807" spans="3:6" x14ac:dyDescent="0.3">
      <c r="C5807" s="3"/>
      <c r="D5807" s="3"/>
      <c r="E5807" s="3"/>
      <c r="F5807" s="3"/>
    </row>
    <row r="5808" spans="3:6" x14ac:dyDescent="0.3">
      <c r="C5808" s="3"/>
      <c r="D5808" s="3"/>
      <c r="E5808" s="3"/>
      <c r="F5808" s="3"/>
    </row>
    <row r="5809" spans="3:6" x14ac:dyDescent="0.3">
      <c r="C5809" s="3"/>
      <c r="D5809" s="3"/>
      <c r="E5809" s="3"/>
      <c r="F5809" s="3"/>
    </row>
    <row r="5810" spans="3:6" x14ac:dyDescent="0.3">
      <c r="C5810" s="3"/>
      <c r="D5810" s="3"/>
      <c r="E5810" s="3"/>
      <c r="F5810" s="3"/>
    </row>
    <row r="5811" spans="3:6" x14ac:dyDescent="0.3">
      <c r="C5811" s="3"/>
      <c r="D5811" s="3"/>
      <c r="E5811" s="3"/>
      <c r="F5811" s="3"/>
    </row>
    <row r="5812" spans="3:6" x14ac:dyDescent="0.3">
      <c r="C5812" s="3"/>
      <c r="D5812" s="3"/>
      <c r="E5812" s="3"/>
      <c r="F5812" s="3"/>
    </row>
    <row r="5813" spans="3:6" x14ac:dyDescent="0.3">
      <c r="C5813" s="3"/>
      <c r="D5813" s="3"/>
      <c r="E5813" s="3"/>
      <c r="F5813" s="3"/>
    </row>
    <row r="5814" spans="3:6" x14ac:dyDescent="0.3">
      <c r="C5814" s="3"/>
      <c r="D5814" s="3"/>
      <c r="E5814" s="3"/>
      <c r="F5814" s="3"/>
    </row>
    <row r="5815" spans="3:6" x14ac:dyDescent="0.3">
      <c r="C5815" s="3"/>
      <c r="D5815" s="3"/>
      <c r="E5815" s="3"/>
      <c r="F5815" s="3"/>
    </row>
    <row r="5816" spans="3:6" x14ac:dyDescent="0.3">
      <c r="C5816" s="3"/>
      <c r="D5816" s="3"/>
      <c r="E5816" s="3"/>
      <c r="F5816" s="3"/>
    </row>
    <row r="5817" spans="3:6" x14ac:dyDescent="0.3">
      <c r="C5817" s="3"/>
      <c r="D5817" s="3"/>
      <c r="E5817" s="3"/>
      <c r="F5817" s="3"/>
    </row>
    <row r="5818" spans="3:6" x14ac:dyDescent="0.3">
      <c r="C5818" s="3"/>
      <c r="D5818" s="3"/>
      <c r="E5818" s="3"/>
      <c r="F5818" s="3"/>
    </row>
    <row r="5819" spans="3:6" x14ac:dyDescent="0.3">
      <c r="C5819" s="3"/>
      <c r="D5819" s="3"/>
      <c r="E5819" s="3"/>
      <c r="F5819" s="3"/>
    </row>
    <row r="5820" spans="3:6" x14ac:dyDescent="0.3">
      <c r="C5820" s="3"/>
      <c r="D5820" s="3"/>
      <c r="E5820" s="3"/>
      <c r="F5820" s="3"/>
    </row>
    <row r="5821" spans="3:6" x14ac:dyDescent="0.3">
      <c r="C5821" s="3"/>
      <c r="D5821" s="3"/>
      <c r="E5821" s="3"/>
      <c r="F5821" s="3"/>
    </row>
    <row r="5822" spans="3:6" x14ac:dyDescent="0.3">
      <c r="C5822" s="3"/>
      <c r="D5822" s="3"/>
      <c r="E5822" s="3"/>
      <c r="F5822" s="3"/>
    </row>
    <row r="5823" spans="3:6" x14ac:dyDescent="0.3">
      <c r="C5823" s="3"/>
      <c r="D5823" s="3"/>
      <c r="E5823" s="3"/>
      <c r="F5823" s="3"/>
    </row>
    <row r="5824" spans="3:6" x14ac:dyDescent="0.3">
      <c r="C5824" s="3"/>
      <c r="D5824" s="3"/>
      <c r="E5824" s="3"/>
      <c r="F5824" s="3"/>
    </row>
    <row r="5825" spans="3:6" x14ac:dyDescent="0.3">
      <c r="C5825" s="3"/>
      <c r="D5825" s="3"/>
      <c r="E5825" s="3"/>
      <c r="F5825" s="3"/>
    </row>
    <row r="5826" spans="3:6" x14ac:dyDescent="0.3">
      <c r="C5826" s="3"/>
      <c r="D5826" s="3"/>
      <c r="E5826" s="3"/>
      <c r="F5826" s="3"/>
    </row>
    <row r="5827" spans="3:6" x14ac:dyDescent="0.3">
      <c r="C5827" s="3"/>
      <c r="D5827" s="3"/>
      <c r="E5827" s="3"/>
      <c r="F5827" s="3"/>
    </row>
    <row r="5828" spans="3:6" x14ac:dyDescent="0.3">
      <c r="C5828" s="3"/>
      <c r="D5828" s="3"/>
      <c r="E5828" s="3"/>
      <c r="F5828" s="3"/>
    </row>
    <row r="5829" spans="3:6" x14ac:dyDescent="0.3">
      <c r="C5829" s="3"/>
      <c r="D5829" s="3"/>
      <c r="E5829" s="3"/>
      <c r="F5829" s="3"/>
    </row>
    <row r="5830" spans="3:6" x14ac:dyDescent="0.3">
      <c r="C5830" s="3"/>
      <c r="D5830" s="3"/>
      <c r="E5830" s="3"/>
      <c r="F5830" s="3"/>
    </row>
    <row r="5831" spans="3:6" x14ac:dyDescent="0.3">
      <c r="C5831" s="3"/>
      <c r="D5831" s="3"/>
      <c r="E5831" s="3"/>
      <c r="F5831" s="3"/>
    </row>
    <row r="5832" spans="3:6" x14ac:dyDescent="0.3">
      <c r="C5832" s="3"/>
      <c r="D5832" s="3"/>
      <c r="E5832" s="3"/>
      <c r="F5832" s="3"/>
    </row>
    <row r="5833" spans="3:6" x14ac:dyDescent="0.3">
      <c r="C5833" s="3"/>
      <c r="D5833" s="3"/>
      <c r="E5833" s="3"/>
      <c r="F5833" s="3"/>
    </row>
    <row r="5834" spans="3:6" x14ac:dyDescent="0.3">
      <c r="C5834" s="3"/>
      <c r="D5834" s="3"/>
      <c r="E5834" s="3"/>
      <c r="F5834" s="3"/>
    </row>
    <row r="5835" spans="3:6" x14ac:dyDescent="0.3">
      <c r="C5835" s="3"/>
      <c r="D5835" s="3"/>
      <c r="E5835" s="3"/>
      <c r="F5835" s="3"/>
    </row>
    <row r="5836" spans="3:6" x14ac:dyDescent="0.3">
      <c r="C5836" s="3"/>
      <c r="D5836" s="3"/>
      <c r="E5836" s="3"/>
      <c r="F5836" s="3"/>
    </row>
    <row r="5837" spans="3:6" x14ac:dyDescent="0.3">
      <c r="C5837" s="3"/>
      <c r="D5837" s="3"/>
      <c r="E5837" s="3"/>
      <c r="F5837" s="3"/>
    </row>
    <row r="5838" spans="3:6" x14ac:dyDescent="0.3">
      <c r="C5838" s="3"/>
      <c r="D5838" s="3"/>
      <c r="E5838" s="3"/>
      <c r="F5838" s="3"/>
    </row>
    <row r="5839" spans="3:6" x14ac:dyDescent="0.3">
      <c r="C5839" s="3"/>
      <c r="D5839" s="3"/>
      <c r="E5839" s="3"/>
      <c r="F5839" s="3"/>
    </row>
    <row r="5840" spans="3:6" x14ac:dyDescent="0.3">
      <c r="C5840" s="3"/>
      <c r="D5840" s="3"/>
      <c r="E5840" s="3"/>
      <c r="F5840" s="3"/>
    </row>
    <row r="5841" spans="3:6" x14ac:dyDescent="0.3">
      <c r="C5841" s="3"/>
      <c r="D5841" s="3"/>
      <c r="E5841" s="3"/>
      <c r="F5841" s="3"/>
    </row>
    <row r="5842" spans="3:6" x14ac:dyDescent="0.3">
      <c r="C5842" s="3"/>
      <c r="D5842" s="3"/>
      <c r="E5842" s="3"/>
      <c r="F5842" s="3"/>
    </row>
    <row r="5843" spans="3:6" x14ac:dyDescent="0.3">
      <c r="C5843" s="3"/>
      <c r="D5843" s="3"/>
      <c r="E5843" s="3"/>
      <c r="F5843" s="3"/>
    </row>
    <row r="5844" spans="3:6" x14ac:dyDescent="0.3">
      <c r="C5844" s="3"/>
      <c r="D5844" s="3"/>
      <c r="E5844" s="3"/>
      <c r="F5844" s="3"/>
    </row>
    <row r="5845" spans="3:6" x14ac:dyDescent="0.3">
      <c r="C5845" s="3"/>
      <c r="D5845" s="3"/>
      <c r="E5845" s="3"/>
      <c r="F5845" s="3"/>
    </row>
    <row r="5846" spans="3:6" x14ac:dyDescent="0.3">
      <c r="C5846" s="3"/>
      <c r="D5846" s="3"/>
      <c r="E5846" s="3"/>
      <c r="F5846" s="3"/>
    </row>
    <row r="5847" spans="3:6" x14ac:dyDescent="0.3">
      <c r="C5847" s="3"/>
      <c r="D5847" s="3"/>
      <c r="E5847" s="3"/>
      <c r="F5847" s="3"/>
    </row>
    <row r="5848" spans="3:6" x14ac:dyDescent="0.3">
      <c r="C5848" s="3"/>
      <c r="D5848" s="3"/>
      <c r="E5848" s="3"/>
      <c r="F5848" s="3"/>
    </row>
    <row r="5849" spans="3:6" x14ac:dyDescent="0.3">
      <c r="C5849" s="3"/>
      <c r="D5849" s="3"/>
      <c r="E5849" s="3"/>
      <c r="F5849" s="3"/>
    </row>
    <row r="5850" spans="3:6" x14ac:dyDescent="0.3">
      <c r="C5850" s="3"/>
      <c r="D5850" s="3"/>
      <c r="E5850" s="3"/>
      <c r="F5850" s="3"/>
    </row>
    <row r="5851" spans="3:6" x14ac:dyDescent="0.3">
      <c r="C5851" s="3"/>
      <c r="D5851" s="3"/>
      <c r="E5851" s="3"/>
      <c r="F5851" s="3"/>
    </row>
    <row r="5852" spans="3:6" x14ac:dyDescent="0.3">
      <c r="C5852" s="3"/>
      <c r="D5852" s="3"/>
      <c r="E5852" s="3"/>
      <c r="F5852" s="3"/>
    </row>
    <row r="5853" spans="3:6" x14ac:dyDescent="0.3">
      <c r="C5853" s="3"/>
      <c r="D5853" s="3"/>
      <c r="E5853" s="3"/>
      <c r="F5853" s="3"/>
    </row>
    <row r="5854" spans="3:6" x14ac:dyDescent="0.3">
      <c r="C5854" s="3"/>
      <c r="D5854" s="3"/>
      <c r="E5854" s="3"/>
      <c r="F5854" s="3"/>
    </row>
    <row r="5855" spans="3:6" x14ac:dyDescent="0.3">
      <c r="C5855" s="3"/>
      <c r="D5855" s="3"/>
      <c r="E5855" s="3"/>
      <c r="F5855" s="3"/>
    </row>
    <row r="5856" spans="3:6" x14ac:dyDescent="0.3">
      <c r="C5856" s="3"/>
      <c r="D5856" s="3"/>
      <c r="E5856" s="3"/>
      <c r="F5856" s="3"/>
    </row>
    <row r="5857" spans="3:6" x14ac:dyDescent="0.3">
      <c r="C5857" s="3"/>
      <c r="D5857" s="3"/>
      <c r="E5857" s="3"/>
      <c r="F5857" s="3"/>
    </row>
    <row r="5858" spans="3:6" x14ac:dyDescent="0.3">
      <c r="C5858" s="3"/>
      <c r="D5858" s="3"/>
      <c r="E5858" s="3"/>
      <c r="F5858" s="3"/>
    </row>
    <row r="5859" spans="3:6" x14ac:dyDescent="0.3">
      <c r="C5859" s="3"/>
      <c r="D5859" s="3"/>
      <c r="E5859" s="3"/>
      <c r="F5859" s="3"/>
    </row>
    <row r="5860" spans="3:6" x14ac:dyDescent="0.3">
      <c r="C5860" s="3"/>
      <c r="D5860" s="3"/>
      <c r="E5860" s="3"/>
      <c r="F5860" s="3"/>
    </row>
    <row r="5861" spans="3:6" x14ac:dyDescent="0.3">
      <c r="C5861" s="3"/>
      <c r="D5861" s="3"/>
      <c r="E5861" s="3"/>
      <c r="F5861" s="3"/>
    </row>
    <row r="5862" spans="3:6" x14ac:dyDescent="0.3">
      <c r="C5862" s="3"/>
      <c r="D5862" s="3"/>
      <c r="E5862" s="3"/>
      <c r="F5862" s="3"/>
    </row>
    <row r="5863" spans="3:6" x14ac:dyDescent="0.3">
      <c r="C5863" s="3"/>
      <c r="D5863" s="3"/>
      <c r="E5863" s="3"/>
      <c r="F5863" s="3"/>
    </row>
    <row r="5864" spans="3:6" x14ac:dyDescent="0.3">
      <c r="C5864" s="3"/>
      <c r="D5864" s="3"/>
      <c r="E5864" s="3"/>
      <c r="F5864" s="3"/>
    </row>
    <row r="5865" spans="3:6" x14ac:dyDescent="0.3">
      <c r="C5865" s="3"/>
      <c r="D5865" s="3"/>
      <c r="E5865" s="3"/>
      <c r="F5865" s="3"/>
    </row>
    <row r="5866" spans="3:6" x14ac:dyDescent="0.3">
      <c r="C5866" s="3"/>
      <c r="D5866" s="3"/>
      <c r="E5866" s="3"/>
      <c r="F5866" s="3"/>
    </row>
    <row r="5867" spans="3:6" x14ac:dyDescent="0.3">
      <c r="C5867" s="3"/>
      <c r="D5867" s="3"/>
      <c r="E5867" s="3"/>
      <c r="F5867" s="3"/>
    </row>
    <row r="5868" spans="3:6" x14ac:dyDescent="0.3">
      <c r="C5868" s="3"/>
      <c r="D5868" s="3"/>
      <c r="E5868" s="3"/>
      <c r="F5868" s="3"/>
    </row>
    <row r="5869" spans="3:6" x14ac:dyDescent="0.3">
      <c r="C5869" s="3"/>
      <c r="D5869" s="3"/>
      <c r="E5869" s="3"/>
      <c r="F5869" s="3"/>
    </row>
    <row r="5870" spans="3:6" x14ac:dyDescent="0.3">
      <c r="C5870" s="3"/>
      <c r="D5870" s="3"/>
      <c r="E5870" s="3"/>
      <c r="F5870" s="3"/>
    </row>
    <row r="5871" spans="3:6" x14ac:dyDescent="0.3">
      <c r="C5871" s="3"/>
      <c r="D5871" s="3"/>
      <c r="E5871" s="3"/>
      <c r="F5871" s="3"/>
    </row>
    <row r="5872" spans="3:6" x14ac:dyDescent="0.3">
      <c r="C5872" s="3"/>
      <c r="D5872" s="3"/>
      <c r="E5872" s="3"/>
      <c r="F5872" s="3"/>
    </row>
    <row r="5873" spans="3:6" x14ac:dyDescent="0.3">
      <c r="C5873" s="3"/>
      <c r="D5873" s="3"/>
      <c r="E5873" s="3"/>
      <c r="F5873" s="3"/>
    </row>
    <row r="5874" spans="3:6" x14ac:dyDescent="0.3">
      <c r="C5874" s="3"/>
      <c r="D5874" s="3"/>
      <c r="E5874" s="3"/>
      <c r="F5874" s="3"/>
    </row>
    <row r="5875" spans="3:6" x14ac:dyDescent="0.3">
      <c r="C5875" s="3"/>
      <c r="D5875" s="3"/>
      <c r="E5875" s="3"/>
      <c r="F5875" s="3"/>
    </row>
    <row r="5876" spans="3:6" x14ac:dyDescent="0.3">
      <c r="C5876" s="3"/>
      <c r="D5876" s="3"/>
      <c r="E5876" s="3"/>
      <c r="F5876" s="3"/>
    </row>
    <row r="5877" spans="3:6" x14ac:dyDescent="0.3">
      <c r="C5877" s="3"/>
      <c r="D5877" s="3"/>
      <c r="E5877" s="3"/>
      <c r="F5877" s="3"/>
    </row>
    <row r="5878" spans="3:6" x14ac:dyDescent="0.3">
      <c r="C5878" s="3"/>
      <c r="D5878" s="3"/>
      <c r="E5878" s="3"/>
      <c r="F5878" s="3"/>
    </row>
    <row r="5879" spans="3:6" x14ac:dyDescent="0.3">
      <c r="C5879" s="3"/>
      <c r="D5879" s="3"/>
      <c r="E5879" s="3"/>
      <c r="F5879" s="3"/>
    </row>
    <row r="5880" spans="3:6" x14ac:dyDescent="0.3">
      <c r="C5880" s="3"/>
      <c r="D5880" s="3"/>
      <c r="E5880" s="3"/>
      <c r="F5880" s="3"/>
    </row>
    <row r="5881" spans="3:6" x14ac:dyDescent="0.3">
      <c r="C5881" s="3"/>
      <c r="D5881" s="3"/>
      <c r="E5881" s="3"/>
      <c r="F5881" s="3"/>
    </row>
    <row r="5882" spans="3:6" x14ac:dyDescent="0.3">
      <c r="C5882" s="3"/>
      <c r="D5882" s="3"/>
      <c r="E5882" s="3"/>
      <c r="F5882" s="3"/>
    </row>
    <row r="5883" spans="3:6" x14ac:dyDescent="0.3">
      <c r="C5883" s="3"/>
      <c r="D5883" s="3"/>
      <c r="E5883" s="3"/>
      <c r="F5883" s="3"/>
    </row>
    <row r="5884" spans="3:6" x14ac:dyDescent="0.3">
      <c r="C5884" s="3"/>
      <c r="D5884" s="3"/>
      <c r="E5884" s="3"/>
      <c r="F5884" s="3"/>
    </row>
    <row r="5885" spans="3:6" x14ac:dyDescent="0.3">
      <c r="C5885" s="3"/>
      <c r="D5885" s="3"/>
      <c r="E5885" s="3"/>
      <c r="F5885" s="3"/>
    </row>
    <row r="5886" spans="3:6" x14ac:dyDescent="0.3">
      <c r="C5886" s="3"/>
      <c r="D5886" s="3"/>
      <c r="E5886" s="3"/>
      <c r="F5886" s="3"/>
    </row>
    <row r="5887" spans="3:6" x14ac:dyDescent="0.3">
      <c r="C5887" s="3"/>
      <c r="D5887" s="3"/>
      <c r="E5887" s="3"/>
      <c r="F5887" s="3"/>
    </row>
    <row r="5888" spans="3:6" x14ac:dyDescent="0.3">
      <c r="C5888" s="3"/>
      <c r="D5888" s="3"/>
      <c r="E5888" s="3"/>
      <c r="F5888" s="3"/>
    </row>
    <row r="5889" spans="3:6" x14ac:dyDescent="0.3">
      <c r="C5889" s="3"/>
      <c r="D5889" s="3"/>
      <c r="E5889" s="3"/>
      <c r="F5889" s="3"/>
    </row>
    <row r="5890" spans="3:6" x14ac:dyDescent="0.3">
      <c r="C5890" s="3"/>
      <c r="D5890" s="3"/>
      <c r="E5890" s="3"/>
      <c r="F5890" s="3"/>
    </row>
    <row r="5891" spans="3:6" x14ac:dyDescent="0.3">
      <c r="C5891" s="3"/>
      <c r="D5891" s="3"/>
      <c r="E5891" s="3"/>
      <c r="F5891" s="3"/>
    </row>
    <row r="5892" spans="3:6" x14ac:dyDescent="0.3">
      <c r="C5892" s="3"/>
      <c r="D5892" s="3"/>
      <c r="E5892" s="3"/>
      <c r="F5892" s="3"/>
    </row>
    <row r="5893" spans="3:6" x14ac:dyDescent="0.3">
      <c r="C5893" s="3"/>
      <c r="D5893" s="3"/>
      <c r="E5893" s="3"/>
      <c r="F5893" s="3"/>
    </row>
    <row r="5894" spans="3:6" x14ac:dyDescent="0.3">
      <c r="C5894" s="3"/>
      <c r="D5894" s="3"/>
      <c r="E5894" s="3"/>
      <c r="F5894" s="3"/>
    </row>
    <row r="5895" spans="3:6" x14ac:dyDescent="0.3">
      <c r="C5895" s="3"/>
      <c r="D5895" s="3"/>
      <c r="E5895" s="3"/>
      <c r="F5895" s="3"/>
    </row>
    <row r="5896" spans="3:6" x14ac:dyDescent="0.3">
      <c r="C5896" s="3"/>
      <c r="D5896" s="3"/>
      <c r="E5896" s="3"/>
      <c r="F5896" s="3"/>
    </row>
    <row r="5897" spans="3:6" x14ac:dyDescent="0.3">
      <c r="C5897" s="3"/>
      <c r="D5897" s="3"/>
      <c r="E5897" s="3"/>
      <c r="F5897" s="3"/>
    </row>
    <row r="5898" spans="3:6" x14ac:dyDescent="0.3">
      <c r="C5898" s="3"/>
      <c r="D5898" s="3"/>
      <c r="E5898" s="3"/>
      <c r="F5898" s="3"/>
    </row>
    <row r="5899" spans="3:6" x14ac:dyDescent="0.3">
      <c r="C5899" s="3"/>
      <c r="D5899" s="3"/>
      <c r="E5899" s="3"/>
      <c r="F5899" s="3"/>
    </row>
    <row r="5900" spans="3:6" x14ac:dyDescent="0.3">
      <c r="C5900" s="3"/>
      <c r="D5900" s="3"/>
      <c r="E5900" s="3"/>
      <c r="F5900" s="3"/>
    </row>
    <row r="5901" spans="3:6" x14ac:dyDescent="0.3">
      <c r="C5901" s="3"/>
      <c r="D5901" s="3"/>
      <c r="E5901" s="3"/>
      <c r="F5901" s="3"/>
    </row>
    <row r="5902" spans="3:6" x14ac:dyDescent="0.3">
      <c r="C5902" s="3"/>
      <c r="D5902" s="3"/>
      <c r="E5902" s="3"/>
      <c r="F5902" s="3"/>
    </row>
    <row r="5903" spans="3:6" x14ac:dyDescent="0.3">
      <c r="C5903" s="3"/>
      <c r="D5903" s="3"/>
      <c r="E5903" s="3"/>
      <c r="F5903" s="3"/>
    </row>
    <row r="5904" spans="3:6" x14ac:dyDescent="0.3">
      <c r="C5904" s="3"/>
      <c r="D5904" s="3"/>
      <c r="E5904" s="3"/>
      <c r="F5904" s="3"/>
    </row>
    <row r="5905" spans="3:6" x14ac:dyDescent="0.3">
      <c r="C5905" s="3"/>
      <c r="D5905" s="3"/>
      <c r="E5905" s="3"/>
      <c r="F5905" s="3"/>
    </row>
    <row r="5906" spans="3:6" x14ac:dyDescent="0.3">
      <c r="C5906" s="3"/>
      <c r="D5906" s="3"/>
      <c r="E5906" s="3"/>
      <c r="F5906" s="3"/>
    </row>
    <row r="5907" spans="3:6" x14ac:dyDescent="0.3">
      <c r="C5907" s="3"/>
      <c r="D5907" s="3"/>
      <c r="E5907" s="3"/>
      <c r="F5907" s="3"/>
    </row>
    <row r="5908" spans="3:6" x14ac:dyDescent="0.3">
      <c r="C5908" s="3"/>
      <c r="D5908" s="3"/>
      <c r="E5908" s="3"/>
      <c r="F5908" s="3"/>
    </row>
    <row r="5909" spans="3:6" x14ac:dyDescent="0.3">
      <c r="C5909" s="3"/>
      <c r="D5909" s="3"/>
      <c r="E5909" s="3"/>
      <c r="F5909" s="3"/>
    </row>
    <row r="5910" spans="3:6" x14ac:dyDescent="0.3">
      <c r="C5910" s="3"/>
      <c r="D5910" s="3"/>
      <c r="E5910" s="3"/>
      <c r="F5910" s="3"/>
    </row>
    <row r="5911" spans="3:6" x14ac:dyDescent="0.3">
      <c r="C5911" s="3"/>
      <c r="D5911" s="3"/>
      <c r="E5911" s="3"/>
      <c r="F5911" s="3"/>
    </row>
    <row r="5912" spans="3:6" x14ac:dyDescent="0.3">
      <c r="C5912" s="3"/>
      <c r="D5912" s="3"/>
      <c r="E5912" s="3"/>
      <c r="F5912" s="3"/>
    </row>
    <row r="5913" spans="3:6" x14ac:dyDescent="0.3">
      <c r="C5913" s="3"/>
      <c r="D5913" s="3"/>
      <c r="E5913" s="3"/>
      <c r="F5913" s="3"/>
    </row>
    <row r="5914" spans="3:6" x14ac:dyDescent="0.3">
      <c r="C5914" s="3"/>
      <c r="D5914" s="3"/>
      <c r="E5914" s="3"/>
      <c r="F5914" s="3"/>
    </row>
    <row r="5915" spans="3:6" x14ac:dyDescent="0.3">
      <c r="C5915" s="3"/>
      <c r="D5915" s="3"/>
      <c r="E5915" s="3"/>
      <c r="F5915" s="3"/>
    </row>
    <row r="5916" spans="3:6" x14ac:dyDescent="0.3">
      <c r="C5916" s="3"/>
      <c r="D5916" s="3"/>
      <c r="E5916" s="3"/>
      <c r="F5916" s="3"/>
    </row>
    <row r="5917" spans="3:6" x14ac:dyDescent="0.3">
      <c r="C5917" s="3"/>
      <c r="D5917" s="3"/>
      <c r="E5917" s="3"/>
      <c r="F5917" s="3"/>
    </row>
    <row r="5918" spans="3:6" x14ac:dyDescent="0.3">
      <c r="C5918" s="3"/>
      <c r="D5918" s="3"/>
      <c r="E5918" s="3"/>
      <c r="F5918" s="3"/>
    </row>
    <row r="5919" spans="3:6" x14ac:dyDescent="0.3">
      <c r="C5919" s="3"/>
      <c r="D5919" s="3"/>
      <c r="E5919" s="3"/>
      <c r="F5919" s="3"/>
    </row>
    <row r="5920" spans="3:6" x14ac:dyDescent="0.3">
      <c r="C5920" s="3"/>
      <c r="D5920" s="3"/>
      <c r="E5920" s="3"/>
      <c r="F5920" s="3"/>
    </row>
    <row r="5921" spans="3:6" x14ac:dyDescent="0.3">
      <c r="C5921" s="3"/>
      <c r="D5921" s="3"/>
      <c r="E5921" s="3"/>
      <c r="F5921" s="3"/>
    </row>
    <row r="5922" spans="3:6" x14ac:dyDescent="0.3">
      <c r="C5922" s="3"/>
      <c r="D5922" s="3"/>
      <c r="E5922" s="3"/>
      <c r="F5922" s="3"/>
    </row>
    <row r="5923" spans="3:6" x14ac:dyDescent="0.3">
      <c r="C5923" s="3"/>
      <c r="D5923" s="3"/>
      <c r="E5923" s="3"/>
      <c r="F5923" s="3"/>
    </row>
    <row r="5924" spans="3:6" x14ac:dyDescent="0.3">
      <c r="C5924" s="3"/>
      <c r="D5924" s="3"/>
      <c r="E5924" s="3"/>
      <c r="F5924" s="3"/>
    </row>
    <row r="5925" spans="3:6" x14ac:dyDescent="0.3">
      <c r="C5925" s="3"/>
      <c r="D5925" s="3"/>
      <c r="E5925" s="3"/>
      <c r="F5925" s="3"/>
    </row>
    <row r="5926" spans="3:6" x14ac:dyDescent="0.3">
      <c r="C5926" s="3"/>
      <c r="D5926" s="3"/>
      <c r="E5926" s="3"/>
      <c r="F5926" s="3"/>
    </row>
    <row r="5927" spans="3:6" x14ac:dyDescent="0.3">
      <c r="C5927" s="3"/>
      <c r="D5927" s="3"/>
      <c r="E5927" s="3"/>
      <c r="F5927" s="3"/>
    </row>
    <row r="5928" spans="3:6" x14ac:dyDescent="0.3">
      <c r="C5928" s="3"/>
      <c r="D5928" s="3"/>
      <c r="E5928" s="3"/>
      <c r="F5928" s="3"/>
    </row>
    <row r="5929" spans="3:6" x14ac:dyDescent="0.3">
      <c r="C5929" s="3"/>
      <c r="D5929" s="3"/>
      <c r="E5929" s="3"/>
      <c r="F5929" s="3"/>
    </row>
    <row r="5930" spans="3:6" x14ac:dyDescent="0.3">
      <c r="C5930" s="3"/>
      <c r="D5930" s="3"/>
      <c r="E5930" s="3"/>
      <c r="F5930" s="3"/>
    </row>
    <row r="5931" spans="3:6" x14ac:dyDescent="0.3">
      <c r="C5931" s="3"/>
      <c r="D5931" s="3"/>
      <c r="E5931" s="3"/>
      <c r="F5931" s="3"/>
    </row>
    <row r="5932" spans="3:6" x14ac:dyDescent="0.3">
      <c r="C5932" s="3"/>
      <c r="D5932" s="3"/>
      <c r="E5932" s="3"/>
      <c r="F5932" s="3"/>
    </row>
    <row r="5933" spans="3:6" x14ac:dyDescent="0.3">
      <c r="C5933" s="3"/>
      <c r="D5933" s="3"/>
      <c r="E5933" s="3"/>
      <c r="F5933" s="3"/>
    </row>
    <row r="5934" spans="3:6" x14ac:dyDescent="0.3">
      <c r="C5934" s="3"/>
      <c r="D5934" s="3"/>
      <c r="E5934" s="3"/>
      <c r="F5934" s="3"/>
    </row>
    <row r="5935" spans="3:6" x14ac:dyDescent="0.3">
      <c r="C5935" s="3"/>
      <c r="D5935" s="3"/>
      <c r="E5935" s="3"/>
      <c r="F5935" s="3"/>
    </row>
    <row r="5936" spans="3:6" x14ac:dyDescent="0.3">
      <c r="C5936" s="3"/>
      <c r="D5936" s="3"/>
      <c r="E5936" s="3"/>
      <c r="F5936" s="3"/>
    </row>
    <row r="5937" spans="3:6" x14ac:dyDescent="0.3">
      <c r="C5937" s="3"/>
      <c r="D5937" s="3"/>
      <c r="E5937" s="3"/>
      <c r="F5937" s="3"/>
    </row>
    <row r="5938" spans="3:6" x14ac:dyDescent="0.3">
      <c r="C5938" s="3"/>
      <c r="D5938" s="3"/>
      <c r="E5938" s="3"/>
      <c r="F5938" s="3"/>
    </row>
    <row r="5939" spans="3:6" x14ac:dyDescent="0.3">
      <c r="C5939" s="3"/>
      <c r="D5939" s="3"/>
      <c r="E5939" s="3"/>
      <c r="F5939" s="3"/>
    </row>
    <row r="5940" spans="3:6" x14ac:dyDescent="0.3">
      <c r="C5940" s="3"/>
      <c r="D5940" s="3"/>
      <c r="E5940" s="3"/>
      <c r="F5940" s="3"/>
    </row>
    <row r="5941" spans="3:6" x14ac:dyDescent="0.3">
      <c r="C5941" s="3"/>
      <c r="D5941" s="3"/>
      <c r="E5941" s="3"/>
      <c r="F5941" s="3"/>
    </row>
    <row r="5942" spans="3:6" x14ac:dyDescent="0.3">
      <c r="C5942" s="3"/>
      <c r="D5942" s="3"/>
      <c r="E5942" s="3"/>
      <c r="F5942" s="3"/>
    </row>
    <row r="5943" spans="3:6" x14ac:dyDescent="0.3">
      <c r="C5943" s="3"/>
      <c r="D5943" s="3"/>
      <c r="E5943" s="3"/>
      <c r="F5943" s="3"/>
    </row>
    <row r="5944" spans="3:6" x14ac:dyDescent="0.3">
      <c r="C5944" s="3"/>
      <c r="D5944" s="3"/>
      <c r="E5944" s="3"/>
      <c r="F5944" s="3"/>
    </row>
    <row r="5945" spans="3:6" x14ac:dyDescent="0.3">
      <c r="C5945" s="3"/>
      <c r="D5945" s="3"/>
      <c r="E5945" s="3"/>
      <c r="F5945" s="3"/>
    </row>
    <row r="5946" spans="3:6" x14ac:dyDescent="0.3">
      <c r="C5946" s="3"/>
      <c r="D5946" s="3"/>
      <c r="E5946" s="3"/>
      <c r="F5946" s="3"/>
    </row>
    <row r="5947" spans="3:6" x14ac:dyDescent="0.3">
      <c r="C5947" s="3"/>
      <c r="D5947" s="3"/>
      <c r="E5947" s="3"/>
      <c r="F5947" s="3"/>
    </row>
    <row r="5948" spans="3:6" x14ac:dyDescent="0.3">
      <c r="C5948" s="3"/>
      <c r="D5948" s="3"/>
      <c r="E5948" s="3"/>
      <c r="F5948" s="3"/>
    </row>
    <row r="5949" spans="3:6" x14ac:dyDescent="0.3">
      <c r="C5949" s="3"/>
      <c r="D5949" s="3"/>
      <c r="E5949" s="3"/>
      <c r="F5949" s="3"/>
    </row>
    <row r="5950" spans="3:6" x14ac:dyDescent="0.3">
      <c r="C5950" s="3"/>
      <c r="D5950" s="3"/>
      <c r="E5950" s="3"/>
      <c r="F5950" s="3"/>
    </row>
    <row r="5951" spans="3:6" x14ac:dyDescent="0.3">
      <c r="C5951" s="3"/>
      <c r="D5951" s="3"/>
      <c r="E5951" s="3"/>
      <c r="F5951" s="3"/>
    </row>
    <row r="5952" spans="3:6" x14ac:dyDescent="0.3">
      <c r="C5952" s="3"/>
      <c r="D5952" s="3"/>
      <c r="E5952" s="3"/>
      <c r="F5952" s="3"/>
    </row>
    <row r="5953" spans="3:6" x14ac:dyDescent="0.3">
      <c r="C5953" s="3"/>
      <c r="D5953" s="3"/>
      <c r="E5953" s="3"/>
      <c r="F5953" s="3"/>
    </row>
    <row r="5954" spans="3:6" x14ac:dyDescent="0.3">
      <c r="C5954" s="3"/>
      <c r="D5954" s="3"/>
      <c r="E5954" s="3"/>
      <c r="F5954" s="3"/>
    </row>
    <row r="5955" spans="3:6" x14ac:dyDescent="0.3">
      <c r="C5955" s="3"/>
      <c r="D5955" s="3"/>
      <c r="E5955" s="3"/>
      <c r="F5955" s="3"/>
    </row>
    <row r="5956" spans="3:6" x14ac:dyDescent="0.3">
      <c r="C5956" s="3"/>
      <c r="D5956" s="3"/>
      <c r="E5956" s="3"/>
      <c r="F5956" s="3"/>
    </row>
    <row r="5957" spans="3:6" x14ac:dyDescent="0.3">
      <c r="C5957" s="3"/>
      <c r="D5957" s="3"/>
      <c r="E5957" s="3"/>
      <c r="F5957" s="3"/>
    </row>
    <row r="5958" spans="3:6" x14ac:dyDescent="0.3">
      <c r="C5958" s="3"/>
      <c r="D5958" s="3"/>
      <c r="E5958" s="3"/>
      <c r="F5958" s="3"/>
    </row>
    <row r="5959" spans="3:6" x14ac:dyDescent="0.3">
      <c r="C5959" s="3"/>
      <c r="D5959" s="3"/>
      <c r="E5959" s="3"/>
      <c r="F5959" s="3"/>
    </row>
    <row r="5960" spans="3:6" x14ac:dyDescent="0.3">
      <c r="C5960" s="3"/>
      <c r="D5960" s="3"/>
      <c r="E5960" s="3"/>
      <c r="F5960" s="3"/>
    </row>
    <row r="5961" spans="3:6" x14ac:dyDescent="0.3">
      <c r="C5961" s="3"/>
      <c r="D5961" s="3"/>
      <c r="E5961" s="3"/>
      <c r="F5961" s="3"/>
    </row>
    <row r="5962" spans="3:6" x14ac:dyDescent="0.3">
      <c r="C5962" s="3"/>
      <c r="D5962" s="3"/>
      <c r="E5962" s="3"/>
      <c r="F5962" s="3"/>
    </row>
    <row r="5963" spans="3:6" x14ac:dyDescent="0.3">
      <c r="C5963" s="3"/>
      <c r="D5963" s="3"/>
      <c r="E5963" s="3"/>
      <c r="F5963" s="3"/>
    </row>
    <row r="5964" spans="3:6" x14ac:dyDescent="0.3">
      <c r="C5964" s="3"/>
      <c r="D5964" s="3"/>
      <c r="E5964" s="3"/>
      <c r="F5964" s="3"/>
    </row>
    <row r="5965" spans="3:6" x14ac:dyDescent="0.3">
      <c r="C5965" s="3"/>
      <c r="D5965" s="3"/>
      <c r="E5965" s="3"/>
      <c r="F5965" s="3"/>
    </row>
    <row r="5966" spans="3:6" x14ac:dyDescent="0.3">
      <c r="C5966" s="3"/>
      <c r="D5966" s="3"/>
      <c r="E5966" s="3"/>
      <c r="F5966" s="3"/>
    </row>
    <row r="5967" spans="3:6" x14ac:dyDescent="0.3">
      <c r="C5967" s="3"/>
      <c r="D5967" s="3"/>
      <c r="E5967" s="3"/>
      <c r="F5967" s="3"/>
    </row>
    <row r="5968" spans="3:6" x14ac:dyDescent="0.3">
      <c r="C5968" s="3"/>
      <c r="D5968" s="3"/>
      <c r="E5968" s="3"/>
      <c r="F5968" s="3"/>
    </row>
    <row r="5969" spans="3:6" x14ac:dyDescent="0.3">
      <c r="C5969" s="3"/>
      <c r="D5969" s="3"/>
      <c r="E5969" s="3"/>
      <c r="F5969" s="3"/>
    </row>
    <row r="5970" spans="3:6" x14ac:dyDescent="0.3">
      <c r="C5970" s="3"/>
      <c r="D5970" s="3"/>
      <c r="E5970" s="3"/>
      <c r="F5970" s="3"/>
    </row>
    <row r="5971" spans="3:6" x14ac:dyDescent="0.3">
      <c r="C5971" s="3"/>
      <c r="D5971" s="3"/>
      <c r="E5971" s="3"/>
      <c r="F5971" s="3"/>
    </row>
    <row r="5972" spans="3:6" x14ac:dyDescent="0.3">
      <c r="C5972" s="3"/>
      <c r="D5972" s="3"/>
      <c r="E5972" s="3"/>
      <c r="F5972" s="3"/>
    </row>
    <row r="5973" spans="3:6" x14ac:dyDescent="0.3">
      <c r="C5973" s="3"/>
      <c r="D5973" s="3"/>
      <c r="E5973" s="3"/>
      <c r="F5973" s="3"/>
    </row>
    <row r="5974" spans="3:6" x14ac:dyDescent="0.3">
      <c r="C5974" s="3"/>
      <c r="D5974" s="3"/>
      <c r="E5974" s="3"/>
      <c r="F5974" s="3"/>
    </row>
    <row r="5975" spans="3:6" x14ac:dyDescent="0.3">
      <c r="C5975" s="3"/>
      <c r="D5975" s="3"/>
      <c r="E5975" s="3"/>
      <c r="F5975" s="3"/>
    </row>
    <row r="5976" spans="3:6" x14ac:dyDescent="0.3">
      <c r="C5976" s="3"/>
      <c r="D5976" s="3"/>
      <c r="E5976" s="3"/>
      <c r="F5976" s="3"/>
    </row>
    <row r="5977" spans="3:6" x14ac:dyDescent="0.3">
      <c r="C5977" s="3"/>
      <c r="D5977" s="3"/>
      <c r="E5977" s="3"/>
      <c r="F5977" s="3"/>
    </row>
    <row r="5978" spans="3:6" x14ac:dyDescent="0.3">
      <c r="C5978" s="3"/>
      <c r="D5978" s="3"/>
      <c r="E5978" s="3"/>
      <c r="F5978" s="3"/>
    </row>
    <row r="5979" spans="3:6" x14ac:dyDescent="0.3">
      <c r="C5979" s="3"/>
      <c r="D5979" s="3"/>
      <c r="E5979" s="3"/>
      <c r="F5979" s="3"/>
    </row>
    <row r="5980" spans="3:6" x14ac:dyDescent="0.3">
      <c r="C5980" s="3"/>
      <c r="D5980" s="3"/>
      <c r="E5980" s="3"/>
      <c r="F5980" s="3"/>
    </row>
    <row r="5981" spans="3:6" x14ac:dyDescent="0.3">
      <c r="C5981" s="3"/>
      <c r="D5981" s="3"/>
      <c r="E5981" s="3"/>
      <c r="F5981" s="3"/>
    </row>
    <row r="5982" spans="3:6" x14ac:dyDescent="0.3">
      <c r="C5982" s="3"/>
      <c r="D5982" s="3"/>
      <c r="E5982" s="3"/>
      <c r="F5982" s="3"/>
    </row>
    <row r="5983" spans="3:6" x14ac:dyDescent="0.3">
      <c r="C5983" s="3"/>
      <c r="D5983" s="3"/>
      <c r="E5983" s="3"/>
      <c r="F5983" s="3"/>
    </row>
    <row r="5984" spans="3:6" x14ac:dyDescent="0.3">
      <c r="C5984" s="3"/>
      <c r="D5984" s="3"/>
      <c r="E5984" s="3"/>
      <c r="F5984" s="3"/>
    </row>
    <row r="5985" spans="3:6" x14ac:dyDescent="0.3">
      <c r="C5985" s="3"/>
      <c r="D5985" s="3"/>
      <c r="E5985" s="3"/>
      <c r="F5985" s="3"/>
    </row>
    <row r="5986" spans="3:6" x14ac:dyDescent="0.3">
      <c r="C5986" s="3"/>
      <c r="D5986" s="3"/>
      <c r="E5986" s="3"/>
      <c r="F5986" s="3"/>
    </row>
    <row r="5987" spans="3:6" x14ac:dyDescent="0.3">
      <c r="C5987" s="3"/>
      <c r="D5987" s="3"/>
      <c r="E5987" s="3"/>
      <c r="F5987" s="3"/>
    </row>
    <row r="5988" spans="3:6" x14ac:dyDescent="0.3">
      <c r="C5988" s="3"/>
      <c r="D5988" s="3"/>
      <c r="E5988" s="3"/>
      <c r="F5988" s="3"/>
    </row>
    <row r="5989" spans="3:6" x14ac:dyDescent="0.3">
      <c r="C5989" s="3"/>
      <c r="D5989" s="3"/>
      <c r="E5989" s="3"/>
      <c r="F5989" s="3"/>
    </row>
    <row r="5990" spans="3:6" x14ac:dyDescent="0.3">
      <c r="C5990" s="3"/>
      <c r="D5990" s="3"/>
      <c r="E5990" s="3"/>
      <c r="F5990" s="3"/>
    </row>
    <row r="5991" spans="3:6" x14ac:dyDescent="0.3">
      <c r="C5991" s="3"/>
      <c r="D5991" s="3"/>
      <c r="E5991" s="3"/>
      <c r="F5991" s="3"/>
    </row>
    <row r="5992" spans="3:6" x14ac:dyDescent="0.3">
      <c r="C5992" s="3"/>
      <c r="D5992" s="3"/>
      <c r="E5992" s="3"/>
      <c r="F5992" s="3"/>
    </row>
    <row r="5993" spans="3:6" x14ac:dyDescent="0.3">
      <c r="C5993" s="3"/>
      <c r="D5993" s="3"/>
      <c r="E5993" s="3"/>
      <c r="F5993" s="3"/>
    </row>
    <row r="5994" spans="3:6" x14ac:dyDescent="0.3">
      <c r="C5994" s="3"/>
      <c r="D5994" s="3"/>
      <c r="E5994" s="3"/>
      <c r="F5994" s="3"/>
    </row>
    <row r="5995" spans="3:6" x14ac:dyDescent="0.3">
      <c r="C5995" s="3"/>
      <c r="D5995" s="3"/>
      <c r="E5995" s="3"/>
      <c r="F5995" s="3"/>
    </row>
    <row r="5996" spans="3:6" x14ac:dyDescent="0.3">
      <c r="C5996" s="3"/>
      <c r="D5996" s="3"/>
      <c r="E5996" s="3"/>
      <c r="F5996" s="3"/>
    </row>
    <row r="5997" spans="3:6" x14ac:dyDescent="0.3">
      <c r="C5997" s="3"/>
      <c r="D5997" s="3"/>
      <c r="E5997" s="3"/>
      <c r="F5997" s="3"/>
    </row>
    <row r="5998" spans="3:6" x14ac:dyDescent="0.3">
      <c r="C5998" s="3"/>
      <c r="D5998" s="3"/>
      <c r="E5998" s="3"/>
      <c r="F5998" s="3"/>
    </row>
    <row r="5999" spans="3:6" x14ac:dyDescent="0.3">
      <c r="C5999" s="3"/>
      <c r="D5999" s="3"/>
      <c r="E5999" s="3"/>
      <c r="F5999" s="3"/>
    </row>
    <row r="6000" spans="3:6" x14ac:dyDescent="0.3">
      <c r="C6000" s="3"/>
      <c r="D6000" s="3"/>
      <c r="E6000" s="3"/>
      <c r="F6000" s="3"/>
    </row>
    <row r="6001" spans="3:6" x14ac:dyDescent="0.3">
      <c r="C6001" s="3"/>
      <c r="D6001" s="3"/>
      <c r="E6001" s="3"/>
      <c r="F6001" s="3"/>
    </row>
    <row r="6002" spans="3:6" x14ac:dyDescent="0.3">
      <c r="C6002" s="3"/>
      <c r="D6002" s="3"/>
      <c r="E6002" s="3"/>
      <c r="F6002" s="3"/>
    </row>
    <row r="6003" spans="3:6" x14ac:dyDescent="0.3">
      <c r="C6003" s="3"/>
      <c r="D6003" s="3"/>
      <c r="E6003" s="3"/>
      <c r="F6003" s="3"/>
    </row>
    <row r="6004" spans="3:6" x14ac:dyDescent="0.3">
      <c r="C6004" s="3"/>
      <c r="D6004" s="3"/>
      <c r="E6004" s="3"/>
      <c r="F6004" s="3"/>
    </row>
    <row r="6005" spans="3:6" x14ac:dyDescent="0.3">
      <c r="C6005" s="3"/>
      <c r="D6005" s="3"/>
      <c r="E6005" s="3"/>
      <c r="F6005" s="3"/>
    </row>
    <row r="6006" spans="3:6" x14ac:dyDescent="0.3">
      <c r="C6006" s="3"/>
      <c r="D6006" s="3"/>
      <c r="E6006" s="3"/>
      <c r="F6006" s="3"/>
    </row>
    <row r="6007" spans="3:6" x14ac:dyDescent="0.3">
      <c r="C6007" s="3"/>
      <c r="D6007" s="3"/>
      <c r="E6007" s="3"/>
      <c r="F6007" s="3"/>
    </row>
    <row r="6008" spans="3:6" x14ac:dyDescent="0.3">
      <c r="C6008" s="3"/>
      <c r="D6008" s="3"/>
      <c r="E6008" s="3"/>
      <c r="F6008" s="3"/>
    </row>
    <row r="6009" spans="3:6" x14ac:dyDescent="0.3">
      <c r="C6009" s="3"/>
      <c r="D6009" s="3"/>
      <c r="E6009" s="3"/>
      <c r="F6009" s="3"/>
    </row>
    <row r="6010" spans="3:6" x14ac:dyDescent="0.3">
      <c r="C6010" s="3"/>
      <c r="D6010" s="3"/>
      <c r="E6010" s="3"/>
      <c r="F6010" s="3"/>
    </row>
    <row r="6011" spans="3:6" x14ac:dyDescent="0.3">
      <c r="C6011" s="3"/>
      <c r="D6011" s="3"/>
      <c r="E6011" s="3"/>
      <c r="F6011" s="3"/>
    </row>
    <row r="6012" spans="3:6" x14ac:dyDescent="0.3">
      <c r="C6012" s="3"/>
      <c r="D6012" s="3"/>
      <c r="E6012" s="3"/>
      <c r="F6012" s="3"/>
    </row>
    <row r="6013" spans="3:6" x14ac:dyDescent="0.3">
      <c r="C6013" s="3"/>
      <c r="D6013" s="3"/>
      <c r="E6013" s="3"/>
      <c r="F6013" s="3"/>
    </row>
    <row r="6014" spans="3:6" x14ac:dyDescent="0.3">
      <c r="C6014" s="3"/>
      <c r="D6014" s="3"/>
      <c r="E6014" s="3"/>
      <c r="F6014" s="3"/>
    </row>
    <row r="6015" spans="3:6" x14ac:dyDescent="0.3">
      <c r="C6015" s="3"/>
      <c r="D6015" s="3"/>
      <c r="E6015" s="3"/>
      <c r="F6015" s="3"/>
    </row>
    <row r="6016" spans="3:6" x14ac:dyDescent="0.3">
      <c r="C6016" s="3"/>
      <c r="D6016" s="3"/>
      <c r="E6016" s="3"/>
      <c r="F6016" s="3"/>
    </row>
    <row r="6017" spans="3:6" x14ac:dyDescent="0.3">
      <c r="C6017" s="3"/>
      <c r="D6017" s="3"/>
      <c r="E6017" s="3"/>
      <c r="F6017" s="3"/>
    </row>
    <row r="6018" spans="3:6" x14ac:dyDescent="0.3">
      <c r="C6018" s="3"/>
      <c r="D6018" s="3"/>
      <c r="E6018" s="3"/>
      <c r="F6018" s="3"/>
    </row>
    <row r="6019" spans="3:6" x14ac:dyDescent="0.3">
      <c r="C6019" s="3"/>
      <c r="D6019" s="3"/>
      <c r="E6019" s="3"/>
      <c r="F6019" s="3"/>
    </row>
    <row r="6020" spans="3:6" x14ac:dyDescent="0.3">
      <c r="C6020" s="3"/>
      <c r="D6020" s="3"/>
      <c r="E6020" s="3"/>
      <c r="F6020" s="3"/>
    </row>
    <row r="6021" spans="3:6" x14ac:dyDescent="0.3">
      <c r="C6021" s="3"/>
      <c r="D6021" s="3"/>
      <c r="E6021" s="3"/>
      <c r="F6021" s="3"/>
    </row>
    <row r="6022" spans="3:6" x14ac:dyDescent="0.3">
      <c r="C6022" s="3"/>
      <c r="D6022" s="3"/>
      <c r="E6022" s="3"/>
      <c r="F6022" s="3"/>
    </row>
    <row r="6023" spans="3:6" x14ac:dyDescent="0.3">
      <c r="C6023" s="3"/>
      <c r="D6023" s="3"/>
      <c r="E6023" s="3"/>
      <c r="F6023" s="3"/>
    </row>
    <row r="6024" spans="3:6" x14ac:dyDescent="0.3">
      <c r="C6024" s="3"/>
      <c r="D6024" s="3"/>
      <c r="E6024" s="3"/>
      <c r="F6024" s="3"/>
    </row>
    <row r="6025" spans="3:6" x14ac:dyDescent="0.3">
      <c r="C6025" s="3"/>
      <c r="D6025" s="3"/>
      <c r="E6025" s="3"/>
      <c r="F6025" s="3"/>
    </row>
    <row r="6026" spans="3:6" x14ac:dyDescent="0.3">
      <c r="C6026" s="3"/>
      <c r="D6026" s="3"/>
      <c r="E6026" s="3"/>
      <c r="F6026" s="3"/>
    </row>
    <row r="6027" spans="3:6" x14ac:dyDescent="0.3">
      <c r="C6027" s="3"/>
      <c r="D6027" s="3"/>
      <c r="E6027" s="3"/>
      <c r="F6027" s="3"/>
    </row>
    <row r="6028" spans="3:6" x14ac:dyDescent="0.3">
      <c r="C6028" s="3"/>
      <c r="D6028" s="3"/>
      <c r="E6028" s="3"/>
      <c r="F6028" s="3"/>
    </row>
    <row r="6029" spans="3:6" x14ac:dyDescent="0.3">
      <c r="C6029" s="3"/>
      <c r="D6029" s="3"/>
      <c r="E6029" s="3"/>
      <c r="F6029" s="3"/>
    </row>
    <row r="6030" spans="3:6" x14ac:dyDescent="0.3">
      <c r="C6030" s="3"/>
      <c r="D6030" s="3"/>
      <c r="E6030" s="3"/>
      <c r="F6030" s="3"/>
    </row>
    <row r="6031" spans="3:6" x14ac:dyDescent="0.3">
      <c r="C6031" s="3"/>
      <c r="D6031" s="3"/>
      <c r="E6031" s="3"/>
      <c r="F6031" s="3"/>
    </row>
    <row r="6032" spans="3:6" x14ac:dyDescent="0.3">
      <c r="C6032" s="3"/>
      <c r="D6032" s="3"/>
      <c r="E6032" s="3"/>
      <c r="F6032" s="3"/>
    </row>
    <row r="6033" spans="3:6" x14ac:dyDescent="0.3">
      <c r="C6033" s="3"/>
      <c r="D6033" s="3"/>
      <c r="E6033" s="3"/>
      <c r="F6033" s="3"/>
    </row>
    <row r="6034" spans="3:6" x14ac:dyDescent="0.3">
      <c r="C6034" s="3"/>
      <c r="D6034" s="3"/>
      <c r="E6034" s="3"/>
      <c r="F6034" s="3"/>
    </row>
    <row r="6035" spans="3:6" x14ac:dyDescent="0.3">
      <c r="C6035" s="3"/>
      <c r="D6035" s="3"/>
      <c r="E6035" s="3"/>
      <c r="F6035" s="3"/>
    </row>
    <row r="6036" spans="3:6" x14ac:dyDescent="0.3">
      <c r="C6036" s="3"/>
      <c r="D6036" s="3"/>
      <c r="E6036" s="3"/>
      <c r="F6036" s="3"/>
    </row>
    <row r="6037" spans="3:6" x14ac:dyDescent="0.3">
      <c r="C6037" s="3"/>
      <c r="D6037" s="3"/>
      <c r="E6037" s="3"/>
      <c r="F6037" s="3"/>
    </row>
    <row r="6038" spans="3:6" x14ac:dyDescent="0.3">
      <c r="C6038" s="3"/>
      <c r="D6038" s="3"/>
      <c r="E6038" s="3"/>
      <c r="F6038" s="3"/>
    </row>
    <row r="6039" spans="3:6" x14ac:dyDescent="0.3">
      <c r="C6039" s="3"/>
      <c r="D6039" s="3"/>
      <c r="E6039" s="3"/>
      <c r="F6039" s="3"/>
    </row>
    <row r="6040" spans="3:6" x14ac:dyDescent="0.3">
      <c r="C6040" s="3"/>
      <c r="D6040" s="3"/>
      <c r="E6040" s="3"/>
      <c r="F6040" s="3"/>
    </row>
    <row r="6041" spans="3:6" x14ac:dyDescent="0.3">
      <c r="C6041" s="3"/>
      <c r="D6041" s="3"/>
      <c r="E6041" s="3"/>
      <c r="F6041" s="3"/>
    </row>
    <row r="6042" spans="3:6" x14ac:dyDescent="0.3">
      <c r="C6042" s="3"/>
      <c r="D6042" s="3"/>
      <c r="E6042" s="3"/>
      <c r="F6042" s="3"/>
    </row>
    <row r="6043" spans="3:6" x14ac:dyDescent="0.3">
      <c r="C6043" s="3"/>
      <c r="D6043" s="3"/>
      <c r="E6043" s="3"/>
      <c r="F6043" s="3"/>
    </row>
    <row r="6044" spans="3:6" x14ac:dyDescent="0.3">
      <c r="C6044" s="3"/>
      <c r="D6044" s="3"/>
      <c r="E6044" s="3"/>
      <c r="F6044" s="3"/>
    </row>
    <row r="6045" spans="3:6" x14ac:dyDescent="0.3">
      <c r="C6045" s="3"/>
      <c r="D6045" s="3"/>
      <c r="E6045" s="3"/>
      <c r="F6045" s="3"/>
    </row>
    <row r="6046" spans="3:6" x14ac:dyDescent="0.3">
      <c r="C6046" s="3"/>
      <c r="D6046" s="3"/>
      <c r="E6046" s="3"/>
      <c r="F6046" s="3"/>
    </row>
    <row r="6047" spans="3:6" x14ac:dyDescent="0.3">
      <c r="C6047" s="3"/>
      <c r="D6047" s="3"/>
      <c r="E6047" s="3"/>
      <c r="F6047" s="3"/>
    </row>
    <row r="6048" spans="3:6" x14ac:dyDescent="0.3">
      <c r="C6048" s="3"/>
      <c r="D6048" s="3"/>
      <c r="E6048" s="3"/>
      <c r="F6048" s="3"/>
    </row>
    <row r="6049" spans="3:6" x14ac:dyDescent="0.3">
      <c r="C6049" s="3"/>
      <c r="D6049" s="3"/>
      <c r="E6049" s="3"/>
      <c r="F6049" s="3"/>
    </row>
    <row r="6050" spans="3:6" x14ac:dyDescent="0.3">
      <c r="C6050" s="3"/>
      <c r="D6050" s="3"/>
      <c r="E6050" s="3"/>
      <c r="F6050" s="3"/>
    </row>
    <row r="6051" spans="3:6" x14ac:dyDescent="0.3">
      <c r="C6051" s="3"/>
      <c r="D6051" s="3"/>
      <c r="E6051" s="3"/>
      <c r="F6051" s="3"/>
    </row>
    <row r="6052" spans="3:6" x14ac:dyDescent="0.3">
      <c r="C6052" s="3"/>
      <c r="D6052" s="3"/>
      <c r="E6052" s="3"/>
      <c r="F6052" s="3"/>
    </row>
    <row r="6053" spans="3:6" x14ac:dyDescent="0.3">
      <c r="C6053" s="3"/>
      <c r="D6053" s="3"/>
      <c r="E6053" s="3"/>
      <c r="F6053" s="3"/>
    </row>
    <row r="6054" spans="3:6" x14ac:dyDescent="0.3">
      <c r="C6054" s="3"/>
      <c r="D6054" s="3"/>
      <c r="E6054" s="3"/>
      <c r="F6054" s="3"/>
    </row>
    <row r="6055" spans="3:6" x14ac:dyDescent="0.3">
      <c r="C6055" s="3"/>
      <c r="D6055" s="3"/>
      <c r="E6055" s="3"/>
      <c r="F6055" s="3"/>
    </row>
    <row r="6056" spans="3:6" x14ac:dyDescent="0.3">
      <c r="C6056" s="3"/>
      <c r="D6056" s="3"/>
      <c r="E6056" s="3"/>
      <c r="F6056" s="3"/>
    </row>
    <row r="6057" spans="3:6" x14ac:dyDescent="0.3">
      <c r="C6057" s="3"/>
      <c r="D6057" s="3"/>
      <c r="E6057" s="3"/>
      <c r="F6057" s="3"/>
    </row>
    <row r="6058" spans="3:6" x14ac:dyDescent="0.3">
      <c r="C6058" s="3"/>
      <c r="D6058" s="3"/>
      <c r="E6058" s="3"/>
      <c r="F6058" s="3"/>
    </row>
    <row r="6059" spans="3:6" x14ac:dyDescent="0.3">
      <c r="C6059" s="3"/>
      <c r="D6059" s="3"/>
      <c r="E6059" s="3"/>
      <c r="F6059" s="3"/>
    </row>
    <row r="6060" spans="3:6" x14ac:dyDescent="0.3">
      <c r="C6060" s="3"/>
      <c r="D6060" s="3"/>
      <c r="E6060" s="3"/>
      <c r="F6060" s="3"/>
    </row>
    <row r="6061" spans="3:6" x14ac:dyDescent="0.3">
      <c r="C6061" s="3"/>
      <c r="D6061" s="3"/>
      <c r="E6061" s="3"/>
      <c r="F6061" s="3"/>
    </row>
    <row r="6062" spans="3:6" x14ac:dyDescent="0.3">
      <c r="C6062" s="3"/>
      <c r="D6062" s="3"/>
      <c r="E6062" s="3"/>
      <c r="F6062" s="3"/>
    </row>
    <row r="6063" spans="3:6" x14ac:dyDescent="0.3">
      <c r="C6063" s="3"/>
      <c r="D6063" s="3"/>
      <c r="E6063" s="3"/>
      <c r="F6063" s="3"/>
    </row>
    <row r="6064" spans="3:6" x14ac:dyDescent="0.3">
      <c r="C6064" s="3"/>
      <c r="D6064" s="3"/>
      <c r="E6064" s="3"/>
      <c r="F6064" s="3"/>
    </row>
    <row r="6065" spans="3:6" x14ac:dyDescent="0.3">
      <c r="C6065" s="3"/>
      <c r="D6065" s="3"/>
      <c r="E6065" s="3"/>
      <c r="F6065" s="3"/>
    </row>
    <row r="6066" spans="3:6" x14ac:dyDescent="0.3">
      <c r="C6066" s="3"/>
      <c r="D6066" s="3"/>
      <c r="E6066" s="3"/>
      <c r="F6066" s="3"/>
    </row>
    <row r="6067" spans="3:6" x14ac:dyDescent="0.3">
      <c r="C6067" s="3"/>
      <c r="D6067" s="3"/>
      <c r="E6067" s="3"/>
      <c r="F6067" s="3"/>
    </row>
    <row r="6068" spans="3:6" x14ac:dyDescent="0.3">
      <c r="C6068" s="3"/>
      <c r="D6068" s="3"/>
      <c r="E6068" s="3"/>
      <c r="F6068" s="3"/>
    </row>
    <row r="6069" spans="3:6" x14ac:dyDescent="0.3">
      <c r="C6069" s="3"/>
      <c r="D6069" s="3"/>
      <c r="E6069" s="3"/>
      <c r="F6069" s="3"/>
    </row>
    <row r="6070" spans="3:6" x14ac:dyDescent="0.3">
      <c r="C6070" s="3"/>
      <c r="D6070" s="3"/>
      <c r="E6070" s="3"/>
      <c r="F6070" s="3"/>
    </row>
    <row r="6071" spans="3:6" x14ac:dyDescent="0.3">
      <c r="C6071" s="3"/>
      <c r="D6071" s="3"/>
      <c r="E6071" s="3"/>
      <c r="F6071" s="3"/>
    </row>
    <row r="6072" spans="3:6" x14ac:dyDescent="0.3">
      <c r="C6072" s="3"/>
      <c r="D6072" s="3"/>
      <c r="E6072" s="3"/>
      <c r="F6072" s="3"/>
    </row>
    <row r="6073" spans="3:6" x14ac:dyDescent="0.3">
      <c r="C6073" s="3"/>
      <c r="D6073" s="3"/>
      <c r="E6073" s="3"/>
      <c r="F6073" s="3"/>
    </row>
    <row r="6074" spans="3:6" x14ac:dyDescent="0.3">
      <c r="C6074" s="3"/>
      <c r="D6074" s="3"/>
      <c r="E6074" s="3"/>
      <c r="F6074" s="3"/>
    </row>
    <row r="6075" spans="3:6" x14ac:dyDescent="0.3">
      <c r="C6075" s="3"/>
      <c r="D6075" s="3"/>
      <c r="E6075" s="3"/>
      <c r="F6075" s="3"/>
    </row>
    <row r="6076" spans="3:6" x14ac:dyDescent="0.3">
      <c r="C6076" s="3"/>
      <c r="D6076" s="3"/>
      <c r="E6076" s="3"/>
      <c r="F6076" s="3"/>
    </row>
    <row r="6077" spans="3:6" x14ac:dyDescent="0.3">
      <c r="C6077" s="3"/>
      <c r="D6077" s="3"/>
      <c r="E6077" s="3"/>
      <c r="F6077" s="3"/>
    </row>
    <row r="6078" spans="3:6" x14ac:dyDescent="0.3">
      <c r="C6078" s="3"/>
      <c r="D6078" s="3"/>
      <c r="E6078" s="3"/>
      <c r="F6078" s="3"/>
    </row>
    <row r="6079" spans="3:6" x14ac:dyDescent="0.3">
      <c r="C6079" s="3"/>
      <c r="D6079" s="3"/>
      <c r="E6079" s="3"/>
      <c r="F6079" s="3"/>
    </row>
    <row r="6080" spans="3:6" x14ac:dyDescent="0.3">
      <c r="C6080" s="3"/>
      <c r="D6080" s="3"/>
      <c r="E6080" s="3"/>
      <c r="F6080" s="3"/>
    </row>
    <row r="6081" spans="3:6" x14ac:dyDescent="0.3">
      <c r="C6081" s="3"/>
      <c r="D6081" s="3"/>
      <c r="E6081" s="3"/>
      <c r="F6081" s="3"/>
    </row>
    <row r="6082" spans="3:6" x14ac:dyDescent="0.3">
      <c r="C6082" s="3"/>
      <c r="D6082" s="3"/>
      <c r="E6082" s="3"/>
      <c r="F6082" s="3"/>
    </row>
    <row r="6083" spans="3:6" x14ac:dyDescent="0.3">
      <c r="C6083" s="3"/>
      <c r="D6083" s="3"/>
      <c r="E6083" s="3"/>
      <c r="F6083" s="3"/>
    </row>
    <row r="6084" spans="3:6" x14ac:dyDescent="0.3">
      <c r="C6084" s="3"/>
      <c r="D6084" s="3"/>
      <c r="E6084" s="3"/>
      <c r="F6084" s="3"/>
    </row>
    <row r="6085" spans="3:6" x14ac:dyDescent="0.3">
      <c r="C6085" s="3"/>
      <c r="D6085" s="3"/>
      <c r="E6085" s="3"/>
      <c r="F6085" s="3"/>
    </row>
    <row r="6086" spans="3:6" x14ac:dyDescent="0.3">
      <c r="C6086" s="3"/>
      <c r="D6086" s="3"/>
      <c r="E6086" s="3"/>
      <c r="F6086" s="3"/>
    </row>
    <row r="6087" spans="3:6" x14ac:dyDescent="0.3">
      <c r="C6087" s="3"/>
      <c r="D6087" s="3"/>
      <c r="E6087" s="3"/>
      <c r="F6087" s="3"/>
    </row>
    <row r="6088" spans="3:6" x14ac:dyDescent="0.3">
      <c r="C6088" s="3"/>
      <c r="D6088" s="3"/>
      <c r="E6088" s="3"/>
      <c r="F6088" s="3"/>
    </row>
    <row r="6089" spans="3:6" x14ac:dyDescent="0.3">
      <c r="C6089" s="3"/>
      <c r="D6089" s="3"/>
      <c r="E6089" s="3"/>
      <c r="F6089" s="3"/>
    </row>
    <row r="6090" spans="3:6" x14ac:dyDescent="0.3">
      <c r="C6090" s="3"/>
      <c r="D6090" s="3"/>
      <c r="E6090" s="3"/>
      <c r="F6090" s="3"/>
    </row>
    <row r="6091" spans="3:6" x14ac:dyDescent="0.3">
      <c r="C6091" s="3"/>
      <c r="D6091" s="3"/>
      <c r="E6091" s="3"/>
      <c r="F6091" s="3"/>
    </row>
    <row r="6092" spans="3:6" x14ac:dyDescent="0.3">
      <c r="C6092" s="3"/>
      <c r="D6092" s="3"/>
      <c r="E6092" s="3"/>
      <c r="F6092" s="3"/>
    </row>
    <row r="6093" spans="3:6" x14ac:dyDescent="0.3">
      <c r="C6093" s="3"/>
      <c r="D6093" s="3"/>
      <c r="E6093" s="3"/>
      <c r="F6093" s="3"/>
    </row>
    <row r="6094" spans="3:6" x14ac:dyDescent="0.3">
      <c r="C6094" s="3"/>
      <c r="D6094" s="3"/>
      <c r="E6094" s="3"/>
      <c r="F6094" s="3"/>
    </row>
    <row r="6095" spans="3:6" x14ac:dyDescent="0.3">
      <c r="C6095" s="3"/>
      <c r="D6095" s="3"/>
      <c r="E6095" s="3"/>
      <c r="F6095" s="3"/>
    </row>
    <row r="6096" spans="3:6" x14ac:dyDescent="0.3">
      <c r="C6096" s="3"/>
      <c r="D6096" s="3"/>
      <c r="E6096" s="3"/>
      <c r="F6096" s="3"/>
    </row>
    <row r="6097" spans="3:6" x14ac:dyDescent="0.3">
      <c r="C6097" s="3"/>
      <c r="D6097" s="3"/>
      <c r="E6097" s="3"/>
      <c r="F6097" s="3"/>
    </row>
    <row r="6098" spans="3:6" x14ac:dyDescent="0.3">
      <c r="C6098" s="3"/>
      <c r="D6098" s="3"/>
      <c r="E6098" s="3"/>
      <c r="F6098" s="3"/>
    </row>
    <row r="6099" spans="3:6" x14ac:dyDescent="0.3">
      <c r="C6099" s="3"/>
      <c r="D6099" s="3"/>
      <c r="E6099" s="3"/>
      <c r="F6099" s="3"/>
    </row>
    <row r="6100" spans="3:6" x14ac:dyDescent="0.3">
      <c r="C6100" s="3"/>
      <c r="D6100" s="3"/>
      <c r="E6100" s="3"/>
      <c r="F6100" s="3"/>
    </row>
    <row r="6101" spans="3:6" x14ac:dyDescent="0.3">
      <c r="C6101" s="3"/>
      <c r="D6101" s="3"/>
      <c r="E6101" s="3"/>
      <c r="F6101" s="3"/>
    </row>
    <row r="6102" spans="3:6" x14ac:dyDescent="0.3">
      <c r="C6102" s="3"/>
      <c r="D6102" s="3"/>
      <c r="E6102" s="3"/>
      <c r="F6102" s="3"/>
    </row>
    <row r="6103" spans="3:6" x14ac:dyDescent="0.3">
      <c r="C6103" s="3"/>
      <c r="D6103" s="3"/>
      <c r="E6103" s="3"/>
      <c r="F6103" s="3"/>
    </row>
    <row r="6104" spans="3:6" x14ac:dyDescent="0.3">
      <c r="C6104" s="3"/>
      <c r="D6104" s="3"/>
      <c r="E6104" s="3"/>
      <c r="F6104" s="3"/>
    </row>
    <row r="6105" spans="3:6" x14ac:dyDescent="0.3">
      <c r="C6105" s="3"/>
      <c r="D6105" s="3"/>
      <c r="E6105" s="3"/>
      <c r="F6105" s="3"/>
    </row>
    <row r="6106" spans="3:6" x14ac:dyDescent="0.3">
      <c r="C6106" s="3"/>
      <c r="D6106" s="3"/>
      <c r="E6106" s="3"/>
      <c r="F6106" s="3"/>
    </row>
    <row r="6107" spans="3:6" x14ac:dyDescent="0.3">
      <c r="C6107" s="3"/>
      <c r="D6107" s="3"/>
      <c r="E6107" s="3"/>
      <c r="F6107" s="3"/>
    </row>
    <row r="6108" spans="3:6" x14ac:dyDescent="0.3">
      <c r="C6108" s="3"/>
      <c r="D6108" s="3"/>
      <c r="E6108" s="3"/>
      <c r="F6108" s="3"/>
    </row>
    <row r="6109" spans="3:6" x14ac:dyDescent="0.3">
      <c r="C6109" s="3"/>
      <c r="D6109" s="3"/>
      <c r="E6109" s="3"/>
      <c r="F6109" s="3"/>
    </row>
    <row r="6110" spans="3:6" x14ac:dyDescent="0.3">
      <c r="C6110" s="3"/>
      <c r="D6110" s="3"/>
      <c r="E6110" s="3"/>
      <c r="F6110" s="3"/>
    </row>
    <row r="6111" spans="3:6" x14ac:dyDescent="0.3">
      <c r="C6111" s="3"/>
      <c r="D6111" s="3"/>
      <c r="E6111" s="3"/>
      <c r="F6111" s="3"/>
    </row>
    <row r="6112" spans="3:6" x14ac:dyDescent="0.3">
      <c r="C6112" s="3"/>
      <c r="D6112" s="3"/>
      <c r="E6112" s="3"/>
      <c r="F6112" s="3"/>
    </row>
    <row r="6113" spans="3:6" x14ac:dyDescent="0.3">
      <c r="C6113" s="3"/>
      <c r="D6113" s="3"/>
      <c r="E6113" s="3"/>
      <c r="F6113" s="3"/>
    </row>
    <row r="6114" spans="3:6" x14ac:dyDescent="0.3">
      <c r="C6114" s="3"/>
      <c r="D6114" s="3"/>
      <c r="E6114" s="3"/>
      <c r="F6114" s="3"/>
    </row>
    <row r="6115" spans="3:6" x14ac:dyDescent="0.3">
      <c r="C6115" s="3"/>
      <c r="D6115" s="3"/>
      <c r="E6115" s="3"/>
      <c r="F6115" s="3"/>
    </row>
    <row r="6116" spans="3:6" x14ac:dyDescent="0.3">
      <c r="C6116" s="3"/>
      <c r="D6116" s="3"/>
      <c r="E6116" s="3"/>
      <c r="F6116" s="3"/>
    </row>
    <row r="6117" spans="3:6" x14ac:dyDescent="0.3">
      <c r="C6117" s="3"/>
      <c r="D6117" s="3"/>
      <c r="E6117" s="3"/>
      <c r="F6117" s="3"/>
    </row>
    <row r="6118" spans="3:6" x14ac:dyDescent="0.3">
      <c r="C6118" s="3"/>
      <c r="D6118" s="3"/>
      <c r="E6118" s="3"/>
      <c r="F6118" s="3"/>
    </row>
    <row r="6119" spans="3:6" x14ac:dyDescent="0.3">
      <c r="C6119" s="3"/>
      <c r="D6119" s="3"/>
      <c r="E6119" s="3"/>
      <c r="F6119" s="3"/>
    </row>
    <row r="6120" spans="3:6" x14ac:dyDescent="0.3">
      <c r="C6120" s="3"/>
      <c r="D6120" s="3"/>
      <c r="E6120" s="3"/>
      <c r="F6120" s="3"/>
    </row>
    <row r="6121" spans="3:6" x14ac:dyDescent="0.3">
      <c r="C6121" s="3"/>
      <c r="D6121" s="3"/>
      <c r="E6121" s="3"/>
      <c r="F6121" s="3"/>
    </row>
    <row r="6122" spans="3:6" x14ac:dyDescent="0.3">
      <c r="C6122" s="3"/>
      <c r="D6122" s="3"/>
      <c r="E6122" s="3"/>
      <c r="F6122" s="3"/>
    </row>
    <row r="6123" spans="3:6" x14ac:dyDescent="0.3">
      <c r="C6123" s="3"/>
      <c r="D6123" s="3"/>
      <c r="E6123" s="3"/>
      <c r="F6123" s="3"/>
    </row>
    <row r="6124" spans="3:6" x14ac:dyDescent="0.3">
      <c r="C6124" s="3"/>
      <c r="D6124" s="3"/>
      <c r="E6124" s="3"/>
      <c r="F6124" s="3"/>
    </row>
    <row r="6125" spans="3:6" x14ac:dyDescent="0.3">
      <c r="C6125" s="3"/>
      <c r="D6125" s="3"/>
      <c r="E6125" s="3"/>
      <c r="F6125" s="3"/>
    </row>
    <row r="6126" spans="3:6" x14ac:dyDescent="0.3">
      <c r="C6126" s="3"/>
      <c r="D6126" s="3"/>
      <c r="E6126" s="3"/>
      <c r="F6126" s="3"/>
    </row>
    <row r="6127" spans="3:6" x14ac:dyDescent="0.3">
      <c r="C6127" s="3"/>
      <c r="D6127" s="3"/>
      <c r="E6127" s="3"/>
      <c r="F6127" s="3"/>
    </row>
    <row r="6128" spans="3:6" x14ac:dyDescent="0.3">
      <c r="C6128" s="3"/>
      <c r="D6128" s="3"/>
      <c r="E6128" s="3"/>
      <c r="F6128" s="3"/>
    </row>
    <row r="6129" spans="3:6" x14ac:dyDescent="0.3">
      <c r="C6129" s="3"/>
      <c r="D6129" s="3"/>
      <c r="E6129" s="3"/>
      <c r="F6129" s="3"/>
    </row>
    <row r="6130" spans="3:6" x14ac:dyDescent="0.3">
      <c r="C6130" s="3"/>
      <c r="D6130" s="3"/>
      <c r="E6130" s="3"/>
      <c r="F6130" s="3"/>
    </row>
    <row r="6131" spans="3:6" x14ac:dyDescent="0.3">
      <c r="C6131" s="3"/>
      <c r="D6131" s="3"/>
      <c r="E6131" s="3"/>
      <c r="F6131" s="3"/>
    </row>
    <row r="6132" spans="3:6" x14ac:dyDescent="0.3">
      <c r="C6132" s="3"/>
      <c r="D6132" s="3"/>
      <c r="E6132" s="3"/>
      <c r="F6132" s="3"/>
    </row>
    <row r="6133" spans="3:6" x14ac:dyDescent="0.3">
      <c r="C6133" s="3"/>
      <c r="D6133" s="3"/>
      <c r="E6133" s="3"/>
      <c r="F6133" s="3"/>
    </row>
    <row r="6134" spans="3:6" x14ac:dyDescent="0.3">
      <c r="C6134" s="3"/>
      <c r="D6134" s="3"/>
      <c r="E6134" s="3"/>
      <c r="F6134" s="3"/>
    </row>
    <row r="6135" spans="3:6" x14ac:dyDescent="0.3">
      <c r="C6135" s="3"/>
      <c r="D6135" s="3"/>
      <c r="E6135" s="3"/>
      <c r="F6135" s="3"/>
    </row>
    <row r="6136" spans="3:6" x14ac:dyDescent="0.3">
      <c r="C6136" s="3"/>
      <c r="D6136" s="3"/>
      <c r="E6136" s="3"/>
      <c r="F6136" s="3"/>
    </row>
    <row r="6137" spans="3:6" x14ac:dyDescent="0.3">
      <c r="C6137" s="3"/>
      <c r="D6137" s="3"/>
      <c r="E6137" s="3"/>
      <c r="F6137" s="3"/>
    </row>
    <row r="6138" spans="3:6" x14ac:dyDescent="0.3">
      <c r="C6138" s="3"/>
      <c r="D6138" s="3"/>
      <c r="E6138" s="3"/>
      <c r="F6138" s="3"/>
    </row>
    <row r="6139" spans="3:6" x14ac:dyDescent="0.3">
      <c r="C6139" s="3"/>
      <c r="D6139" s="3"/>
      <c r="E6139" s="3"/>
      <c r="F6139" s="3"/>
    </row>
    <row r="6140" spans="3:6" x14ac:dyDescent="0.3">
      <c r="C6140" s="3"/>
      <c r="D6140" s="3"/>
      <c r="E6140" s="3"/>
      <c r="F6140" s="3"/>
    </row>
    <row r="6141" spans="3:6" x14ac:dyDescent="0.3">
      <c r="C6141" s="3"/>
      <c r="D6141" s="3"/>
      <c r="E6141" s="3"/>
      <c r="F6141" s="3"/>
    </row>
    <row r="6142" spans="3:6" x14ac:dyDescent="0.3">
      <c r="C6142" s="3"/>
      <c r="D6142" s="3"/>
      <c r="E6142" s="3"/>
      <c r="F6142" s="3"/>
    </row>
    <row r="6143" spans="3:6" x14ac:dyDescent="0.3">
      <c r="C6143" s="3"/>
      <c r="D6143" s="3"/>
      <c r="E6143" s="3"/>
      <c r="F6143" s="3"/>
    </row>
    <row r="6144" spans="3:6" x14ac:dyDescent="0.3">
      <c r="C6144" s="3"/>
      <c r="D6144" s="3"/>
      <c r="E6144" s="3"/>
      <c r="F6144" s="3"/>
    </row>
    <row r="6145" spans="3:6" x14ac:dyDescent="0.3">
      <c r="C6145" s="3"/>
      <c r="D6145" s="3"/>
      <c r="E6145" s="3"/>
      <c r="F6145" s="3"/>
    </row>
    <row r="6146" spans="3:6" x14ac:dyDescent="0.3">
      <c r="C6146" s="3"/>
      <c r="D6146" s="3"/>
      <c r="E6146" s="3"/>
      <c r="F6146" s="3"/>
    </row>
    <row r="6147" spans="3:6" x14ac:dyDescent="0.3">
      <c r="C6147" s="3"/>
      <c r="D6147" s="3"/>
      <c r="E6147" s="3"/>
      <c r="F6147" s="3"/>
    </row>
    <row r="6148" spans="3:6" x14ac:dyDescent="0.3">
      <c r="C6148" s="3"/>
      <c r="D6148" s="3"/>
      <c r="E6148" s="3"/>
      <c r="F6148" s="3"/>
    </row>
    <row r="6149" spans="3:6" x14ac:dyDescent="0.3">
      <c r="C6149" s="3"/>
      <c r="D6149" s="3"/>
      <c r="E6149" s="3"/>
      <c r="F6149" s="3"/>
    </row>
    <row r="6150" spans="3:6" x14ac:dyDescent="0.3">
      <c r="C6150" s="3"/>
      <c r="D6150" s="3"/>
      <c r="E6150" s="3"/>
      <c r="F6150" s="3"/>
    </row>
    <row r="6151" spans="3:6" x14ac:dyDescent="0.3">
      <c r="C6151" s="3"/>
      <c r="D6151" s="3"/>
      <c r="E6151" s="3"/>
      <c r="F6151" s="3"/>
    </row>
    <row r="6152" spans="3:6" x14ac:dyDescent="0.3">
      <c r="C6152" s="3"/>
      <c r="D6152" s="3"/>
      <c r="E6152" s="3"/>
      <c r="F6152" s="3"/>
    </row>
    <row r="6153" spans="3:6" x14ac:dyDescent="0.3">
      <c r="C6153" s="3"/>
      <c r="D6153" s="3"/>
      <c r="E6153" s="3"/>
      <c r="F6153" s="3"/>
    </row>
    <row r="6154" spans="3:6" x14ac:dyDescent="0.3">
      <c r="C6154" s="3"/>
      <c r="D6154" s="3"/>
      <c r="E6154" s="3"/>
      <c r="F6154" s="3"/>
    </row>
    <row r="6155" spans="3:6" x14ac:dyDescent="0.3">
      <c r="C6155" s="3"/>
      <c r="D6155" s="3"/>
      <c r="E6155" s="3"/>
      <c r="F6155" s="3"/>
    </row>
    <row r="6156" spans="3:6" x14ac:dyDescent="0.3">
      <c r="C6156" s="3"/>
      <c r="D6156" s="3"/>
      <c r="E6156" s="3"/>
      <c r="F6156" s="3"/>
    </row>
    <row r="6157" spans="3:6" x14ac:dyDescent="0.3">
      <c r="C6157" s="3"/>
      <c r="D6157" s="3"/>
      <c r="E6157" s="3"/>
      <c r="F6157" s="3"/>
    </row>
    <row r="6158" spans="3:6" x14ac:dyDescent="0.3">
      <c r="C6158" s="3"/>
      <c r="D6158" s="3"/>
      <c r="E6158" s="3"/>
      <c r="F6158" s="3"/>
    </row>
    <row r="6159" spans="3:6" x14ac:dyDescent="0.3">
      <c r="C6159" s="3"/>
      <c r="D6159" s="3"/>
      <c r="E6159" s="3"/>
      <c r="F6159" s="3"/>
    </row>
    <row r="6160" spans="3:6" x14ac:dyDescent="0.3">
      <c r="C6160" s="3"/>
      <c r="D6160" s="3"/>
      <c r="E6160" s="3"/>
      <c r="F6160" s="3"/>
    </row>
    <row r="6161" spans="3:6" x14ac:dyDescent="0.3">
      <c r="C6161" s="3"/>
      <c r="D6161" s="3"/>
      <c r="E6161" s="3"/>
      <c r="F6161" s="3"/>
    </row>
    <row r="6162" spans="3:6" x14ac:dyDescent="0.3">
      <c r="C6162" s="3"/>
      <c r="D6162" s="3"/>
      <c r="E6162" s="3"/>
      <c r="F6162" s="3"/>
    </row>
    <row r="6163" spans="3:6" x14ac:dyDescent="0.3">
      <c r="C6163" s="3"/>
      <c r="D6163" s="3"/>
      <c r="E6163" s="3"/>
      <c r="F6163" s="3"/>
    </row>
    <row r="6164" spans="3:6" x14ac:dyDescent="0.3">
      <c r="C6164" s="3"/>
      <c r="D6164" s="3"/>
      <c r="E6164" s="3"/>
      <c r="F6164" s="3"/>
    </row>
    <row r="6165" spans="3:6" x14ac:dyDescent="0.3">
      <c r="C6165" s="3"/>
      <c r="D6165" s="3"/>
      <c r="E6165" s="3"/>
      <c r="F6165" s="3"/>
    </row>
    <row r="6166" spans="3:6" x14ac:dyDescent="0.3">
      <c r="C6166" s="3"/>
      <c r="D6166" s="3"/>
      <c r="E6166" s="3"/>
      <c r="F6166" s="3"/>
    </row>
    <row r="6167" spans="3:6" x14ac:dyDescent="0.3">
      <c r="C6167" s="3"/>
      <c r="D6167" s="3"/>
      <c r="E6167" s="3"/>
      <c r="F6167" s="3"/>
    </row>
    <row r="6168" spans="3:6" x14ac:dyDescent="0.3">
      <c r="C6168" s="3"/>
      <c r="D6168" s="3"/>
      <c r="E6168" s="3"/>
      <c r="F6168" s="3"/>
    </row>
    <row r="6169" spans="3:6" x14ac:dyDescent="0.3">
      <c r="C6169" s="3"/>
      <c r="D6169" s="3"/>
      <c r="E6169" s="3"/>
      <c r="F6169" s="3"/>
    </row>
    <row r="6170" spans="3:6" x14ac:dyDescent="0.3">
      <c r="C6170" s="3"/>
      <c r="D6170" s="3"/>
      <c r="E6170" s="3"/>
      <c r="F6170" s="3"/>
    </row>
    <row r="6171" spans="3:6" x14ac:dyDescent="0.3">
      <c r="C6171" s="3"/>
      <c r="D6171" s="3"/>
      <c r="E6171" s="3"/>
      <c r="F6171" s="3"/>
    </row>
    <row r="6172" spans="3:6" x14ac:dyDescent="0.3">
      <c r="C6172" s="3"/>
      <c r="D6172" s="3"/>
      <c r="E6172" s="3"/>
      <c r="F6172" s="3"/>
    </row>
    <row r="6173" spans="3:6" x14ac:dyDescent="0.3">
      <c r="C6173" s="3"/>
      <c r="D6173" s="3"/>
      <c r="E6173" s="3"/>
      <c r="F6173" s="3"/>
    </row>
    <row r="6174" spans="3:6" x14ac:dyDescent="0.3">
      <c r="C6174" s="3"/>
      <c r="D6174" s="3"/>
      <c r="E6174" s="3"/>
      <c r="F6174" s="3"/>
    </row>
    <row r="6175" spans="3:6" x14ac:dyDescent="0.3">
      <c r="C6175" s="3"/>
      <c r="D6175" s="3"/>
      <c r="E6175" s="3"/>
      <c r="F6175" s="3"/>
    </row>
    <row r="6176" spans="3:6" x14ac:dyDescent="0.3">
      <c r="C6176" s="3"/>
      <c r="D6176" s="3"/>
      <c r="E6176" s="3"/>
      <c r="F6176" s="3"/>
    </row>
    <row r="6177" spans="3:6" x14ac:dyDescent="0.3">
      <c r="C6177" s="3"/>
      <c r="D6177" s="3"/>
      <c r="E6177" s="3"/>
      <c r="F6177" s="3"/>
    </row>
    <row r="6178" spans="3:6" x14ac:dyDescent="0.3">
      <c r="C6178" s="3"/>
      <c r="D6178" s="3"/>
      <c r="E6178" s="3"/>
      <c r="F6178" s="3"/>
    </row>
    <row r="6179" spans="3:6" x14ac:dyDescent="0.3">
      <c r="C6179" s="3"/>
      <c r="D6179" s="3"/>
      <c r="E6179" s="3"/>
      <c r="F6179" s="3"/>
    </row>
    <row r="6180" spans="3:6" x14ac:dyDescent="0.3">
      <c r="C6180" s="3"/>
      <c r="D6180" s="3"/>
      <c r="E6180" s="3"/>
      <c r="F6180" s="3"/>
    </row>
    <row r="6181" spans="3:6" x14ac:dyDescent="0.3">
      <c r="C6181" s="3"/>
      <c r="D6181" s="3"/>
      <c r="E6181" s="3"/>
      <c r="F6181" s="3"/>
    </row>
    <row r="6182" spans="3:6" x14ac:dyDescent="0.3">
      <c r="C6182" s="3"/>
      <c r="D6182" s="3"/>
      <c r="E6182" s="3"/>
      <c r="F6182" s="3"/>
    </row>
    <row r="6183" spans="3:6" x14ac:dyDescent="0.3">
      <c r="C6183" s="3"/>
      <c r="D6183" s="3"/>
      <c r="E6183" s="3"/>
      <c r="F6183" s="3"/>
    </row>
    <row r="6184" spans="3:6" x14ac:dyDescent="0.3">
      <c r="C6184" s="3"/>
      <c r="D6184" s="3"/>
      <c r="E6184" s="3"/>
      <c r="F6184" s="3"/>
    </row>
    <row r="6185" spans="3:6" x14ac:dyDescent="0.3">
      <c r="C6185" s="3"/>
      <c r="D6185" s="3"/>
      <c r="E6185" s="3"/>
      <c r="F6185" s="3"/>
    </row>
    <row r="6186" spans="3:6" x14ac:dyDescent="0.3">
      <c r="C6186" s="3"/>
      <c r="D6186" s="3"/>
      <c r="E6186" s="3"/>
      <c r="F6186" s="3"/>
    </row>
    <row r="6187" spans="3:6" x14ac:dyDescent="0.3">
      <c r="C6187" s="3"/>
      <c r="D6187" s="3"/>
      <c r="E6187" s="3"/>
      <c r="F6187" s="3"/>
    </row>
    <row r="6188" spans="3:6" x14ac:dyDescent="0.3">
      <c r="C6188" s="3"/>
      <c r="D6188" s="3"/>
      <c r="E6188" s="3"/>
      <c r="F6188" s="3"/>
    </row>
    <row r="6189" spans="3:6" x14ac:dyDescent="0.3">
      <c r="C6189" s="3"/>
      <c r="D6189" s="3"/>
      <c r="E6189" s="3"/>
      <c r="F6189" s="3"/>
    </row>
    <row r="6190" spans="3:6" x14ac:dyDescent="0.3">
      <c r="C6190" s="3"/>
      <c r="D6190" s="3"/>
      <c r="E6190" s="3"/>
      <c r="F6190" s="3"/>
    </row>
    <row r="6191" spans="3:6" x14ac:dyDescent="0.3">
      <c r="C6191" s="3"/>
      <c r="D6191" s="3"/>
      <c r="E6191" s="3"/>
      <c r="F6191" s="3"/>
    </row>
    <row r="6192" spans="3:6" x14ac:dyDescent="0.3">
      <c r="C6192" s="3"/>
      <c r="D6192" s="3"/>
      <c r="E6192" s="3"/>
      <c r="F6192" s="3"/>
    </row>
    <row r="6193" spans="3:6" x14ac:dyDescent="0.3">
      <c r="C6193" s="3"/>
      <c r="D6193" s="3"/>
      <c r="E6193" s="3"/>
      <c r="F6193" s="3"/>
    </row>
    <row r="6194" spans="3:6" x14ac:dyDescent="0.3">
      <c r="C6194" s="3"/>
      <c r="D6194" s="3"/>
      <c r="E6194" s="3"/>
      <c r="F6194" s="3"/>
    </row>
    <row r="6195" spans="3:6" x14ac:dyDescent="0.3">
      <c r="C6195" s="3"/>
      <c r="D6195" s="3"/>
      <c r="E6195" s="3"/>
      <c r="F6195" s="3"/>
    </row>
    <row r="6196" spans="3:6" x14ac:dyDescent="0.3">
      <c r="C6196" s="3"/>
      <c r="D6196" s="3"/>
      <c r="E6196" s="3"/>
      <c r="F6196" s="3"/>
    </row>
    <row r="6197" spans="3:6" x14ac:dyDescent="0.3">
      <c r="C6197" s="3"/>
      <c r="D6197" s="3"/>
      <c r="E6197" s="3"/>
      <c r="F6197" s="3"/>
    </row>
    <row r="6198" spans="3:6" x14ac:dyDescent="0.3">
      <c r="C6198" s="3"/>
      <c r="D6198" s="3"/>
      <c r="E6198" s="3"/>
      <c r="F6198" s="3"/>
    </row>
    <row r="6199" spans="3:6" x14ac:dyDescent="0.3">
      <c r="C6199" s="3"/>
      <c r="D6199" s="3"/>
      <c r="E6199" s="3"/>
      <c r="F6199" s="3"/>
    </row>
    <row r="6200" spans="3:6" x14ac:dyDescent="0.3">
      <c r="C6200" s="3"/>
      <c r="D6200" s="3"/>
      <c r="E6200" s="3"/>
      <c r="F6200" s="3"/>
    </row>
    <row r="6201" spans="3:6" x14ac:dyDescent="0.3">
      <c r="C6201" s="3"/>
      <c r="D6201" s="3"/>
      <c r="E6201" s="3"/>
      <c r="F6201" s="3"/>
    </row>
    <row r="6202" spans="3:6" x14ac:dyDescent="0.3">
      <c r="C6202" s="3"/>
      <c r="D6202" s="3"/>
      <c r="E6202" s="3"/>
      <c r="F6202" s="3"/>
    </row>
    <row r="6203" spans="3:6" x14ac:dyDescent="0.3">
      <c r="C6203" s="3"/>
      <c r="D6203" s="3"/>
      <c r="E6203" s="3"/>
      <c r="F6203" s="3"/>
    </row>
    <row r="6204" spans="3:6" x14ac:dyDescent="0.3">
      <c r="C6204" s="3"/>
      <c r="D6204" s="3"/>
      <c r="E6204" s="3"/>
      <c r="F6204" s="3"/>
    </row>
    <row r="6205" spans="3:6" x14ac:dyDescent="0.3">
      <c r="C6205" s="3"/>
      <c r="D6205" s="3"/>
      <c r="E6205" s="3"/>
      <c r="F6205" s="3"/>
    </row>
    <row r="6206" spans="3:6" x14ac:dyDescent="0.3">
      <c r="C6206" s="3"/>
      <c r="D6206" s="3"/>
      <c r="E6206" s="3"/>
      <c r="F6206" s="3"/>
    </row>
    <row r="6207" spans="3:6" x14ac:dyDescent="0.3">
      <c r="C6207" s="3"/>
      <c r="D6207" s="3"/>
      <c r="E6207" s="3"/>
      <c r="F6207" s="3"/>
    </row>
    <row r="6208" spans="3:6" x14ac:dyDescent="0.3">
      <c r="C6208" s="3"/>
      <c r="D6208" s="3"/>
      <c r="E6208" s="3"/>
      <c r="F6208" s="3"/>
    </row>
    <row r="6209" spans="3:6" x14ac:dyDescent="0.3">
      <c r="C6209" s="3"/>
      <c r="D6209" s="3"/>
      <c r="E6209" s="3"/>
      <c r="F6209" s="3"/>
    </row>
    <row r="6210" spans="3:6" x14ac:dyDescent="0.3">
      <c r="C6210" s="3"/>
      <c r="D6210" s="3"/>
      <c r="E6210" s="3"/>
      <c r="F6210" s="3"/>
    </row>
    <row r="6211" spans="3:6" x14ac:dyDescent="0.3">
      <c r="C6211" s="3"/>
      <c r="D6211" s="3"/>
      <c r="E6211" s="3"/>
      <c r="F6211" s="3"/>
    </row>
    <row r="6212" spans="3:6" x14ac:dyDescent="0.3">
      <c r="C6212" s="3"/>
      <c r="D6212" s="3"/>
      <c r="E6212" s="3"/>
      <c r="F6212" s="3"/>
    </row>
    <row r="6213" spans="3:6" x14ac:dyDescent="0.3">
      <c r="C6213" s="3"/>
      <c r="D6213" s="3"/>
      <c r="E6213" s="3"/>
      <c r="F6213" s="3"/>
    </row>
    <row r="6214" spans="3:6" x14ac:dyDescent="0.3">
      <c r="C6214" s="3"/>
      <c r="D6214" s="3"/>
      <c r="E6214" s="3"/>
      <c r="F6214" s="3"/>
    </row>
    <row r="6215" spans="3:6" x14ac:dyDescent="0.3">
      <c r="C6215" s="3"/>
      <c r="D6215" s="3"/>
      <c r="E6215" s="3"/>
      <c r="F6215" s="3"/>
    </row>
    <row r="6216" spans="3:6" x14ac:dyDescent="0.3">
      <c r="C6216" s="3"/>
      <c r="D6216" s="3"/>
      <c r="E6216" s="3"/>
      <c r="F6216" s="3"/>
    </row>
    <row r="6217" spans="3:6" x14ac:dyDescent="0.3">
      <c r="C6217" s="3"/>
      <c r="D6217" s="3"/>
      <c r="E6217" s="3"/>
      <c r="F6217" s="3"/>
    </row>
    <row r="6218" spans="3:6" x14ac:dyDescent="0.3">
      <c r="C6218" s="3"/>
      <c r="D6218" s="3"/>
      <c r="E6218" s="3"/>
      <c r="F6218" s="3"/>
    </row>
    <row r="6219" spans="3:6" x14ac:dyDescent="0.3">
      <c r="C6219" s="3"/>
      <c r="D6219" s="3"/>
      <c r="E6219" s="3"/>
      <c r="F6219" s="3"/>
    </row>
    <row r="6220" spans="3:6" x14ac:dyDescent="0.3">
      <c r="C6220" s="3"/>
      <c r="D6220" s="3"/>
      <c r="E6220" s="3"/>
      <c r="F6220" s="3"/>
    </row>
    <row r="6221" spans="3:6" x14ac:dyDescent="0.3">
      <c r="C6221" s="3"/>
      <c r="D6221" s="3"/>
      <c r="E6221" s="3"/>
      <c r="F6221" s="3"/>
    </row>
    <row r="6222" spans="3:6" x14ac:dyDescent="0.3">
      <c r="C6222" s="3"/>
      <c r="D6222" s="3"/>
      <c r="E6222" s="3"/>
      <c r="F6222" s="3"/>
    </row>
    <row r="6223" spans="3:6" x14ac:dyDescent="0.3">
      <c r="C6223" s="3"/>
      <c r="D6223" s="3"/>
      <c r="E6223" s="3"/>
      <c r="F6223" s="3"/>
    </row>
    <row r="6224" spans="3:6" x14ac:dyDescent="0.3">
      <c r="C6224" s="3"/>
      <c r="D6224" s="3"/>
      <c r="E6224" s="3"/>
      <c r="F6224" s="3"/>
    </row>
    <row r="6225" spans="3:6" x14ac:dyDescent="0.3">
      <c r="C6225" s="3"/>
      <c r="D6225" s="3"/>
      <c r="E6225" s="3"/>
      <c r="F6225" s="3"/>
    </row>
    <row r="6226" spans="3:6" x14ac:dyDescent="0.3">
      <c r="C6226" s="3"/>
      <c r="D6226" s="3"/>
      <c r="E6226" s="3"/>
      <c r="F6226" s="3"/>
    </row>
    <row r="6227" spans="3:6" x14ac:dyDescent="0.3">
      <c r="C6227" s="3"/>
      <c r="D6227" s="3"/>
      <c r="E6227" s="3"/>
      <c r="F6227" s="3"/>
    </row>
    <row r="6228" spans="3:6" x14ac:dyDescent="0.3">
      <c r="C6228" s="3"/>
      <c r="D6228" s="3"/>
      <c r="E6228" s="3"/>
      <c r="F6228" s="3"/>
    </row>
    <row r="6229" spans="3:6" x14ac:dyDescent="0.3">
      <c r="C6229" s="3"/>
      <c r="D6229" s="3"/>
      <c r="E6229" s="3"/>
      <c r="F6229" s="3"/>
    </row>
    <row r="6230" spans="3:6" x14ac:dyDescent="0.3">
      <c r="C6230" s="3"/>
      <c r="D6230" s="3"/>
      <c r="E6230" s="3"/>
      <c r="F6230" s="3"/>
    </row>
    <row r="6231" spans="3:6" x14ac:dyDescent="0.3">
      <c r="C6231" s="3"/>
      <c r="D6231" s="3"/>
      <c r="E6231" s="3"/>
      <c r="F6231" s="3"/>
    </row>
    <row r="6232" spans="3:6" x14ac:dyDescent="0.3">
      <c r="C6232" s="3"/>
      <c r="D6232" s="3"/>
      <c r="E6232" s="3"/>
      <c r="F6232" s="3"/>
    </row>
    <row r="6233" spans="3:6" x14ac:dyDescent="0.3">
      <c r="C6233" s="3"/>
      <c r="D6233" s="3"/>
      <c r="E6233" s="3"/>
      <c r="F6233" s="3"/>
    </row>
    <row r="6234" spans="3:6" x14ac:dyDescent="0.3">
      <c r="C6234" s="3"/>
      <c r="D6234" s="3"/>
      <c r="E6234" s="3"/>
      <c r="F6234" s="3"/>
    </row>
    <row r="6235" spans="3:6" x14ac:dyDescent="0.3">
      <c r="C6235" s="3"/>
      <c r="D6235" s="3"/>
      <c r="E6235" s="3"/>
      <c r="F6235" s="3"/>
    </row>
    <row r="6236" spans="3:6" x14ac:dyDescent="0.3">
      <c r="C6236" s="3"/>
      <c r="D6236" s="3"/>
      <c r="E6236" s="3"/>
      <c r="F6236" s="3"/>
    </row>
    <row r="6237" spans="3:6" x14ac:dyDescent="0.3">
      <c r="C6237" s="3"/>
      <c r="D6237" s="3"/>
      <c r="E6237" s="3"/>
      <c r="F6237" s="3"/>
    </row>
    <row r="6238" spans="3:6" x14ac:dyDescent="0.3">
      <c r="C6238" s="3"/>
      <c r="D6238" s="3"/>
      <c r="E6238" s="3"/>
      <c r="F6238" s="3"/>
    </row>
    <row r="6239" spans="3:6" x14ac:dyDescent="0.3">
      <c r="C6239" s="3"/>
      <c r="D6239" s="3"/>
      <c r="E6239" s="3"/>
      <c r="F6239" s="3"/>
    </row>
    <row r="6240" spans="3:6" x14ac:dyDescent="0.3">
      <c r="C6240" s="3"/>
      <c r="D6240" s="3"/>
      <c r="E6240" s="3"/>
      <c r="F6240" s="3"/>
    </row>
    <row r="6241" spans="3:6" x14ac:dyDescent="0.3">
      <c r="C6241" s="3"/>
      <c r="D6241" s="3"/>
      <c r="E6241" s="3"/>
      <c r="F6241" s="3"/>
    </row>
    <row r="6242" spans="3:6" x14ac:dyDescent="0.3">
      <c r="C6242" s="3"/>
      <c r="D6242" s="3"/>
      <c r="E6242" s="3"/>
      <c r="F6242" s="3"/>
    </row>
    <row r="6243" spans="3:6" x14ac:dyDescent="0.3">
      <c r="C6243" s="3"/>
      <c r="D6243" s="3"/>
      <c r="E6243" s="3"/>
      <c r="F6243" s="3"/>
    </row>
    <row r="6244" spans="3:6" x14ac:dyDescent="0.3">
      <c r="C6244" s="3"/>
      <c r="D6244" s="3"/>
      <c r="E6244" s="3"/>
      <c r="F6244" s="3"/>
    </row>
    <row r="6245" spans="3:6" x14ac:dyDescent="0.3">
      <c r="C6245" s="3"/>
      <c r="D6245" s="3"/>
      <c r="E6245" s="3"/>
      <c r="F6245" s="3"/>
    </row>
    <row r="6246" spans="3:6" x14ac:dyDescent="0.3">
      <c r="C6246" s="3"/>
      <c r="D6246" s="3"/>
      <c r="E6246" s="3"/>
      <c r="F6246" s="3"/>
    </row>
    <row r="6247" spans="3:6" x14ac:dyDescent="0.3">
      <c r="C6247" s="3"/>
      <c r="D6247" s="3"/>
      <c r="E6247" s="3"/>
      <c r="F6247" s="3"/>
    </row>
    <row r="6248" spans="3:6" x14ac:dyDescent="0.3">
      <c r="C6248" s="3"/>
      <c r="D6248" s="3"/>
      <c r="E6248" s="3"/>
      <c r="F6248" s="3"/>
    </row>
    <row r="6249" spans="3:6" x14ac:dyDescent="0.3">
      <c r="C6249" s="3"/>
      <c r="D6249" s="3"/>
      <c r="E6249" s="3"/>
      <c r="F6249" s="3"/>
    </row>
    <row r="6250" spans="3:6" x14ac:dyDescent="0.3">
      <c r="C6250" s="3"/>
      <c r="D6250" s="3"/>
      <c r="E6250" s="3"/>
      <c r="F6250" s="3"/>
    </row>
    <row r="6251" spans="3:6" x14ac:dyDescent="0.3">
      <c r="C6251" s="3"/>
      <c r="D6251" s="3"/>
      <c r="E6251" s="3"/>
      <c r="F6251" s="3"/>
    </row>
    <row r="6252" spans="3:6" x14ac:dyDescent="0.3">
      <c r="C6252" s="3"/>
      <c r="D6252" s="3"/>
      <c r="E6252" s="3"/>
      <c r="F6252" s="3"/>
    </row>
    <row r="6253" spans="3:6" x14ac:dyDescent="0.3">
      <c r="C6253" s="3"/>
      <c r="D6253" s="3"/>
      <c r="E6253" s="3"/>
      <c r="F6253" s="3"/>
    </row>
    <row r="6254" spans="3:6" x14ac:dyDescent="0.3">
      <c r="C6254" s="3"/>
      <c r="D6254" s="3"/>
      <c r="E6254" s="3"/>
      <c r="F6254" s="3"/>
    </row>
    <row r="6255" spans="3:6" x14ac:dyDescent="0.3">
      <c r="C6255" s="3"/>
      <c r="D6255" s="3"/>
      <c r="E6255" s="3"/>
      <c r="F6255" s="3"/>
    </row>
    <row r="6256" spans="3:6" x14ac:dyDescent="0.3">
      <c r="C6256" s="3"/>
      <c r="D6256" s="3"/>
      <c r="E6256" s="3"/>
      <c r="F6256" s="3"/>
    </row>
    <row r="6257" spans="3:6" x14ac:dyDescent="0.3">
      <c r="C6257" s="3"/>
      <c r="D6257" s="3"/>
      <c r="E6257" s="3"/>
      <c r="F6257" s="3"/>
    </row>
    <row r="6258" spans="3:6" x14ac:dyDescent="0.3">
      <c r="C6258" s="3"/>
      <c r="D6258" s="3"/>
      <c r="E6258" s="3"/>
      <c r="F6258" s="3"/>
    </row>
    <row r="6259" spans="3:6" x14ac:dyDescent="0.3">
      <c r="C6259" s="3"/>
      <c r="D6259" s="3"/>
      <c r="E6259" s="3"/>
      <c r="F6259" s="3"/>
    </row>
    <row r="6260" spans="3:6" x14ac:dyDescent="0.3">
      <c r="C6260" s="3"/>
      <c r="D6260" s="3"/>
      <c r="E6260" s="3"/>
      <c r="F6260" s="3"/>
    </row>
    <row r="6261" spans="3:6" x14ac:dyDescent="0.3">
      <c r="C6261" s="3"/>
      <c r="D6261" s="3"/>
      <c r="E6261" s="3"/>
      <c r="F6261" s="3"/>
    </row>
    <row r="6262" spans="3:6" x14ac:dyDescent="0.3">
      <c r="C6262" s="3"/>
      <c r="D6262" s="3"/>
      <c r="E6262" s="3"/>
      <c r="F6262" s="3"/>
    </row>
    <row r="6263" spans="3:6" x14ac:dyDescent="0.3">
      <c r="C6263" s="3"/>
      <c r="D6263" s="3"/>
      <c r="E6263" s="3"/>
      <c r="F6263" s="3"/>
    </row>
    <row r="6264" spans="3:6" x14ac:dyDescent="0.3">
      <c r="C6264" s="3"/>
      <c r="D6264" s="3"/>
      <c r="E6264" s="3"/>
      <c r="F6264" s="3"/>
    </row>
    <row r="6265" spans="3:6" x14ac:dyDescent="0.3">
      <c r="C6265" s="3"/>
      <c r="D6265" s="3"/>
      <c r="E6265" s="3"/>
      <c r="F6265" s="3"/>
    </row>
    <row r="6266" spans="3:6" x14ac:dyDescent="0.3">
      <c r="C6266" s="3"/>
      <c r="D6266" s="3"/>
      <c r="E6266" s="3"/>
      <c r="F6266" s="3"/>
    </row>
    <row r="6267" spans="3:6" x14ac:dyDescent="0.3">
      <c r="C6267" s="3"/>
      <c r="D6267" s="3"/>
      <c r="E6267" s="3"/>
      <c r="F6267" s="3"/>
    </row>
    <row r="6268" spans="3:6" x14ac:dyDescent="0.3">
      <c r="C6268" s="3"/>
      <c r="D6268" s="3"/>
      <c r="E6268" s="3"/>
      <c r="F6268" s="3"/>
    </row>
    <row r="6269" spans="3:6" x14ac:dyDescent="0.3">
      <c r="C6269" s="3"/>
      <c r="D6269" s="3"/>
      <c r="E6269" s="3"/>
      <c r="F6269" s="3"/>
    </row>
    <row r="6270" spans="3:6" x14ac:dyDescent="0.3">
      <c r="C6270" s="3"/>
      <c r="D6270" s="3"/>
      <c r="E6270" s="3"/>
      <c r="F6270" s="3"/>
    </row>
    <row r="6271" spans="3:6" x14ac:dyDescent="0.3">
      <c r="C6271" s="3"/>
      <c r="D6271" s="3"/>
      <c r="E6271" s="3"/>
      <c r="F6271" s="3"/>
    </row>
    <row r="6272" spans="3:6" x14ac:dyDescent="0.3">
      <c r="C6272" s="3"/>
      <c r="D6272" s="3"/>
      <c r="E6272" s="3"/>
      <c r="F6272" s="3"/>
    </row>
    <row r="6273" spans="3:6" x14ac:dyDescent="0.3">
      <c r="C6273" s="3"/>
      <c r="D6273" s="3"/>
      <c r="E6273" s="3"/>
      <c r="F6273" s="3"/>
    </row>
    <row r="6274" spans="3:6" x14ac:dyDescent="0.3">
      <c r="C6274" s="3"/>
      <c r="D6274" s="3"/>
      <c r="E6274" s="3"/>
      <c r="F6274" s="3"/>
    </row>
    <row r="6275" spans="3:6" x14ac:dyDescent="0.3">
      <c r="C6275" s="3"/>
      <c r="D6275" s="3"/>
      <c r="E6275" s="3"/>
      <c r="F6275" s="3"/>
    </row>
    <row r="6276" spans="3:6" x14ac:dyDescent="0.3">
      <c r="C6276" s="3"/>
      <c r="D6276" s="3"/>
      <c r="E6276" s="3"/>
      <c r="F6276" s="3"/>
    </row>
    <row r="6277" spans="3:6" x14ac:dyDescent="0.3">
      <c r="C6277" s="3"/>
      <c r="D6277" s="3"/>
      <c r="E6277" s="3"/>
      <c r="F6277" s="3"/>
    </row>
    <row r="6278" spans="3:6" x14ac:dyDescent="0.3">
      <c r="C6278" s="3"/>
      <c r="D6278" s="3"/>
      <c r="E6278" s="3"/>
      <c r="F6278" s="3"/>
    </row>
    <row r="6279" spans="3:6" x14ac:dyDescent="0.3">
      <c r="C6279" s="3"/>
      <c r="D6279" s="3"/>
      <c r="E6279" s="3"/>
      <c r="F6279" s="3"/>
    </row>
    <row r="6280" spans="3:6" x14ac:dyDescent="0.3">
      <c r="C6280" s="3"/>
      <c r="D6280" s="3"/>
      <c r="E6280" s="3"/>
      <c r="F6280" s="3"/>
    </row>
    <row r="6281" spans="3:6" x14ac:dyDescent="0.3">
      <c r="C6281" s="3"/>
      <c r="D6281" s="3"/>
      <c r="E6281" s="3"/>
      <c r="F6281" s="3"/>
    </row>
    <row r="6282" spans="3:6" x14ac:dyDescent="0.3">
      <c r="C6282" s="3"/>
      <c r="D6282" s="3"/>
      <c r="E6282" s="3"/>
      <c r="F6282" s="3"/>
    </row>
    <row r="6283" spans="3:6" x14ac:dyDescent="0.3">
      <c r="C6283" s="3"/>
      <c r="D6283" s="3"/>
      <c r="E6283" s="3"/>
      <c r="F6283" s="3"/>
    </row>
    <row r="6284" spans="3:6" x14ac:dyDescent="0.3">
      <c r="C6284" s="3"/>
      <c r="D6284" s="3"/>
      <c r="E6284" s="3"/>
      <c r="F6284" s="3"/>
    </row>
    <row r="6285" spans="3:6" x14ac:dyDescent="0.3">
      <c r="C6285" s="3"/>
      <c r="D6285" s="3"/>
      <c r="E6285" s="3"/>
      <c r="F6285" s="3"/>
    </row>
    <row r="6286" spans="3:6" x14ac:dyDescent="0.3">
      <c r="C6286" s="3"/>
      <c r="D6286" s="3"/>
      <c r="E6286" s="3"/>
      <c r="F6286" s="3"/>
    </row>
    <row r="6287" spans="3:6" x14ac:dyDescent="0.3">
      <c r="C6287" s="3"/>
      <c r="D6287" s="3"/>
      <c r="E6287" s="3"/>
      <c r="F6287" s="3"/>
    </row>
    <row r="6288" spans="3:6" x14ac:dyDescent="0.3">
      <c r="C6288" s="3"/>
      <c r="D6288" s="3"/>
      <c r="E6288" s="3"/>
      <c r="F6288" s="3"/>
    </row>
    <row r="6289" spans="3:6" x14ac:dyDescent="0.3">
      <c r="C6289" s="3"/>
      <c r="D6289" s="3"/>
      <c r="E6289" s="3"/>
      <c r="F6289" s="3"/>
    </row>
    <row r="6290" spans="3:6" x14ac:dyDescent="0.3">
      <c r="C6290" s="3"/>
      <c r="D6290" s="3"/>
      <c r="E6290" s="3"/>
      <c r="F6290" s="3"/>
    </row>
    <row r="6291" spans="3:6" x14ac:dyDescent="0.3">
      <c r="C6291" s="3"/>
      <c r="D6291" s="3"/>
      <c r="E6291" s="3"/>
      <c r="F6291" s="3"/>
    </row>
    <row r="6292" spans="3:6" x14ac:dyDescent="0.3">
      <c r="C6292" s="3"/>
      <c r="D6292" s="3"/>
      <c r="E6292" s="3"/>
      <c r="F6292" s="3"/>
    </row>
    <row r="6293" spans="3:6" x14ac:dyDescent="0.3">
      <c r="C6293" s="3"/>
      <c r="D6293" s="3"/>
      <c r="E6293" s="3"/>
      <c r="F6293" s="3"/>
    </row>
    <row r="6294" spans="3:6" x14ac:dyDescent="0.3">
      <c r="C6294" s="3"/>
      <c r="D6294" s="3"/>
      <c r="E6294" s="3"/>
      <c r="F6294" s="3"/>
    </row>
    <row r="6295" spans="3:6" x14ac:dyDescent="0.3">
      <c r="C6295" s="3"/>
      <c r="D6295" s="3"/>
      <c r="E6295" s="3"/>
      <c r="F6295" s="3"/>
    </row>
    <row r="6296" spans="3:6" x14ac:dyDescent="0.3">
      <c r="C6296" s="3"/>
      <c r="D6296" s="3"/>
      <c r="E6296" s="3"/>
      <c r="F6296" s="3"/>
    </row>
    <row r="6297" spans="3:6" x14ac:dyDescent="0.3">
      <c r="C6297" s="3"/>
      <c r="D6297" s="3"/>
      <c r="E6297" s="3"/>
      <c r="F6297" s="3"/>
    </row>
    <row r="6298" spans="3:6" x14ac:dyDescent="0.3">
      <c r="C6298" s="3"/>
      <c r="D6298" s="3"/>
      <c r="E6298" s="3"/>
      <c r="F6298" s="3"/>
    </row>
    <row r="6299" spans="3:6" x14ac:dyDescent="0.3">
      <c r="C6299" s="3"/>
      <c r="D6299" s="3"/>
      <c r="E6299" s="3"/>
      <c r="F6299" s="3"/>
    </row>
    <row r="6300" spans="3:6" x14ac:dyDescent="0.3">
      <c r="C6300" s="3"/>
      <c r="D6300" s="3"/>
      <c r="E6300" s="3"/>
      <c r="F6300" s="3"/>
    </row>
    <row r="6301" spans="3:6" x14ac:dyDescent="0.3">
      <c r="C6301" s="3"/>
      <c r="D6301" s="3"/>
      <c r="E6301" s="3"/>
      <c r="F6301" s="3"/>
    </row>
    <row r="6302" spans="3:6" x14ac:dyDescent="0.3">
      <c r="C6302" s="3"/>
      <c r="D6302" s="3"/>
      <c r="E6302" s="3"/>
      <c r="F6302" s="3"/>
    </row>
    <row r="6303" spans="3:6" x14ac:dyDescent="0.3">
      <c r="C6303" s="3"/>
      <c r="D6303" s="3"/>
      <c r="E6303" s="3"/>
      <c r="F6303" s="3"/>
    </row>
    <row r="6304" spans="3:6" x14ac:dyDescent="0.3">
      <c r="C6304" s="3"/>
      <c r="D6304" s="3"/>
      <c r="E6304" s="3"/>
      <c r="F6304" s="3"/>
    </row>
    <row r="6305" spans="3:6" x14ac:dyDescent="0.3">
      <c r="C6305" s="3"/>
      <c r="D6305" s="3"/>
      <c r="E6305" s="3"/>
      <c r="F6305" s="3"/>
    </row>
    <row r="6306" spans="3:6" x14ac:dyDescent="0.3">
      <c r="C6306" s="3"/>
      <c r="D6306" s="3"/>
      <c r="E6306" s="3"/>
      <c r="F6306" s="3"/>
    </row>
    <row r="6307" spans="3:6" x14ac:dyDescent="0.3">
      <c r="C6307" s="3"/>
      <c r="D6307" s="3"/>
      <c r="E6307" s="3"/>
      <c r="F6307" s="3"/>
    </row>
    <row r="6308" spans="3:6" x14ac:dyDescent="0.3">
      <c r="C6308" s="3"/>
      <c r="D6308" s="3"/>
      <c r="E6308" s="3"/>
      <c r="F6308" s="3"/>
    </row>
    <row r="6309" spans="3:6" x14ac:dyDescent="0.3">
      <c r="C6309" s="3"/>
      <c r="D6309" s="3"/>
      <c r="E6309" s="3"/>
      <c r="F6309" s="3"/>
    </row>
    <row r="6310" spans="3:6" x14ac:dyDescent="0.3">
      <c r="C6310" s="3"/>
      <c r="D6310" s="3"/>
      <c r="E6310" s="3"/>
      <c r="F6310" s="3"/>
    </row>
    <row r="6311" spans="3:6" x14ac:dyDescent="0.3">
      <c r="C6311" s="3"/>
      <c r="D6311" s="3"/>
      <c r="E6311" s="3"/>
      <c r="F6311" s="3"/>
    </row>
    <row r="6312" spans="3:6" x14ac:dyDescent="0.3">
      <c r="C6312" s="3"/>
      <c r="D6312" s="3"/>
      <c r="E6312" s="3"/>
      <c r="F6312" s="3"/>
    </row>
    <row r="6313" spans="3:6" x14ac:dyDescent="0.3">
      <c r="C6313" s="3"/>
      <c r="D6313" s="3"/>
      <c r="E6313" s="3"/>
      <c r="F6313" s="3"/>
    </row>
    <row r="6314" spans="3:6" x14ac:dyDescent="0.3">
      <c r="C6314" s="3"/>
      <c r="D6314" s="3"/>
      <c r="E6314" s="3"/>
      <c r="F6314" s="3"/>
    </row>
    <row r="6315" spans="3:6" x14ac:dyDescent="0.3">
      <c r="C6315" s="3"/>
      <c r="D6315" s="3"/>
      <c r="E6315" s="3"/>
      <c r="F6315" s="3"/>
    </row>
    <row r="6316" spans="3:6" x14ac:dyDescent="0.3">
      <c r="C6316" s="3"/>
      <c r="D6316" s="3"/>
      <c r="E6316" s="3"/>
      <c r="F6316" s="3"/>
    </row>
    <row r="6317" spans="3:6" x14ac:dyDescent="0.3">
      <c r="C6317" s="3"/>
      <c r="D6317" s="3"/>
      <c r="E6317" s="3"/>
      <c r="F6317" s="3"/>
    </row>
    <row r="6318" spans="3:6" x14ac:dyDescent="0.3">
      <c r="C6318" s="3"/>
      <c r="D6318" s="3"/>
      <c r="E6318" s="3"/>
      <c r="F6318" s="3"/>
    </row>
    <row r="6319" spans="3:6" x14ac:dyDescent="0.3">
      <c r="C6319" s="3"/>
      <c r="D6319" s="3"/>
      <c r="E6319" s="3"/>
      <c r="F6319" s="3"/>
    </row>
    <row r="6320" spans="3:6" x14ac:dyDescent="0.3">
      <c r="C6320" s="3"/>
      <c r="D6320" s="3"/>
      <c r="E6320" s="3"/>
      <c r="F6320" s="3"/>
    </row>
    <row r="6321" spans="3:6" x14ac:dyDescent="0.3">
      <c r="C6321" s="3"/>
      <c r="D6321" s="3"/>
      <c r="E6321" s="3"/>
      <c r="F6321" s="3"/>
    </row>
    <row r="6322" spans="3:6" x14ac:dyDescent="0.3">
      <c r="C6322" s="3"/>
      <c r="D6322" s="3"/>
      <c r="E6322" s="3"/>
      <c r="F6322" s="3"/>
    </row>
    <row r="6323" spans="3:6" x14ac:dyDescent="0.3">
      <c r="C6323" s="3"/>
      <c r="D6323" s="3"/>
      <c r="E6323" s="3"/>
      <c r="F6323" s="3"/>
    </row>
    <row r="6324" spans="3:6" x14ac:dyDescent="0.3">
      <c r="C6324" s="3"/>
      <c r="D6324" s="3"/>
      <c r="E6324" s="3"/>
      <c r="F6324" s="3"/>
    </row>
    <row r="6325" spans="3:6" x14ac:dyDescent="0.3">
      <c r="C6325" s="3"/>
      <c r="D6325" s="3"/>
      <c r="E6325" s="3"/>
      <c r="F6325" s="3"/>
    </row>
    <row r="6326" spans="3:6" x14ac:dyDescent="0.3">
      <c r="C6326" s="3"/>
      <c r="D6326" s="3"/>
      <c r="E6326" s="3"/>
      <c r="F6326" s="3"/>
    </row>
    <row r="6327" spans="3:6" x14ac:dyDescent="0.3">
      <c r="C6327" s="3"/>
      <c r="D6327" s="3"/>
      <c r="E6327" s="3"/>
      <c r="F6327" s="3"/>
    </row>
    <row r="6328" spans="3:6" x14ac:dyDescent="0.3">
      <c r="C6328" s="3"/>
      <c r="D6328" s="3"/>
      <c r="E6328" s="3"/>
      <c r="F6328" s="3"/>
    </row>
    <row r="6329" spans="3:6" x14ac:dyDescent="0.3">
      <c r="C6329" s="3"/>
      <c r="D6329" s="3"/>
      <c r="E6329" s="3"/>
      <c r="F6329" s="3"/>
    </row>
    <row r="6330" spans="3:6" x14ac:dyDescent="0.3">
      <c r="C6330" s="3"/>
      <c r="D6330" s="3"/>
      <c r="E6330" s="3"/>
      <c r="F6330" s="3"/>
    </row>
    <row r="6331" spans="3:6" x14ac:dyDescent="0.3">
      <c r="C6331" s="3"/>
      <c r="D6331" s="3"/>
      <c r="E6331" s="3"/>
      <c r="F6331" s="3"/>
    </row>
    <row r="6332" spans="3:6" x14ac:dyDescent="0.3">
      <c r="C6332" s="3"/>
      <c r="D6332" s="3"/>
      <c r="E6332" s="3"/>
      <c r="F6332" s="3"/>
    </row>
    <row r="6333" spans="3:6" x14ac:dyDescent="0.3">
      <c r="C6333" s="3"/>
      <c r="D6333" s="3"/>
      <c r="E6333" s="3"/>
      <c r="F6333" s="3"/>
    </row>
    <row r="6334" spans="3:6" x14ac:dyDescent="0.3">
      <c r="C6334" s="3"/>
      <c r="D6334" s="3"/>
      <c r="E6334" s="3"/>
      <c r="F6334" s="3"/>
    </row>
    <row r="6335" spans="3:6" x14ac:dyDescent="0.3">
      <c r="C6335" s="3"/>
      <c r="D6335" s="3"/>
      <c r="E6335" s="3"/>
      <c r="F6335" s="3"/>
    </row>
    <row r="6336" spans="3:6" x14ac:dyDescent="0.3">
      <c r="C6336" s="3"/>
      <c r="D6336" s="3"/>
      <c r="E6336" s="3"/>
      <c r="F6336" s="3"/>
    </row>
    <row r="6337" spans="3:6" x14ac:dyDescent="0.3">
      <c r="C6337" s="3"/>
      <c r="D6337" s="3"/>
      <c r="E6337" s="3"/>
      <c r="F6337" s="3"/>
    </row>
    <row r="6338" spans="3:6" x14ac:dyDescent="0.3">
      <c r="C6338" s="3"/>
      <c r="D6338" s="3"/>
      <c r="E6338" s="3"/>
      <c r="F6338" s="3"/>
    </row>
    <row r="6339" spans="3:6" x14ac:dyDescent="0.3">
      <c r="C6339" s="3"/>
      <c r="D6339" s="3"/>
      <c r="E6339" s="3"/>
      <c r="F6339" s="3"/>
    </row>
    <row r="6340" spans="3:6" x14ac:dyDescent="0.3">
      <c r="C6340" s="3"/>
      <c r="D6340" s="3"/>
      <c r="E6340" s="3"/>
      <c r="F6340" s="3"/>
    </row>
    <row r="6341" spans="3:6" x14ac:dyDescent="0.3">
      <c r="C6341" s="3"/>
      <c r="D6341" s="3"/>
      <c r="E6341" s="3"/>
      <c r="F6341" s="3"/>
    </row>
    <row r="6342" spans="3:6" x14ac:dyDescent="0.3">
      <c r="C6342" s="3"/>
      <c r="D6342" s="3"/>
      <c r="E6342" s="3"/>
      <c r="F6342" s="3"/>
    </row>
    <row r="6343" spans="3:6" x14ac:dyDescent="0.3">
      <c r="C6343" s="3"/>
      <c r="D6343" s="3"/>
      <c r="E6343" s="3"/>
      <c r="F6343" s="3"/>
    </row>
    <row r="6344" spans="3:6" x14ac:dyDescent="0.3">
      <c r="C6344" s="3"/>
      <c r="D6344" s="3"/>
      <c r="E6344" s="3"/>
      <c r="F6344" s="3"/>
    </row>
    <row r="6345" spans="3:6" x14ac:dyDescent="0.3">
      <c r="C6345" s="3"/>
      <c r="D6345" s="3"/>
      <c r="E6345" s="3"/>
      <c r="F6345" s="3"/>
    </row>
    <row r="6346" spans="3:6" x14ac:dyDescent="0.3">
      <c r="C6346" s="3"/>
      <c r="D6346" s="3"/>
      <c r="E6346" s="3"/>
      <c r="F6346" s="3"/>
    </row>
    <row r="6347" spans="3:6" x14ac:dyDescent="0.3">
      <c r="C6347" s="3"/>
      <c r="D6347" s="3"/>
      <c r="E6347" s="3"/>
      <c r="F6347" s="3"/>
    </row>
    <row r="6348" spans="3:6" x14ac:dyDescent="0.3">
      <c r="C6348" s="3"/>
      <c r="D6348" s="3"/>
      <c r="E6348" s="3"/>
      <c r="F6348" s="3"/>
    </row>
    <row r="6349" spans="3:6" x14ac:dyDescent="0.3">
      <c r="C6349" s="3"/>
      <c r="D6349" s="3"/>
      <c r="E6349" s="3"/>
      <c r="F6349" s="3"/>
    </row>
    <row r="6350" spans="3:6" x14ac:dyDescent="0.3">
      <c r="C6350" s="3"/>
      <c r="D6350" s="3"/>
      <c r="E6350" s="3"/>
      <c r="F6350" s="3"/>
    </row>
    <row r="6351" spans="3:6" x14ac:dyDescent="0.3">
      <c r="C6351" s="3"/>
      <c r="D6351" s="3"/>
      <c r="E6351" s="3"/>
      <c r="F6351" s="3"/>
    </row>
    <row r="6352" spans="3:6" x14ac:dyDescent="0.3">
      <c r="C6352" s="3"/>
      <c r="D6352" s="3"/>
      <c r="E6352" s="3"/>
      <c r="F6352" s="3"/>
    </row>
    <row r="6353" spans="3:6" x14ac:dyDescent="0.3">
      <c r="C6353" s="3"/>
      <c r="D6353" s="3"/>
      <c r="E6353" s="3"/>
      <c r="F6353" s="3"/>
    </row>
    <row r="6354" spans="3:6" x14ac:dyDescent="0.3">
      <c r="C6354" s="3"/>
      <c r="D6354" s="3"/>
      <c r="E6354" s="3"/>
      <c r="F6354" s="3"/>
    </row>
    <row r="6355" spans="3:6" x14ac:dyDescent="0.3">
      <c r="C6355" s="3"/>
      <c r="D6355" s="3"/>
      <c r="E6355" s="3"/>
      <c r="F6355" s="3"/>
    </row>
    <row r="6356" spans="3:6" x14ac:dyDescent="0.3">
      <c r="C6356" s="3"/>
      <c r="D6356" s="3"/>
      <c r="E6356" s="3"/>
      <c r="F6356" s="3"/>
    </row>
    <row r="6357" spans="3:6" x14ac:dyDescent="0.3">
      <c r="C6357" s="3"/>
      <c r="D6357" s="3"/>
      <c r="E6357" s="3"/>
      <c r="F6357" s="3"/>
    </row>
    <row r="6358" spans="3:6" x14ac:dyDescent="0.3">
      <c r="C6358" s="3"/>
      <c r="D6358" s="3"/>
      <c r="E6358" s="3"/>
      <c r="F6358" s="3"/>
    </row>
    <row r="6359" spans="3:6" x14ac:dyDescent="0.3">
      <c r="C6359" s="3"/>
      <c r="D6359" s="3"/>
      <c r="E6359" s="3"/>
      <c r="F6359" s="3"/>
    </row>
    <row r="6360" spans="3:6" x14ac:dyDescent="0.3">
      <c r="C6360" s="3"/>
      <c r="D6360" s="3"/>
      <c r="E6360" s="3"/>
      <c r="F6360" s="3"/>
    </row>
    <row r="6361" spans="3:6" x14ac:dyDescent="0.3">
      <c r="C6361" s="3"/>
      <c r="D6361" s="3"/>
      <c r="E6361" s="3"/>
      <c r="F6361" s="3"/>
    </row>
    <row r="6362" spans="3:6" x14ac:dyDescent="0.3">
      <c r="C6362" s="3"/>
      <c r="D6362" s="3"/>
      <c r="E6362" s="3"/>
      <c r="F6362" s="3"/>
    </row>
    <row r="6363" spans="3:6" x14ac:dyDescent="0.3">
      <c r="C6363" s="3"/>
      <c r="D6363" s="3"/>
      <c r="E6363" s="3"/>
      <c r="F6363" s="3"/>
    </row>
    <row r="6364" spans="3:6" x14ac:dyDescent="0.3">
      <c r="C6364" s="3"/>
      <c r="D6364" s="3"/>
      <c r="E6364" s="3"/>
      <c r="F6364" s="3"/>
    </row>
    <row r="6365" spans="3:6" x14ac:dyDescent="0.3">
      <c r="C6365" s="3"/>
      <c r="D6365" s="3"/>
      <c r="E6365" s="3"/>
      <c r="F6365" s="3"/>
    </row>
    <row r="6366" spans="3:6" x14ac:dyDescent="0.3">
      <c r="C6366" s="3"/>
      <c r="D6366" s="3"/>
      <c r="E6366" s="3"/>
      <c r="F6366" s="3"/>
    </row>
    <row r="6367" spans="3:6" x14ac:dyDescent="0.3">
      <c r="C6367" s="3"/>
      <c r="D6367" s="3"/>
      <c r="E6367" s="3"/>
      <c r="F6367" s="3"/>
    </row>
    <row r="6368" spans="3:6" x14ac:dyDescent="0.3">
      <c r="C6368" s="3"/>
      <c r="D6368" s="3"/>
      <c r="E6368" s="3"/>
      <c r="F6368" s="3"/>
    </row>
    <row r="6369" spans="3:6" x14ac:dyDescent="0.3">
      <c r="C6369" s="3"/>
      <c r="D6369" s="3"/>
      <c r="E6369" s="3"/>
      <c r="F6369" s="3"/>
    </row>
    <row r="6370" spans="3:6" x14ac:dyDescent="0.3">
      <c r="C6370" s="3"/>
      <c r="D6370" s="3"/>
      <c r="E6370" s="3"/>
      <c r="F6370" s="3"/>
    </row>
    <row r="6371" spans="3:6" x14ac:dyDescent="0.3">
      <c r="C6371" s="3"/>
      <c r="D6371" s="3"/>
      <c r="E6371" s="3"/>
      <c r="F6371" s="3"/>
    </row>
    <row r="6372" spans="3:6" x14ac:dyDescent="0.3">
      <c r="C6372" s="3"/>
      <c r="D6372" s="3"/>
      <c r="E6372" s="3"/>
      <c r="F6372" s="3"/>
    </row>
    <row r="6373" spans="3:6" x14ac:dyDescent="0.3">
      <c r="C6373" s="3"/>
      <c r="D6373" s="3"/>
      <c r="E6373" s="3"/>
      <c r="F6373" s="3"/>
    </row>
    <row r="6374" spans="3:6" x14ac:dyDescent="0.3">
      <c r="C6374" s="3"/>
      <c r="D6374" s="3"/>
      <c r="E6374" s="3"/>
      <c r="F6374" s="3"/>
    </row>
    <row r="6375" spans="3:6" x14ac:dyDescent="0.3">
      <c r="C6375" s="3"/>
      <c r="D6375" s="3"/>
      <c r="E6375" s="3"/>
      <c r="F6375" s="3"/>
    </row>
    <row r="6376" spans="3:6" x14ac:dyDescent="0.3">
      <c r="C6376" s="3"/>
      <c r="D6376" s="3"/>
      <c r="E6376" s="3"/>
      <c r="F6376" s="3"/>
    </row>
    <row r="6377" spans="3:6" x14ac:dyDescent="0.3">
      <c r="C6377" s="3"/>
      <c r="D6377" s="3"/>
      <c r="E6377" s="3"/>
      <c r="F6377" s="3"/>
    </row>
    <row r="6378" spans="3:6" x14ac:dyDescent="0.3">
      <c r="C6378" s="3"/>
      <c r="D6378" s="3"/>
      <c r="E6378" s="3"/>
      <c r="F6378" s="3"/>
    </row>
    <row r="6379" spans="3:6" x14ac:dyDescent="0.3">
      <c r="C6379" s="3"/>
      <c r="D6379" s="3"/>
      <c r="E6379" s="3"/>
      <c r="F6379" s="3"/>
    </row>
    <row r="6380" spans="3:6" x14ac:dyDescent="0.3">
      <c r="C6380" s="3"/>
      <c r="D6380" s="3"/>
      <c r="E6380" s="3"/>
      <c r="F6380" s="3"/>
    </row>
    <row r="6381" spans="3:6" x14ac:dyDescent="0.3">
      <c r="C6381" s="3"/>
      <c r="D6381" s="3"/>
      <c r="E6381" s="3"/>
      <c r="F6381" s="3"/>
    </row>
    <row r="6382" spans="3:6" x14ac:dyDescent="0.3">
      <c r="C6382" s="3"/>
      <c r="D6382" s="3"/>
      <c r="E6382" s="3"/>
      <c r="F6382" s="3"/>
    </row>
    <row r="6383" spans="3:6" x14ac:dyDescent="0.3">
      <c r="C6383" s="3"/>
      <c r="D6383" s="3"/>
      <c r="E6383" s="3"/>
      <c r="F6383" s="3"/>
    </row>
    <row r="6384" spans="3:6" x14ac:dyDescent="0.3">
      <c r="C6384" s="3"/>
      <c r="D6384" s="3"/>
      <c r="E6384" s="3"/>
      <c r="F6384" s="3"/>
    </row>
    <row r="6385" spans="3:6" x14ac:dyDescent="0.3">
      <c r="C6385" s="3"/>
      <c r="D6385" s="3"/>
      <c r="E6385" s="3"/>
      <c r="F6385" s="3"/>
    </row>
    <row r="6386" spans="3:6" x14ac:dyDescent="0.3">
      <c r="C6386" s="3"/>
      <c r="D6386" s="3"/>
      <c r="E6386" s="3"/>
      <c r="F6386" s="3"/>
    </row>
    <row r="6387" spans="3:6" x14ac:dyDescent="0.3">
      <c r="C6387" s="3"/>
      <c r="D6387" s="3"/>
      <c r="E6387" s="3"/>
      <c r="F6387" s="3"/>
    </row>
    <row r="6388" spans="3:6" x14ac:dyDescent="0.3">
      <c r="C6388" s="3"/>
      <c r="D6388" s="3"/>
      <c r="E6388" s="3"/>
      <c r="F6388" s="3"/>
    </row>
    <row r="6389" spans="3:6" x14ac:dyDescent="0.3">
      <c r="C6389" s="3"/>
      <c r="D6389" s="3"/>
      <c r="E6389" s="3"/>
      <c r="F6389" s="3"/>
    </row>
    <row r="6390" spans="3:6" x14ac:dyDescent="0.3">
      <c r="C6390" s="3"/>
      <c r="D6390" s="3"/>
      <c r="E6390" s="3"/>
      <c r="F6390" s="3"/>
    </row>
    <row r="6391" spans="3:6" x14ac:dyDescent="0.3">
      <c r="C6391" s="3"/>
      <c r="D6391" s="3"/>
      <c r="E6391" s="3"/>
      <c r="F6391" s="3"/>
    </row>
    <row r="6392" spans="3:6" x14ac:dyDescent="0.3">
      <c r="C6392" s="3"/>
      <c r="D6392" s="3"/>
      <c r="E6392" s="3"/>
      <c r="F6392" s="3"/>
    </row>
    <row r="6393" spans="3:6" x14ac:dyDescent="0.3">
      <c r="C6393" s="3"/>
      <c r="D6393" s="3"/>
      <c r="E6393" s="3"/>
      <c r="F6393" s="3"/>
    </row>
    <row r="6394" spans="3:6" x14ac:dyDescent="0.3">
      <c r="C6394" s="3"/>
      <c r="D6394" s="3"/>
      <c r="E6394" s="3"/>
      <c r="F6394" s="3"/>
    </row>
    <row r="6395" spans="3:6" x14ac:dyDescent="0.3">
      <c r="C6395" s="3"/>
      <c r="D6395" s="3"/>
      <c r="E6395" s="3"/>
      <c r="F6395" s="3"/>
    </row>
    <row r="6396" spans="3:6" x14ac:dyDescent="0.3">
      <c r="C6396" s="3"/>
      <c r="D6396" s="3"/>
      <c r="E6396" s="3"/>
      <c r="F6396" s="3"/>
    </row>
    <row r="6397" spans="3:6" x14ac:dyDescent="0.3">
      <c r="C6397" s="3"/>
      <c r="D6397" s="3"/>
      <c r="E6397" s="3"/>
      <c r="F6397" s="3"/>
    </row>
    <row r="6398" spans="3:6" x14ac:dyDescent="0.3">
      <c r="C6398" s="3"/>
      <c r="D6398" s="3"/>
      <c r="E6398" s="3"/>
      <c r="F6398" s="3"/>
    </row>
    <row r="6399" spans="3:6" x14ac:dyDescent="0.3">
      <c r="C6399" s="3"/>
      <c r="D6399" s="3"/>
      <c r="E6399" s="3"/>
      <c r="F6399" s="3"/>
    </row>
    <row r="6400" spans="3:6" x14ac:dyDescent="0.3">
      <c r="C6400" s="3"/>
      <c r="D6400" s="3"/>
      <c r="E6400" s="3"/>
      <c r="F6400" s="3"/>
    </row>
    <row r="6401" spans="3:6" x14ac:dyDescent="0.3">
      <c r="C6401" s="3"/>
      <c r="D6401" s="3"/>
      <c r="E6401" s="3"/>
      <c r="F6401" s="3"/>
    </row>
    <row r="6402" spans="3:6" x14ac:dyDescent="0.3">
      <c r="C6402" s="3"/>
      <c r="D6402" s="3"/>
      <c r="E6402" s="3"/>
      <c r="F6402" s="3"/>
    </row>
    <row r="6403" spans="3:6" x14ac:dyDescent="0.3">
      <c r="C6403" s="3"/>
      <c r="D6403" s="3"/>
      <c r="E6403" s="3"/>
      <c r="F6403" s="3"/>
    </row>
    <row r="6404" spans="3:6" x14ac:dyDescent="0.3">
      <c r="C6404" s="3"/>
      <c r="D6404" s="3"/>
      <c r="E6404" s="3"/>
      <c r="F6404" s="3"/>
    </row>
    <row r="6405" spans="3:6" x14ac:dyDescent="0.3">
      <c r="C6405" s="3"/>
      <c r="D6405" s="3"/>
      <c r="E6405" s="3"/>
      <c r="F6405" s="3"/>
    </row>
    <row r="6406" spans="3:6" x14ac:dyDescent="0.3">
      <c r="C6406" s="3"/>
      <c r="D6406" s="3"/>
      <c r="E6406" s="3"/>
      <c r="F6406" s="3"/>
    </row>
    <row r="6407" spans="3:6" x14ac:dyDescent="0.3">
      <c r="C6407" s="3"/>
      <c r="D6407" s="3"/>
      <c r="E6407" s="3"/>
      <c r="F6407" s="3"/>
    </row>
    <row r="6408" spans="3:6" x14ac:dyDescent="0.3">
      <c r="C6408" s="3"/>
      <c r="D6408" s="3"/>
      <c r="E6408" s="3"/>
      <c r="F6408" s="3"/>
    </row>
    <row r="6409" spans="3:6" x14ac:dyDescent="0.3">
      <c r="C6409" s="3"/>
      <c r="D6409" s="3"/>
      <c r="E6409" s="3"/>
      <c r="F6409" s="3"/>
    </row>
    <row r="6410" spans="3:6" x14ac:dyDescent="0.3">
      <c r="C6410" s="3"/>
      <c r="D6410" s="3"/>
      <c r="E6410" s="3"/>
      <c r="F6410" s="3"/>
    </row>
    <row r="6411" spans="3:6" x14ac:dyDescent="0.3">
      <c r="C6411" s="3"/>
      <c r="D6411" s="3"/>
      <c r="E6411" s="3"/>
      <c r="F6411" s="3"/>
    </row>
    <row r="6412" spans="3:6" x14ac:dyDescent="0.3">
      <c r="C6412" s="3"/>
      <c r="D6412" s="3"/>
      <c r="E6412" s="3"/>
      <c r="F6412" s="3"/>
    </row>
    <row r="6413" spans="3:6" x14ac:dyDescent="0.3">
      <c r="C6413" s="3"/>
      <c r="D6413" s="3"/>
      <c r="E6413" s="3"/>
      <c r="F6413" s="3"/>
    </row>
    <row r="6414" spans="3:6" x14ac:dyDescent="0.3">
      <c r="C6414" s="3"/>
      <c r="D6414" s="3"/>
      <c r="E6414" s="3"/>
      <c r="F6414" s="3"/>
    </row>
    <row r="6415" spans="3:6" x14ac:dyDescent="0.3">
      <c r="C6415" s="3"/>
      <c r="D6415" s="3"/>
      <c r="E6415" s="3"/>
      <c r="F6415" s="3"/>
    </row>
    <row r="6416" spans="3:6" x14ac:dyDescent="0.3">
      <c r="C6416" s="3"/>
      <c r="D6416" s="3"/>
      <c r="E6416" s="3"/>
      <c r="F6416" s="3"/>
    </row>
    <row r="6417" spans="3:6" x14ac:dyDescent="0.3">
      <c r="C6417" s="3"/>
      <c r="D6417" s="3"/>
      <c r="E6417" s="3"/>
      <c r="F6417" s="3"/>
    </row>
    <row r="6418" spans="3:6" x14ac:dyDescent="0.3">
      <c r="C6418" s="3"/>
      <c r="D6418" s="3"/>
      <c r="E6418" s="3"/>
      <c r="F6418" s="3"/>
    </row>
    <row r="6419" spans="3:6" x14ac:dyDescent="0.3">
      <c r="C6419" s="3"/>
      <c r="D6419" s="3"/>
      <c r="E6419" s="3"/>
      <c r="F6419" s="3"/>
    </row>
    <row r="6420" spans="3:6" x14ac:dyDescent="0.3">
      <c r="C6420" s="3"/>
      <c r="D6420" s="3"/>
      <c r="E6420" s="3"/>
      <c r="F6420" s="3"/>
    </row>
    <row r="6421" spans="3:6" x14ac:dyDescent="0.3">
      <c r="C6421" s="3"/>
      <c r="D6421" s="3"/>
      <c r="E6421" s="3"/>
      <c r="F6421" s="3"/>
    </row>
    <row r="6422" spans="3:6" x14ac:dyDescent="0.3">
      <c r="C6422" s="3"/>
      <c r="D6422" s="3"/>
      <c r="E6422" s="3"/>
      <c r="F6422" s="3"/>
    </row>
    <row r="6423" spans="3:6" x14ac:dyDescent="0.3">
      <c r="C6423" s="3"/>
      <c r="D6423" s="3"/>
      <c r="E6423" s="3"/>
      <c r="F6423" s="3"/>
    </row>
    <row r="6424" spans="3:6" x14ac:dyDescent="0.3">
      <c r="C6424" s="3"/>
      <c r="D6424" s="3"/>
      <c r="E6424" s="3"/>
      <c r="F6424" s="3"/>
    </row>
    <row r="6425" spans="3:6" x14ac:dyDescent="0.3">
      <c r="C6425" s="3"/>
      <c r="D6425" s="3"/>
      <c r="E6425" s="3"/>
      <c r="F6425" s="3"/>
    </row>
    <row r="6426" spans="3:6" x14ac:dyDescent="0.3">
      <c r="C6426" s="3"/>
      <c r="D6426" s="3"/>
      <c r="E6426" s="3"/>
      <c r="F6426" s="3"/>
    </row>
    <row r="6427" spans="3:6" x14ac:dyDescent="0.3">
      <c r="C6427" s="3"/>
      <c r="D6427" s="3"/>
      <c r="E6427" s="3"/>
      <c r="F6427" s="3"/>
    </row>
    <row r="6428" spans="3:6" x14ac:dyDescent="0.3">
      <c r="C6428" s="3"/>
      <c r="D6428" s="3"/>
      <c r="E6428" s="3"/>
      <c r="F6428" s="3"/>
    </row>
    <row r="6429" spans="3:6" x14ac:dyDescent="0.3">
      <c r="C6429" s="3"/>
      <c r="D6429" s="3"/>
      <c r="E6429" s="3"/>
      <c r="F6429" s="3"/>
    </row>
    <row r="6430" spans="3:6" x14ac:dyDescent="0.3">
      <c r="C6430" s="3"/>
      <c r="D6430" s="3"/>
      <c r="E6430" s="3"/>
      <c r="F6430" s="3"/>
    </row>
    <row r="6431" spans="3:6" x14ac:dyDescent="0.3">
      <c r="C6431" s="3"/>
      <c r="D6431" s="3"/>
      <c r="E6431" s="3"/>
      <c r="F6431" s="3"/>
    </row>
    <row r="6432" spans="3:6" x14ac:dyDescent="0.3">
      <c r="C6432" s="3"/>
      <c r="D6432" s="3"/>
      <c r="E6432" s="3"/>
      <c r="F6432" s="3"/>
    </row>
    <row r="6433" spans="3:6" x14ac:dyDescent="0.3">
      <c r="C6433" s="3"/>
      <c r="D6433" s="3"/>
      <c r="E6433" s="3"/>
      <c r="F6433" s="3"/>
    </row>
    <row r="6434" spans="3:6" x14ac:dyDescent="0.3">
      <c r="C6434" s="3"/>
      <c r="D6434" s="3"/>
      <c r="E6434" s="3"/>
      <c r="F6434" s="3"/>
    </row>
    <row r="6435" spans="3:6" x14ac:dyDescent="0.3">
      <c r="C6435" s="3"/>
      <c r="D6435" s="3"/>
      <c r="E6435" s="3"/>
      <c r="F6435" s="3"/>
    </row>
    <row r="6436" spans="3:6" x14ac:dyDescent="0.3">
      <c r="C6436" s="3"/>
      <c r="D6436" s="3"/>
      <c r="E6436" s="3"/>
      <c r="F6436" s="3"/>
    </row>
    <row r="6437" spans="3:6" x14ac:dyDescent="0.3">
      <c r="C6437" s="3"/>
      <c r="D6437" s="3"/>
      <c r="E6437" s="3"/>
      <c r="F6437" s="3"/>
    </row>
    <row r="6438" spans="3:6" x14ac:dyDescent="0.3">
      <c r="C6438" s="3"/>
      <c r="D6438" s="3"/>
      <c r="E6438" s="3"/>
      <c r="F6438" s="3"/>
    </row>
    <row r="6439" spans="3:6" x14ac:dyDescent="0.3">
      <c r="C6439" s="3"/>
      <c r="D6439" s="3"/>
      <c r="E6439" s="3"/>
      <c r="F6439" s="3"/>
    </row>
    <row r="6440" spans="3:6" x14ac:dyDescent="0.3">
      <c r="C6440" s="3"/>
      <c r="D6440" s="3"/>
      <c r="E6440" s="3"/>
      <c r="F6440" s="3"/>
    </row>
    <row r="6441" spans="3:6" x14ac:dyDescent="0.3">
      <c r="C6441" s="3"/>
      <c r="D6441" s="3"/>
      <c r="E6441" s="3"/>
      <c r="F6441" s="3"/>
    </row>
    <row r="6442" spans="3:6" x14ac:dyDescent="0.3">
      <c r="C6442" s="3"/>
      <c r="D6442" s="3"/>
      <c r="E6442" s="3"/>
      <c r="F6442" s="3"/>
    </row>
    <row r="6443" spans="3:6" x14ac:dyDescent="0.3">
      <c r="C6443" s="3"/>
      <c r="D6443" s="3"/>
      <c r="E6443" s="3"/>
      <c r="F6443" s="3"/>
    </row>
    <row r="6444" spans="3:6" x14ac:dyDescent="0.3">
      <c r="C6444" s="3"/>
      <c r="D6444" s="3"/>
      <c r="E6444" s="3"/>
      <c r="F6444" s="3"/>
    </row>
    <row r="6445" spans="3:6" x14ac:dyDescent="0.3">
      <c r="C6445" s="3"/>
      <c r="D6445" s="3"/>
      <c r="E6445" s="3"/>
      <c r="F6445" s="3"/>
    </row>
    <row r="6446" spans="3:6" x14ac:dyDescent="0.3">
      <c r="C6446" s="3"/>
      <c r="D6446" s="3"/>
      <c r="E6446" s="3"/>
      <c r="F6446" s="3"/>
    </row>
    <row r="6447" spans="3:6" x14ac:dyDescent="0.3">
      <c r="C6447" s="3"/>
      <c r="D6447" s="3"/>
      <c r="E6447" s="3"/>
      <c r="F6447" s="3"/>
    </row>
    <row r="6448" spans="3:6" x14ac:dyDescent="0.3">
      <c r="C6448" s="3"/>
      <c r="D6448" s="3"/>
      <c r="E6448" s="3"/>
      <c r="F6448" s="3"/>
    </row>
    <row r="6449" spans="3:6" x14ac:dyDescent="0.3">
      <c r="C6449" s="3"/>
      <c r="D6449" s="3"/>
      <c r="E6449" s="3"/>
      <c r="F6449" s="3"/>
    </row>
    <row r="6450" spans="3:6" x14ac:dyDescent="0.3">
      <c r="C6450" s="3"/>
      <c r="D6450" s="3"/>
      <c r="E6450" s="3"/>
      <c r="F6450" s="3"/>
    </row>
    <row r="6451" spans="3:6" x14ac:dyDescent="0.3">
      <c r="C6451" s="3"/>
      <c r="D6451" s="3"/>
      <c r="E6451" s="3"/>
      <c r="F6451" s="3"/>
    </row>
    <row r="6452" spans="3:6" x14ac:dyDescent="0.3">
      <c r="C6452" s="3"/>
      <c r="D6452" s="3"/>
      <c r="E6452" s="3"/>
      <c r="F6452" s="3"/>
    </row>
    <row r="6453" spans="3:6" x14ac:dyDescent="0.3">
      <c r="C6453" s="3"/>
      <c r="D6453" s="3"/>
      <c r="E6453" s="3"/>
      <c r="F6453" s="3"/>
    </row>
    <row r="6454" spans="3:6" x14ac:dyDescent="0.3">
      <c r="C6454" s="3"/>
      <c r="D6454" s="3"/>
      <c r="E6454" s="3"/>
      <c r="F6454" s="3"/>
    </row>
    <row r="6455" spans="3:6" x14ac:dyDescent="0.3">
      <c r="C6455" s="3"/>
      <c r="D6455" s="3"/>
      <c r="E6455" s="3"/>
      <c r="F6455" s="3"/>
    </row>
    <row r="6456" spans="3:6" x14ac:dyDescent="0.3">
      <c r="C6456" s="3"/>
      <c r="D6456" s="3"/>
      <c r="E6456" s="3"/>
      <c r="F6456" s="3"/>
    </row>
    <row r="6457" spans="3:6" x14ac:dyDescent="0.3">
      <c r="C6457" s="3"/>
      <c r="D6457" s="3"/>
      <c r="E6457" s="3"/>
      <c r="F6457" s="3"/>
    </row>
    <row r="6458" spans="3:6" x14ac:dyDescent="0.3">
      <c r="C6458" s="3"/>
      <c r="D6458" s="3"/>
      <c r="E6458" s="3"/>
      <c r="F6458" s="3"/>
    </row>
    <row r="6459" spans="3:6" x14ac:dyDescent="0.3">
      <c r="C6459" s="3"/>
      <c r="D6459" s="3"/>
      <c r="E6459" s="3"/>
      <c r="F6459" s="3"/>
    </row>
    <row r="6460" spans="3:6" x14ac:dyDescent="0.3">
      <c r="C6460" s="3"/>
      <c r="D6460" s="3"/>
      <c r="E6460" s="3"/>
      <c r="F6460" s="3"/>
    </row>
    <row r="6461" spans="3:6" x14ac:dyDescent="0.3">
      <c r="C6461" s="3"/>
      <c r="D6461" s="3"/>
      <c r="E6461" s="3"/>
      <c r="F6461" s="3"/>
    </row>
    <row r="6462" spans="3:6" x14ac:dyDescent="0.3">
      <c r="C6462" s="3"/>
      <c r="D6462" s="3"/>
      <c r="E6462" s="3"/>
      <c r="F6462" s="3"/>
    </row>
    <row r="6463" spans="3:6" x14ac:dyDescent="0.3">
      <c r="C6463" s="3"/>
      <c r="D6463" s="3"/>
      <c r="E6463" s="3"/>
      <c r="F6463" s="3"/>
    </row>
    <row r="6464" spans="3:6" x14ac:dyDescent="0.3">
      <c r="C6464" s="3"/>
      <c r="D6464" s="3"/>
      <c r="E6464" s="3"/>
      <c r="F6464" s="3"/>
    </row>
    <row r="6465" spans="3:6" x14ac:dyDescent="0.3">
      <c r="C6465" s="3"/>
      <c r="D6465" s="3"/>
      <c r="E6465" s="3"/>
      <c r="F6465" s="3"/>
    </row>
    <row r="6466" spans="3:6" x14ac:dyDescent="0.3">
      <c r="C6466" s="3"/>
      <c r="D6466" s="3"/>
      <c r="E6466" s="3"/>
      <c r="F6466" s="3"/>
    </row>
    <row r="6467" spans="3:6" x14ac:dyDescent="0.3">
      <c r="C6467" s="3"/>
      <c r="D6467" s="3"/>
      <c r="E6467" s="3"/>
      <c r="F6467" s="3"/>
    </row>
    <row r="6468" spans="3:6" x14ac:dyDescent="0.3">
      <c r="C6468" s="3"/>
      <c r="D6468" s="3"/>
      <c r="E6468" s="3"/>
      <c r="F6468" s="3"/>
    </row>
    <row r="6469" spans="3:6" x14ac:dyDescent="0.3">
      <c r="C6469" s="3"/>
      <c r="D6469" s="3"/>
      <c r="E6469" s="3"/>
      <c r="F6469" s="3"/>
    </row>
    <row r="6470" spans="3:6" x14ac:dyDescent="0.3">
      <c r="C6470" s="3"/>
      <c r="D6470" s="3"/>
      <c r="E6470" s="3"/>
      <c r="F6470" s="3"/>
    </row>
    <row r="6471" spans="3:6" x14ac:dyDescent="0.3">
      <c r="C6471" s="3"/>
      <c r="D6471" s="3"/>
      <c r="E6471" s="3"/>
      <c r="F6471" s="3"/>
    </row>
    <row r="6472" spans="3:6" x14ac:dyDescent="0.3">
      <c r="C6472" s="3"/>
      <c r="D6472" s="3"/>
      <c r="E6472" s="3"/>
      <c r="F6472" s="3"/>
    </row>
    <row r="6473" spans="3:6" x14ac:dyDescent="0.3">
      <c r="C6473" s="3"/>
      <c r="D6473" s="3"/>
      <c r="E6473" s="3"/>
      <c r="F6473" s="3"/>
    </row>
    <row r="6474" spans="3:6" x14ac:dyDescent="0.3">
      <c r="C6474" s="3"/>
      <c r="D6474" s="3"/>
      <c r="E6474" s="3"/>
      <c r="F6474" s="3"/>
    </row>
    <row r="6475" spans="3:6" x14ac:dyDescent="0.3">
      <c r="C6475" s="3"/>
      <c r="D6475" s="3"/>
      <c r="E6475" s="3"/>
      <c r="F6475" s="3"/>
    </row>
    <row r="6476" spans="3:6" x14ac:dyDescent="0.3">
      <c r="C6476" s="3"/>
      <c r="D6476" s="3"/>
      <c r="E6476" s="3"/>
      <c r="F6476" s="3"/>
    </row>
    <row r="6477" spans="3:6" x14ac:dyDescent="0.3">
      <c r="C6477" s="3"/>
      <c r="D6477" s="3"/>
      <c r="E6477" s="3"/>
      <c r="F6477" s="3"/>
    </row>
    <row r="6478" spans="3:6" x14ac:dyDescent="0.3">
      <c r="C6478" s="3"/>
      <c r="D6478" s="3"/>
      <c r="E6478" s="3"/>
      <c r="F6478" s="3"/>
    </row>
    <row r="6479" spans="3:6" x14ac:dyDescent="0.3">
      <c r="C6479" s="3"/>
      <c r="D6479" s="3"/>
      <c r="E6479" s="3"/>
      <c r="F6479" s="3"/>
    </row>
    <row r="6480" spans="3:6" x14ac:dyDescent="0.3">
      <c r="C6480" s="3"/>
      <c r="D6480" s="3"/>
      <c r="E6480" s="3"/>
      <c r="F6480" s="3"/>
    </row>
    <row r="6481" spans="3:6" x14ac:dyDescent="0.3">
      <c r="C6481" s="3"/>
      <c r="D6481" s="3"/>
      <c r="E6481" s="3"/>
      <c r="F6481" s="3"/>
    </row>
    <row r="6482" spans="3:6" x14ac:dyDescent="0.3">
      <c r="C6482" s="3"/>
      <c r="D6482" s="3"/>
      <c r="E6482" s="3"/>
      <c r="F6482" s="3"/>
    </row>
    <row r="6483" spans="3:6" x14ac:dyDescent="0.3">
      <c r="C6483" s="3"/>
      <c r="D6483" s="3"/>
      <c r="E6483" s="3"/>
      <c r="F6483" s="3"/>
    </row>
    <row r="6484" spans="3:6" x14ac:dyDescent="0.3">
      <c r="C6484" s="3"/>
      <c r="D6484" s="3"/>
      <c r="E6484" s="3"/>
      <c r="F6484" s="3"/>
    </row>
    <row r="6485" spans="3:6" x14ac:dyDescent="0.3">
      <c r="C6485" s="3"/>
      <c r="D6485" s="3"/>
      <c r="E6485" s="3"/>
      <c r="F6485" s="3"/>
    </row>
    <row r="6486" spans="3:6" x14ac:dyDescent="0.3">
      <c r="C6486" s="3"/>
      <c r="D6486" s="3"/>
      <c r="E6486" s="3"/>
      <c r="F6486" s="3"/>
    </row>
    <row r="6487" spans="3:6" x14ac:dyDescent="0.3">
      <c r="C6487" s="3"/>
      <c r="D6487" s="3"/>
      <c r="E6487" s="3"/>
      <c r="F6487" s="3"/>
    </row>
    <row r="6488" spans="3:6" x14ac:dyDescent="0.3">
      <c r="C6488" s="3"/>
      <c r="D6488" s="3"/>
      <c r="E6488" s="3"/>
      <c r="F6488" s="3"/>
    </row>
    <row r="6489" spans="3:6" x14ac:dyDescent="0.3">
      <c r="C6489" s="3"/>
      <c r="D6489" s="3"/>
      <c r="E6489" s="3"/>
      <c r="F6489" s="3"/>
    </row>
    <row r="6490" spans="3:6" x14ac:dyDescent="0.3">
      <c r="C6490" s="3"/>
      <c r="D6490" s="3"/>
      <c r="E6490" s="3"/>
      <c r="F6490" s="3"/>
    </row>
    <row r="6491" spans="3:6" x14ac:dyDescent="0.3">
      <c r="C6491" s="3"/>
      <c r="D6491" s="3"/>
      <c r="E6491" s="3"/>
      <c r="F6491" s="3"/>
    </row>
    <row r="6492" spans="3:6" x14ac:dyDescent="0.3">
      <c r="C6492" s="3"/>
      <c r="D6492" s="3"/>
      <c r="E6492" s="3"/>
      <c r="F6492" s="3"/>
    </row>
    <row r="6493" spans="3:6" x14ac:dyDescent="0.3">
      <c r="C6493" s="3"/>
      <c r="D6493" s="3"/>
      <c r="E6493" s="3"/>
      <c r="F6493" s="3"/>
    </row>
    <row r="6494" spans="3:6" x14ac:dyDescent="0.3">
      <c r="C6494" s="3"/>
      <c r="D6494" s="3"/>
      <c r="E6494" s="3"/>
      <c r="F6494" s="3"/>
    </row>
    <row r="6495" spans="3:6" x14ac:dyDescent="0.3">
      <c r="C6495" s="3"/>
      <c r="D6495" s="3"/>
      <c r="E6495" s="3"/>
      <c r="F6495" s="3"/>
    </row>
    <row r="6496" spans="3:6" x14ac:dyDescent="0.3">
      <c r="C6496" s="3"/>
      <c r="D6496" s="3"/>
      <c r="E6496" s="3"/>
      <c r="F6496" s="3"/>
    </row>
    <row r="6497" spans="3:6" x14ac:dyDescent="0.3">
      <c r="C6497" s="3"/>
      <c r="D6497" s="3"/>
      <c r="E6497" s="3"/>
      <c r="F6497" s="3"/>
    </row>
    <row r="6498" spans="3:6" x14ac:dyDescent="0.3">
      <c r="C6498" s="3"/>
      <c r="D6498" s="3"/>
      <c r="E6498" s="3"/>
      <c r="F6498" s="3"/>
    </row>
    <row r="6499" spans="3:6" x14ac:dyDescent="0.3">
      <c r="C6499" s="3"/>
      <c r="D6499" s="3"/>
      <c r="E6499" s="3"/>
      <c r="F6499" s="3"/>
    </row>
    <row r="6500" spans="3:6" x14ac:dyDescent="0.3">
      <c r="C6500" s="3"/>
      <c r="D6500" s="3"/>
      <c r="E6500" s="3"/>
      <c r="F6500" s="3"/>
    </row>
    <row r="6501" spans="3:6" x14ac:dyDescent="0.3">
      <c r="C6501" s="3"/>
      <c r="D6501" s="3"/>
      <c r="E6501" s="3"/>
      <c r="F6501" s="3"/>
    </row>
    <row r="6502" spans="3:6" x14ac:dyDescent="0.3">
      <c r="C6502" s="3"/>
      <c r="D6502" s="3"/>
      <c r="E6502" s="3"/>
      <c r="F6502" s="3"/>
    </row>
    <row r="6503" spans="3:6" x14ac:dyDescent="0.3">
      <c r="C6503" s="3"/>
      <c r="D6503" s="3"/>
      <c r="E6503" s="3"/>
      <c r="F6503" s="3"/>
    </row>
    <row r="6504" spans="3:6" x14ac:dyDescent="0.3">
      <c r="C6504" s="3"/>
      <c r="D6504" s="3"/>
      <c r="E6504" s="3"/>
      <c r="F6504" s="3"/>
    </row>
    <row r="6505" spans="3:6" x14ac:dyDescent="0.3">
      <c r="C6505" s="3"/>
      <c r="D6505" s="3"/>
      <c r="E6505" s="3"/>
      <c r="F6505" s="3"/>
    </row>
    <row r="6506" spans="3:6" x14ac:dyDescent="0.3">
      <c r="C6506" s="3"/>
      <c r="D6506" s="3"/>
      <c r="E6506" s="3"/>
      <c r="F6506" s="3"/>
    </row>
    <row r="6507" spans="3:6" x14ac:dyDescent="0.3">
      <c r="C6507" s="3"/>
      <c r="D6507" s="3"/>
      <c r="E6507" s="3"/>
      <c r="F6507" s="3"/>
    </row>
    <row r="6508" spans="3:6" x14ac:dyDescent="0.3">
      <c r="C6508" s="3"/>
      <c r="D6508" s="3"/>
      <c r="E6508" s="3"/>
      <c r="F6508" s="3"/>
    </row>
    <row r="6509" spans="3:6" x14ac:dyDescent="0.3">
      <c r="C6509" s="3"/>
      <c r="D6509" s="3"/>
      <c r="E6509" s="3"/>
      <c r="F6509" s="3"/>
    </row>
    <row r="6510" spans="3:6" x14ac:dyDescent="0.3">
      <c r="C6510" s="3"/>
      <c r="D6510" s="3"/>
      <c r="E6510" s="3"/>
      <c r="F6510" s="3"/>
    </row>
    <row r="6511" spans="3:6" x14ac:dyDescent="0.3">
      <c r="C6511" s="3"/>
      <c r="D6511" s="3"/>
      <c r="E6511" s="3"/>
      <c r="F6511" s="3"/>
    </row>
    <row r="6512" spans="3:6" x14ac:dyDescent="0.3">
      <c r="C6512" s="3"/>
      <c r="D6512" s="3"/>
      <c r="E6512" s="3"/>
      <c r="F6512" s="3"/>
    </row>
    <row r="6513" spans="3:6" x14ac:dyDescent="0.3">
      <c r="C6513" s="3"/>
      <c r="D6513" s="3"/>
      <c r="E6513" s="3"/>
      <c r="F6513" s="3"/>
    </row>
    <row r="6514" spans="3:6" x14ac:dyDescent="0.3">
      <c r="C6514" s="3"/>
      <c r="D6514" s="3"/>
      <c r="E6514" s="3"/>
      <c r="F6514" s="3"/>
    </row>
    <row r="6515" spans="3:6" x14ac:dyDescent="0.3">
      <c r="C6515" s="3"/>
      <c r="D6515" s="3"/>
      <c r="E6515" s="3"/>
      <c r="F6515" s="3"/>
    </row>
    <row r="6516" spans="3:6" x14ac:dyDescent="0.3">
      <c r="C6516" s="3"/>
      <c r="D6516" s="3"/>
      <c r="E6516" s="3"/>
      <c r="F6516" s="3"/>
    </row>
    <row r="6517" spans="3:6" x14ac:dyDescent="0.3">
      <c r="C6517" s="3"/>
      <c r="D6517" s="3"/>
      <c r="E6517" s="3"/>
      <c r="F6517" s="3"/>
    </row>
    <row r="6518" spans="3:6" x14ac:dyDescent="0.3">
      <c r="C6518" s="3"/>
      <c r="D6518" s="3"/>
      <c r="E6518" s="3"/>
      <c r="F6518" s="3"/>
    </row>
    <row r="6519" spans="3:6" x14ac:dyDescent="0.3">
      <c r="C6519" s="3"/>
      <c r="D6519" s="3"/>
      <c r="E6519" s="3"/>
      <c r="F6519" s="3"/>
    </row>
    <row r="6520" spans="3:6" x14ac:dyDescent="0.3">
      <c r="C6520" s="3"/>
      <c r="D6520" s="3"/>
      <c r="E6520" s="3"/>
      <c r="F6520" s="3"/>
    </row>
    <row r="6521" spans="3:6" x14ac:dyDescent="0.3">
      <c r="C6521" s="3"/>
      <c r="D6521" s="3"/>
      <c r="E6521" s="3"/>
      <c r="F6521" s="3"/>
    </row>
    <row r="6522" spans="3:6" x14ac:dyDescent="0.3">
      <c r="C6522" s="3"/>
      <c r="D6522" s="3"/>
      <c r="E6522" s="3"/>
      <c r="F6522" s="3"/>
    </row>
    <row r="6523" spans="3:6" x14ac:dyDescent="0.3">
      <c r="C6523" s="3"/>
      <c r="D6523" s="3"/>
      <c r="E6523" s="3"/>
      <c r="F6523" s="3"/>
    </row>
    <row r="6524" spans="3:6" x14ac:dyDescent="0.3">
      <c r="C6524" s="3"/>
      <c r="D6524" s="3"/>
      <c r="E6524" s="3"/>
      <c r="F6524" s="3"/>
    </row>
    <row r="6525" spans="3:6" x14ac:dyDescent="0.3">
      <c r="C6525" s="3"/>
      <c r="D6525" s="3"/>
      <c r="E6525" s="3"/>
      <c r="F6525" s="3"/>
    </row>
    <row r="6526" spans="3:6" x14ac:dyDescent="0.3">
      <c r="C6526" s="3"/>
      <c r="D6526" s="3"/>
      <c r="E6526" s="3"/>
      <c r="F6526" s="3"/>
    </row>
    <row r="6527" spans="3:6" x14ac:dyDescent="0.3">
      <c r="C6527" s="3"/>
      <c r="D6527" s="3"/>
      <c r="E6527" s="3"/>
      <c r="F6527" s="3"/>
    </row>
    <row r="6528" spans="3:6" x14ac:dyDescent="0.3">
      <c r="C6528" s="3"/>
      <c r="D6528" s="3"/>
      <c r="E6528" s="3"/>
      <c r="F6528" s="3"/>
    </row>
    <row r="6529" spans="3:6" x14ac:dyDescent="0.3">
      <c r="C6529" s="3"/>
      <c r="D6529" s="3"/>
      <c r="E6529" s="3"/>
      <c r="F6529" s="3"/>
    </row>
    <row r="6530" spans="3:6" x14ac:dyDescent="0.3">
      <c r="C6530" s="3"/>
      <c r="D6530" s="3"/>
      <c r="E6530" s="3"/>
      <c r="F6530" s="3"/>
    </row>
    <row r="6531" spans="3:6" x14ac:dyDescent="0.3">
      <c r="C6531" s="3"/>
      <c r="D6531" s="3"/>
      <c r="E6531" s="3"/>
      <c r="F6531" s="3"/>
    </row>
    <row r="6532" spans="3:6" x14ac:dyDescent="0.3">
      <c r="C6532" s="3"/>
      <c r="D6532" s="3"/>
      <c r="E6532" s="3"/>
      <c r="F6532" s="3"/>
    </row>
    <row r="6533" spans="3:6" x14ac:dyDescent="0.3">
      <c r="C6533" s="3"/>
      <c r="D6533" s="3"/>
      <c r="E6533" s="3"/>
      <c r="F6533" s="3"/>
    </row>
    <row r="6534" spans="3:6" x14ac:dyDescent="0.3">
      <c r="C6534" s="3"/>
      <c r="D6534" s="3"/>
      <c r="E6534" s="3"/>
      <c r="F6534" s="3"/>
    </row>
    <row r="6535" spans="3:6" x14ac:dyDescent="0.3">
      <c r="C6535" s="3"/>
      <c r="D6535" s="3"/>
      <c r="E6535" s="3"/>
      <c r="F6535" s="3"/>
    </row>
    <row r="6536" spans="3:6" x14ac:dyDescent="0.3">
      <c r="C6536" s="3"/>
      <c r="D6536" s="3"/>
      <c r="E6536" s="3"/>
      <c r="F6536" s="3"/>
    </row>
    <row r="6537" spans="3:6" x14ac:dyDescent="0.3">
      <c r="C6537" s="3"/>
      <c r="D6537" s="3"/>
      <c r="E6537" s="3"/>
      <c r="F6537" s="3"/>
    </row>
    <row r="6538" spans="3:6" x14ac:dyDescent="0.3">
      <c r="C6538" s="3"/>
      <c r="D6538" s="3"/>
      <c r="E6538" s="3"/>
      <c r="F6538" s="3"/>
    </row>
    <row r="6539" spans="3:6" x14ac:dyDescent="0.3">
      <c r="C6539" s="3"/>
      <c r="D6539" s="3"/>
      <c r="E6539" s="3"/>
      <c r="F6539" s="3"/>
    </row>
    <row r="6540" spans="3:6" x14ac:dyDescent="0.3">
      <c r="C6540" s="3"/>
      <c r="D6540" s="3"/>
      <c r="E6540" s="3"/>
      <c r="F6540" s="3"/>
    </row>
    <row r="6541" spans="3:6" x14ac:dyDescent="0.3">
      <c r="C6541" s="3"/>
      <c r="D6541" s="3"/>
      <c r="E6541" s="3"/>
      <c r="F6541" s="3"/>
    </row>
    <row r="6542" spans="3:6" x14ac:dyDescent="0.3">
      <c r="C6542" s="3"/>
      <c r="D6542" s="3"/>
      <c r="E6542" s="3"/>
      <c r="F6542" s="3"/>
    </row>
    <row r="6543" spans="3:6" x14ac:dyDescent="0.3">
      <c r="C6543" s="3"/>
      <c r="D6543" s="3"/>
      <c r="E6543" s="3"/>
      <c r="F6543" s="3"/>
    </row>
    <row r="6544" spans="3:6" x14ac:dyDescent="0.3">
      <c r="C6544" s="3"/>
      <c r="D6544" s="3"/>
      <c r="E6544" s="3"/>
      <c r="F6544" s="3"/>
    </row>
    <row r="6545" spans="3:6" x14ac:dyDescent="0.3">
      <c r="C6545" s="3"/>
      <c r="D6545" s="3"/>
      <c r="E6545" s="3"/>
      <c r="F6545" s="3"/>
    </row>
    <row r="6546" spans="3:6" x14ac:dyDescent="0.3">
      <c r="C6546" s="3"/>
      <c r="D6546" s="3"/>
      <c r="E6546" s="3"/>
      <c r="F6546" s="3"/>
    </row>
    <row r="6547" spans="3:6" x14ac:dyDescent="0.3">
      <c r="C6547" s="3"/>
      <c r="D6547" s="3"/>
      <c r="E6547" s="3"/>
      <c r="F6547" s="3"/>
    </row>
    <row r="6548" spans="3:6" x14ac:dyDescent="0.3">
      <c r="C6548" s="3"/>
      <c r="D6548" s="3"/>
      <c r="E6548" s="3"/>
      <c r="F6548" s="3"/>
    </row>
    <row r="6549" spans="3:6" x14ac:dyDescent="0.3">
      <c r="C6549" s="3"/>
      <c r="D6549" s="3"/>
      <c r="E6549" s="3"/>
      <c r="F6549" s="3"/>
    </row>
    <row r="6550" spans="3:6" x14ac:dyDescent="0.3">
      <c r="C6550" s="3"/>
      <c r="D6550" s="3"/>
      <c r="E6550" s="3"/>
      <c r="F6550" s="3"/>
    </row>
    <row r="6551" spans="3:6" x14ac:dyDescent="0.3">
      <c r="C6551" s="3"/>
      <c r="D6551" s="3"/>
      <c r="E6551" s="3"/>
      <c r="F6551" s="3"/>
    </row>
    <row r="6552" spans="3:6" x14ac:dyDescent="0.3">
      <c r="C6552" s="3"/>
      <c r="D6552" s="3"/>
      <c r="E6552" s="3"/>
      <c r="F6552" s="3"/>
    </row>
    <row r="6553" spans="3:6" x14ac:dyDescent="0.3">
      <c r="C6553" s="3"/>
      <c r="D6553" s="3"/>
      <c r="E6553" s="3"/>
      <c r="F6553" s="3"/>
    </row>
    <row r="6554" spans="3:6" x14ac:dyDescent="0.3">
      <c r="C6554" s="3"/>
      <c r="D6554" s="3"/>
      <c r="E6554" s="3"/>
      <c r="F6554" s="3"/>
    </row>
    <row r="6555" spans="3:6" x14ac:dyDescent="0.3">
      <c r="C6555" s="3"/>
      <c r="D6555" s="3"/>
      <c r="E6555" s="3"/>
      <c r="F6555" s="3"/>
    </row>
    <row r="6556" spans="3:6" x14ac:dyDescent="0.3">
      <c r="C6556" s="3"/>
      <c r="D6556" s="3"/>
      <c r="E6556" s="3"/>
      <c r="F6556" s="3"/>
    </row>
    <row r="6557" spans="3:6" x14ac:dyDescent="0.3">
      <c r="C6557" s="3"/>
      <c r="D6557" s="3"/>
      <c r="E6557" s="3"/>
      <c r="F6557" s="3"/>
    </row>
    <row r="6558" spans="3:6" x14ac:dyDescent="0.3">
      <c r="C6558" s="3"/>
      <c r="D6558" s="3"/>
      <c r="E6558" s="3"/>
      <c r="F6558" s="3"/>
    </row>
    <row r="6559" spans="3:6" x14ac:dyDescent="0.3">
      <c r="C6559" s="3"/>
      <c r="D6559" s="3"/>
      <c r="E6559" s="3"/>
      <c r="F6559" s="3"/>
    </row>
    <row r="6560" spans="3:6" x14ac:dyDescent="0.3">
      <c r="C6560" s="3"/>
      <c r="D6560" s="3"/>
      <c r="E6560" s="3"/>
      <c r="F6560" s="3"/>
    </row>
    <row r="6561" spans="3:6" x14ac:dyDescent="0.3">
      <c r="C6561" s="3"/>
      <c r="D6561" s="3"/>
      <c r="E6561" s="3"/>
      <c r="F6561" s="3"/>
    </row>
    <row r="6562" spans="3:6" x14ac:dyDescent="0.3">
      <c r="C6562" s="3"/>
      <c r="D6562" s="3"/>
      <c r="E6562" s="3"/>
      <c r="F6562" s="3"/>
    </row>
    <row r="6563" spans="3:6" x14ac:dyDescent="0.3">
      <c r="C6563" s="3"/>
      <c r="D6563" s="3"/>
      <c r="E6563" s="3"/>
      <c r="F6563" s="3"/>
    </row>
    <row r="6564" spans="3:6" x14ac:dyDescent="0.3">
      <c r="C6564" s="3"/>
      <c r="D6564" s="3"/>
      <c r="E6564" s="3"/>
      <c r="F6564" s="3"/>
    </row>
    <row r="6565" spans="3:6" x14ac:dyDescent="0.3">
      <c r="C6565" s="3"/>
      <c r="D6565" s="3"/>
      <c r="E6565" s="3"/>
      <c r="F6565" s="3"/>
    </row>
    <row r="6566" spans="3:6" x14ac:dyDescent="0.3">
      <c r="C6566" s="3"/>
      <c r="D6566" s="3"/>
      <c r="E6566" s="3"/>
      <c r="F6566" s="3"/>
    </row>
    <row r="6567" spans="3:6" x14ac:dyDescent="0.3">
      <c r="C6567" s="3"/>
      <c r="D6567" s="3"/>
      <c r="E6567" s="3"/>
      <c r="F6567" s="3"/>
    </row>
    <row r="6568" spans="3:6" x14ac:dyDescent="0.3">
      <c r="C6568" s="3"/>
      <c r="D6568" s="3"/>
      <c r="E6568" s="3"/>
      <c r="F6568" s="3"/>
    </row>
    <row r="6569" spans="3:6" x14ac:dyDescent="0.3">
      <c r="C6569" s="3"/>
      <c r="D6569" s="3"/>
      <c r="E6569" s="3"/>
      <c r="F6569" s="3"/>
    </row>
    <row r="6570" spans="3:6" x14ac:dyDescent="0.3">
      <c r="C6570" s="3"/>
      <c r="D6570" s="3"/>
      <c r="E6570" s="3"/>
      <c r="F6570" s="3"/>
    </row>
    <row r="6571" spans="3:6" x14ac:dyDescent="0.3">
      <c r="C6571" s="3"/>
      <c r="D6571" s="3"/>
      <c r="E6571" s="3"/>
      <c r="F6571" s="3"/>
    </row>
    <row r="6572" spans="3:6" x14ac:dyDescent="0.3">
      <c r="C6572" s="3"/>
      <c r="D6572" s="3"/>
      <c r="E6572" s="3"/>
      <c r="F6572" s="3"/>
    </row>
    <row r="6573" spans="3:6" x14ac:dyDescent="0.3">
      <c r="C6573" s="3"/>
      <c r="D6573" s="3"/>
      <c r="E6573" s="3"/>
      <c r="F6573" s="3"/>
    </row>
    <row r="6574" spans="3:6" x14ac:dyDescent="0.3">
      <c r="C6574" s="3"/>
      <c r="D6574" s="3"/>
      <c r="E6574" s="3"/>
      <c r="F6574" s="3"/>
    </row>
    <row r="6575" spans="3:6" x14ac:dyDescent="0.3">
      <c r="C6575" s="3"/>
      <c r="D6575" s="3"/>
      <c r="E6575" s="3"/>
      <c r="F6575" s="3"/>
    </row>
    <row r="6576" spans="3:6" x14ac:dyDescent="0.3">
      <c r="C6576" s="3"/>
      <c r="D6576" s="3"/>
      <c r="E6576" s="3"/>
      <c r="F6576" s="3"/>
    </row>
    <row r="6577" spans="3:6" x14ac:dyDescent="0.3">
      <c r="C6577" s="3"/>
      <c r="D6577" s="3"/>
      <c r="E6577" s="3"/>
      <c r="F6577" s="3"/>
    </row>
    <row r="6578" spans="3:6" x14ac:dyDescent="0.3">
      <c r="C6578" s="3"/>
      <c r="D6578" s="3"/>
      <c r="E6578" s="3"/>
      <c r="F6578" s="3"/>
    </row>
    <row r="6579" spans="3:6" x14ac:dyDescent="0.3">
      <c r="C6579" s="3"/>
      <c r="D6579" s="3"/>
      <c r="E6579" s="3"/>
      <c r="F6579" s="3"/>
    </row>
    <row r="6580" spans="3:6" x14ac:dyDescent="0.3">
      <c r="C6580" s="3"/>
      <c r="D6580" s="3"/>
      <c r="E6580" s="3"/>
      <c r="F6580" s="3"/>
    </row>
    <row r="6581" spans="3:6" x14ac:dyDescent="0.3">
      <c r="C6581" s="3"/>
      <c r="D6581" s="3"/>
      <c r="E6581" s="3"/>
      <c r="F6581" s="3"/>
    </row>
    <row r="6582" spans="3:6" x14ac:dyDescent="0.3">
      <c r="C6582" s="3"/>
      <c r="D6582" s="3"/>
      <c r="E6582" s="3"/>
      <c r="F6582" s="3"/>
    </row>
    <row r="6583" spans="3:6" x14ac:dyDescent="0.3">
      <c r="C6583" s="3"/>
      <c r="D6583" s="3"/>
      <c r="E6583" s="3"/>
      <c r="F6583" s="3"/>
    </row>
    <row r="6584" spans="3:6" x14ac:dyDescent="0.3">
      <c r="C6584" s="3"/>
      <c r="D6584" s="3"/>
      <c r="E6584" s="3"/>
      <c r="F6584" s="3"/>
    </row>
    <row r="6585" spans="3:6" x14ac:dyDescent="0.3">
      <c r="C6585" s="3"/>
      <c r="D6585" s="3"/>
      <c r="E6585" s="3"/>
      <c r="F6585" s="3"/>
    </row>
    <row r="6586" spans="3:6" x14ac:dyDescent="0.3">
      <c r="C6586" s="3"/>
      <c r="D6586" s="3"/>
      <c r="E6586" s="3"/>
      <c r="F6586" s="3"/>
    </row>
    <row r="6587" spans="3:6" x14ac:dyDescent="0.3">
      <c r="C6587" s="3"/>
      <c r="D6587" s="3"/>
      <c r="E6587" s="3"/>
      <c r="F6587" s="3"/>
    </row>
    <row r="6588" spans="3:6" x14ac:dyDescent="0.3">
      <c r="C6588" s="3"/>
      <c r="D6588" s="3"/>
      <c r="E6588" s="3"/>
      <c r="F6588" s="3"/>
    </row>
    <row r="6589" spans="3:6" x14ac:dyDescent="0.3">
      <c r="C6589" s="3"/>
      <c r="D6589" s="3"/>
      <c r="E6589" s="3"/>
      <c r="F6589" s="3"/>
    </row>
    <row r="6590" spans="3:6" x14ac:dyDescent="0.3">
      <c r="C6590" s="3"/>
      <c r="D6590" s="3"/>
      <c r="E6590" s="3"/>
      <c r="F6590" s="3"/>
    </row>
    <row r="6591" spans="3:6" x14ac:dyDescent="0.3">
      <c r="C6591" s="3"/>
      <c r="D6591" s="3"/>
      <c r="E6591" s="3"/>
      <c r="F6591" s="3"/>
    </row>
    <row r="6592" spans="3:6" x14ac:dyDescent="0.3">
      <c r="C6592" s="3"/>
      <c r="D6592" s="3"/>
      <c r="E6592" s="3"/>
      <c r="F6592" s="3"/>
    </row>
    <row r="6593" spans="3:6" x14ac:dyDescent="0.3">
      <c r="C6593" s="3"/>
      <c r="D6593" s="3"/>
      <c r="E6593" s="3"/>
      <c r="F6593" s="3"/>
    </row>
    <row r="6594" spans="3:6" x14ac:dyDescent="0.3">
      <c r="C6594" s="3"/>
      <c r="D6594" s="3"/>
      <c r="E6594" s="3"/>
      <c r="F6594" s="3"/>
    </row>
    <row r="6595" spans="3:6" x14ac:dyDescent="0.3">
      <c r="C6595" s="3"/>
      <c r="D6595" s="3"/>
      <c r="E6595" s="3"/>
      <c r="F6595" s="3"/>
    </row>
    <row r="6596" spans="3:6" x14ac:dyDescent="0.3">
      <c r="C6596" s="3"/>
      <c r="D6596" s="3"/>
      <c r="E6596" s="3"/>
      <c r="F6596" s="3"/>
    </row>
    <row r="6597" spans="3:6" x14ac:dyDescent="0.3">
      <c r="C6597" s="3"/>
      <c r="D6597" s="3"/>
      <c r="E6597" s="3"/>
      <c r="F6597" s="3"/>
    </row>
    <row r="6598" spans="3:6" x14ac:dyDescent="0.3">
      <c r="C6598" s="3"/>
      <c r="D6598" s="3"/>
      <c r="E6598" s="3"/>
      <c r="F6598" s="3"/>
    </row>
    <row r="6599" spans="3:6" x14ac:dyDescent="0.3">
      <c r="C6599" s="3"/>
      <c r="D6599" s="3"/>
      <c r="E6599" s="3"/>
      <c r="F6599" s="3"/>
    </row>
    <row r="6600" spans="3:6" x14ac:dyDescent="0.3">
      <c r="C6600" s="3"/>
      <c r="D6600" s="3"/>
      <c r="E6600" s="3"/>
      <c r="F6600" s="3"/>
    </row>
    <row r="6601" spans="3:6" x14ac:dyDescent="0.3">
      <c r="C6601" s="3"/>
      <c r="D6601" s="3"/>
      <c r="E6601" s="3"/>
      <c r="F6601" s="3"/>
    </row>
    <row r="6602" spans="3:6" x14ac:dyDescent="0.3">
      <c r="C6602" s="3"/>
      <c r="D6602" s="3"/>
      <c r="E6602" s="3"/>
      <c r="F6602" s="3"/>
    </row>
    <row r="6603" spans="3:6" x14ac:dyDescent="0.3">
      <c r="C6603" s="3"/>
      <c r="D6603" s="3"/>
      <c r="E6603" s="3"/>
      <c r="F6603" s="3"/>
    </row>
    <row r="6604" spans="3:6" x14ac:dyDescent="0.3">
      <c r="C6604" s="3"/>
      <c r="D6604" s="3"/>
      <c r="E6604" s="3"/>
      <c r="F6604" s="3"/>
    </row>
    <row r="6605" spans="3:6" x14ac:dyDescent="0.3">
      <c r="C6605" s="3"/>
      <c r="D6605" s="3"/>
      <c r="E6605" s="3"/>
      <c r="F6605" s="3"/>
    </row>
    <row r="6606" spans="3:6" x14ac:dyDescent="0.3">
      <c r="C6606" s="3"/>
      <c r="D6606" s="3"/>
      <c r="E6606" s="3"/>
      <c r="F6606" s="3"/>
    </row>
    <row r="6607" spans="3:6" x14ac:dyDescent="0.3">
      <c r="C6607" s="3"/>
      <c r="D6607" s="3"/>
      <c r="E6607" s="3"/>
      <c r="F6607" s="3"/>
    </row>
    <row r="6608" spans="3:6" x14ac:dyDescent="0.3">
      <c r="C6608" s="3"/>
      <c r="D6608" s="3"/>
      <c r="E6608" s="3"/>
      <c r="F6608" s="3"/>
    </row>
    <row r="6609" spans="3:6" x14ac:dyDescent="0.3">
      <c r="C6609" s="3"/>
      <c r="D6609" s="3"/>
      <c r="E6609" s="3"/>
      <c r="F6609" s="3"/>
    </row>
    <row r="6610" spans="3:6" x14ac:dyDescent="0.3">
      <c r="C6610" s="3"/>
      <c r="D6610" s="3"/>
      <c r="E6610" s="3"/>
      <c r="F6610" s="3"/>
    </row>
    <row r="6611" spans="3:6" x14ac:dyDescent="0.3">
      <c r="C6611" s="3"/>
      <c r="D6611" s="3"/>
      <c r="E6611" s="3"/>
      <c r="F6611" s="3"/>
    </row>
    <row r="6612" spans="3:6" x14ac:dyDescent="0.3">
      <c r="C6612" s="3"/>
      <c r="D6612" s="3"/>
      <c r="E6612" s="3"/>
      <c r="F6612" s="3"/>
    </row>
    <row r="6613" spans="3:6" x14ac:dyDescent="0.3">
      <c r="C6613" s="3"/>
      <c r="D6613" s="3"/>
      <c r="E6613" s="3"/>
      <c r="F6613" s="3"/>
    </row>
    <row r="6614" spans="3:6" x14ac:dyDescent="0.3">
      <c r="C6614" s="3"/>
      <c r="D6614" s="3"/>
      <c r="E6614" s="3"/>
      <c r="F6614" s="3"/>
    </row>
    <row r="6615" spans="3:6" x14ac:dyDescent="0.3">
      <c r="C6615" s="3"/>
      <c r="D6615" s="3"/>
      <c r="E6615" s="3"/>
      <c r="F6615" s="3"/>
    </row>
    <row r="6616" spans="3:6" x14ac:dyDescent="0.3">
      <c r="C6616" s="3"/>
      <c r="D6616" s="3"/>
      <c r="E6616" s="3"/>
      <c r="F6616" s="3"/>
    </row>
    <row r="6617" spans="3:6" x14ac:dyDescent="0.3">
      <c r="C6617" s="3"/>
      <c r="D6617" s="3"/>
      <c r="E6617" s="3"/>
      <c r="F6617" s="3"/>
    </row>
    <row r="6618" spans="3:6" x14ac:dyDescent="0.3">
      <c r="C6618" s="3"/>
      <c r="D6618" s="3"/>
      <c r="E6618" s="3"/>
      <c r="F6618" s="3"/>
    </row>
    <row r="6619" spans="3:6" x14ac:dyDescent="0.3">
      <c r="C6619" s="3"/>
      <c r="D6619" s="3"/>
      <c r="E6619" s="3"/>
      <c r="F6619" s="3"/>
    </row>
    <row r="6620" spans="3:6" x14ac:dyDescent="0.3">
      <c r="C6620" s="3"/>
      <c r="D6620" s="3"/>
      <c r="E6620" s="3"/>
      <c r="F6620" s="3"/>
    </row>
    <row r="6621" spans="3:6" x14ac:dyDescent="0.3">
      <c r="C6621" s="3"/>
      <c r="D6621" s="3"/>
      <c r="E6621" s="3"/>
      <c r="F6621" s="3"/>
    </row>
    <row r="6622" spans="3:6" x14ac:dyDescent="0.3">
      <c r="C6622" s="3"/>
      <c r="D6622" s="3"/>
      <c r="E6622" s="3"/>
      <c r="F6622" s="3"/>
    </row>
    <row r="6623" spans="3:6" x14ac:dyDescent="0.3">
      <c r="C6623" s="3"/>
      <c r="D6623" s="3"/>
      <c r="E6623" s="3"/>
      <c r="F6623" s="3"/>
    </row>
    <row r="6624" spans="3:6" x14ac:dyDescent="0.3">
      <c r="C6624" s="3"/>
      <c r="D6624" s="3"/>
      <c r="E6624" s="3"/>
      <c r="F6624" s="3"/>
    </row>
    <row r="6625" spans="3:6" x14ac:dyDescent="0.3">
      <c r="C6625" s="3"/>
      <c r="D6625" s="3"/>
      <c r="E6625" s="3"/>
      <c r="F6625" s="3"/>
    </row>
    <row r="6626" spans="3:6" x14ac:dyDescent="0.3">
      <c r="C6626" s="3"/>
      <c r="D6626" s="3"/>
      <c r="E6626" s="3"/>
      <c r="F6626" s="3"/>
    </row>
    <row r="6627" spans="3:6" x14ac:dyDescent="0.3">
      <c r="C6627" s="3"/>
      <c r="D6627" s="3"/>
      <c r="E6627" s="3"/>
      <c r="F6627" s="3"/>
    </row>
    <row r="6628" spans="3:6" x14ac:dyDescent="0.3">
      <c r="C6628" s="3"/>
      <c r="D6628" s="3"/>
      <c r="E6628" s="3"/>
      <c r="F6628" s="3"/>
    </row>
    <row r="6629" spans="3:6" x14ac:dyDescent="0.3">
      <c r="C6629" s="3"/>
      <c r="D6629" s="3"/>
      <c r="E6629" s="3"/>
      <c r="F6629" s="3"/>
    </row>
    <row r="6630" spans="3:6" x14ac:dyDescent="0.3">
      <c r="C6630" s="3"/>
      <c r="D6630" s="3"/>
      <c r="E6630" s="3"/>
      <c r="F6630" s="3"/>
    </row>
    <row r="6631" spans="3:6" x14ac:dyDescent="0.3">
      <c r="C6631" s="3"/>
      <c r="D6631" s="3"/>
      <c r="E6631" s="3"/>
      <c r="F6631" s="3"/>
    </row>
    <row r="6632" spans="3:6" x14ac:dyDescent="0.3">
      <c r="C6632" s="3"/>
      <c r="D6632" s="3"/>
      <c r="E6632" s="3"/>
      <c r="F6632" s="3"/>
    </row>
    <row r="6633" spans="3:6" x14ac:dyDescent="0.3">
      <c r="C6633" s="3"/>
      <c r="D6633" s="3"/>
      <c r="E6633" s="3"/>
      <c r="F6633" s="3"/>
    </row>
    <row r="6634" spans="3:6" x14ac:dyDescent="0.3">
      <c r="C6634" s="3"/>
      <c r="D6634" s="3"/>
      <c r="E6634" s="3"/>
      <c r="F6634" s="3"/>
    </row>
    <row r="6635" spans="3:6" x14ac:dyDescent="0.3">
      <c r="C6635" s="3"/>
      <c r="D6635" s="3"/>
      <c r="E6635" s="3"/>
      <c r="F6635" s="3"/>
    </row>
    <row r="6636" spans="3:6" x14ac:dyDescent="0.3">
      <c r="C6636" s="3"/>
      <c r="D6636" s="3"/>
      <c r="E6636" s="3"/>
      <c r="F6636" s="3"/>
    </row>
    <row r="6637" spans="3:6" x14ac:dyDescent="0.3">
      <c r="C6637" s="3"/>
      <c r="D6637" s="3"/>
      <c r="E6637" s="3"/>
      <c r="F6637" s="3"/>
    </row>
    <row r="6638" spans="3:6" x14ac:dyDescent="0.3">
      <c r="C6638" s="3"/>
      <c r="D6638" s="3"/>
      <c r="E6638" s="3"/>
      <c r="F6638" s="3"/>
    </row>
    <row r="6639" spans="3:6" x14ac:dyDescent="0.3">
      <c r="C6639" s="3"/>
      <c r="D6639" s="3"/>
      <c r="E6639" s="3"/>
      <c r="F6639" s="3"/>
    </row>
    <row r="6640" spans="3:6" x14ac:dyDescent="0.3">
      <c r="C6640" s="3"/>
      <c r="D6640" s="3"/>
      <c r="E6640" s="3"/>
      <c r="F6640" s="3"/>
    </row>
    <row r="6641" spans="3:6" x14ac:dyDescent="0.3">
      <c r="C6641" s="3"/>
      <c r="D6641" s="3"/>
      <c r="E6641" s="3"/>
      <c r="F6641" s="3"/>
    </row>
    <row r="6642" spans="3:6" x14ac:dyDescent="0.3">
      <c r="C6642" s="3"/>
      <c r="D6642" s="3"/>
      <c r="E6642" s="3"/>
      <c r="F6642" s="3"/>
    </row>
    <row r="6643" spans="3:6" x14ac:dyDescent="0.3">
      <c r="C6643" s="3"/>
      <c r="D6643" s="3"/>
      <c r="E6643" s="3"/>
      <c r="F6643" s="3"/>
    </row>
    <row r="6644" spans="3:6" x14ac:dyDescent="0.3">
      <c r="C6644" s="3"/>
      <c r="D6644" s="3"/>
      <c r="E6644" s="3"/>
      <c r="F6644" s="3"/>
    </row>
    <row r="6645" spans="3:6" x14ac:dyDescent="0.3">
      <c r="C6645" s="3"/>
      <c r="D6645" s="3"/>
      <c r="E6645" s="3"/>
      <c r="F6645" s="3"/>
    </row>
    <row r="6646" spans="3:6" x14ac:dyDescent="0.3">
      <c r="C6646" s="3"/>
      <c r="D6646" s="3"/>
      <c r="E6646" s="3"/>
      <c r="F6646" s="3"/>
    </row>
    <row r="6647" spans="3:6" x14ac:dyDescent="0.3">
      <c r="C6647" s="3"/>
      <c r="D6647" s="3"/>
      <c r="E6647" s="3"/>
      <c r="F6647" s="3"/>
    </row>
    <row r="6648" spans="3:6" x14ac:dyDescent="0.3">
      <c r="C6648" s="3"/>
      <c r="D6648" s="3"/>
      <c r="E6648" s="3"/>
      <c r="F6648" s="3"/>
    </row>
    <row r="6649" spans="3:6" x14ac:dyDescent="0.3">
      <c r="C6649" s="3"/>
      <c r="D6649" s="3"/>
      <c r="E6649" s="3"/>
      <c r="F6649" s="3"/>
    </row>
    <row r="6650" spans="3:6" x14ac:dyDescent="0.3">
      <c r="C6650" s="3"/>
      <c r="D6650" s="3"/>
      <c r="E6650" s="3"/>
      <c r="F6650" s="3"/>
    </row>
    <row r="6651" spans="3:6" x14ac:dyDescent="0.3">
      <c r="C6651" s="3"/>
      <c r="D6651" s="3"/>
      <c r="E6651" s="3"/>
      <c r="F6651" s="3"/>
    </row>
    <row r="6652" spans="3:6" x14ac:dyDescent="0.3">
      <c r="C6652" s="3"/>
      <c r="D6652" s="3"/>
      <c r="E6652" s="3"/>
      <c r="F6652" s="3"/>
    </row>
    <row r="6653" spans="3:6" x14ac:dyDescent="0.3">
      <c r="C6653" s="3"/>
      <c r="D6653" s="3"/>
      <c r="E6653" s="3"/>
      <c r="F6653" s="3"/>
    </row>
    <row r="6654" spans="3:6" x14ac:dyDescent="0.3">
      <c r="C6654" s="3"/>
      <c r="D6654" s="3"/>
      <c r="E6654" s="3"/>
      <c r="F6654" s="3"/>
    </row>
    <row r="6655" spans="3:6" x14ac:dyDescent="0.3">
      <c r="C6655" s="3"/>
      <c r="D6655" s="3"/>
      <c r="E6655" s="3"/>
      <c r="F6655" s="3"/>
    </row>
    <row r="6656" spans="3:6" x14ac:dyDescent="0.3">
      <c r="C6656" s="3"/>
      <c r="D6656" s="3"/>
      <c r="E6656" s="3"/>
      <c r="F6656" s="3"/>
    </row>
    <row r="6657" spans="3:6" x14ac:dyDescent="0.3">
      <c r="C6657" s="3"/>
      <c r="D6657" s="3"/>
      <c r="E6657" s="3"/>
      <c r="F6657" s="3"/>
    </row>
    <row r="6658" spans="3:6" x14ac:dyDescent="0.3">
      <c r="C6658" s="3"/>
      <c r="D6658" s="3"/>
      <c r="E6658" s="3"/>
      <c r="F6658" s="3"/>
    </row>
    <row r="6659" spans="3:6" x14ac:dyDescent="0.3">
      <c r="C6659" s="3"/>
      <c r="D6659" s="3"/>
      <c r="E6659" s="3"/>
      <c r="F6659" s="3"/>
    </row>
    <row r="6660" spans="3:6" x14ac:dyDescent="0.3">
      <c r="C6660" s="3"/>
      <c r="D6660" s="3"/>
      <c r="E6660" s="3"/>
      <c r="F6660" s="3"/>
    </row>
    <row r="6661" spans="3:6" x14ac:dyDescent="0.3">
      <c r="C6661" s="3"/>
      <c r="D6661" s="3"/>
      <c r="E6661" s="3"/>
      <c r="F6661" s="3"/>
    </row>
    <row r="6662" spans="3:6" x14ac:dyDescent="0.3">
      <c r="C6662" s="3"/>
      <c r="D6662" s="3"/>
      <c r="E6662" s="3"/>
      <c r="F6662" s="3"/>
    </row>
    <row r="6663" spans="3:6" x14ac:dyDescent="0.3">
      <c r="C6663" s="3"/>
      <c r="D6663" s="3"/>
      <c r="E6663" s="3"/>
      <c r="F6663" s="3"/>
    </row>
    <row r="6664" spans="3:6" x14ac:dyDescent="0.3">
      <c r="C6664" s="3"/>
      <c r="D6664" s="3"/>
      <c r="E6664" s="3"/>
      <c r="F6664" s="3"/>
    </row>
    <row r="6665" spans="3:6" x14ac:dyDescent="0.3">
      <c r="C6665" s="3"/>
      <c r="D6665" s="3"/>
      <c r="E6665" s="3"/>
      <c r="F6665" s="3"/>
    </row>
    <row r="6666" spans="3:6" x14ac:dyDescent="0.3">
      <c r="C6666" s="3"/>
      <c r="D6666" s="3"/>
      <c r="E6666" s="3"/>
      <c r="F6666" s="3"/>
    </row>
    <row r="6667" spans="3:6" x14ac:dyDescent="0.3">
      <c r="C6667" s="3"/>
      <c r="D6667" s="3"/>
      <c r="E6667" s="3"/>
      <c r="F6667" s="3"/>
    </row>
    <row r="6668" spans="3:6" x14ac:dyDescent="0.3">
      <c r="C6668" s="3"/>
      <c r="D6668" s="3"/>
      <c r="E6668" s="3"/>
      <c r="F6668" s="3"/>
    </row>
    <row r="6669" spans="3:6" x14ac:dyDescent="0.3">
      <c r="C6669" s="3"/>
      <c r="D6669" s="3"/>
      <c r="E6669" s="3"/>
      <c r="F6669" s="3"/>
    </row>
    <row r="6670" spans="3:6" x14ac:dyDescent="0.3">
      <c r="C6670" s="3"/>
      <c r="D6670" s="3"/>
      <c r="E6670" s="3"/>
      <c r="F6670" s="3"/>
    </row>
    <row r="6671" spans="3:6" x14ac:dyDescent="0.3">
      <c r="C6671" s="3"/>
      <c r="D6671" s="3"/>
      <c r="E6671" s="3"/>
      <c r="F6671" s="3"/>
    </row>
    <row r="6672" spans="3:6" x14ac:dyDescent="0.3">
      <c r="C6672" s="3"/>
      <c r="D6672" s="3"/>
      <c r="E6672" s="3"/>
      <c r="F6672" s="3"/>
    </row>
    <row r="6673" spans="3:6" x14ac:dyDescent="0.3">
      <c r="C6673" s="3"/>
      <c r="D6673" s="3"/>
      <c r="E6673" s="3"/>
      <c r="F6673" s="3"/>
    </row>
    <row r="6674" spans="3:6" x14ac:dyDescent="0.3">
      <c r="C6674" s="3"/>
      <c r="D6674" s="3"/>
      <c r="E6674" s="3"/>
      <c r="F6674" s="3"/>
    </row>
    <row r="6675" spans="3:6" x14ac:dyDescent="0.3">
      <c r="C6675" s="3"/>
      <c r="D6675" s="3"/>
      <c r="E6675" s="3"/>
      <c r="F6675" s="3"/>
    </row>
    <row r="6676" spans="3:6" x14ac:dyDescent="0.3">
      <c r="C6676" s="3"/>
      <c r="D6676" s="3"/>
      <c r="E6676" s="3"/>
      <c r="F6676" s="3"/>
    </row>
    <row r="6677" spans="3:6" x14ac:dyDescent="0.3">
      <c r="C6677" s="3"/>
      <c r="D6677" s="3"/>
      <c r="E6677" s="3"/>
      <c r="F6677" s="3"/>
    </row>
    <row r="6678" spans="3:6" x14ac:dyDescent="0.3">
      <c r="C6678" s="3"/>
      <c r="D6678" s="3"/>
      <c r="E6678" s="3"/>
      <c r="F6678" s="3"/>
    </row>
    <row r="6679" spans="3:6" x14ac:dyDescent="0.3">
      <c r="C6679" s="3"/>
      <c r="D6679" s="3"/>
      <c r="E6679" s="3"/>
      <c r="F6679" s="3"/>
    </row>
    <row r="6680" spans="3:6" x14ac:dyDescent="0.3">
      <c r="C6680" s="3"/>
      <c r="D6680" s="3"/>
      <c r="E6680" s="3"/>
      <c r="F6680" s="3"/>
    </row>
    <row r="6681" spans="3:6" x14ac:dyDescent="0.3">
      <c r="C6681" s="3"/>
      <c r="D6681" s="3"/>
      <c r="E6681" s="3"/>
      <c r="F6681" s="3"/>
    </row>
    <row r="6682" spans="3:6" x14ac:dyDescent="0.3">
      <c r="C6682" s="3"/>
      <c r="D6682" s="3"/>
      <c r="E6682" s="3"/>
      <c r="F6682" s="3"/>
    </row>
    <row r="6683" spans="3:6" x14ac:dyDescent="0.3">
      <c r="C6683" s="3"/>
      <c r="D6683" s="3"/>
      <c r="E6683" s="3"/>
      <c r="F6683" s="3"/>
    </row>
    <row r="6684" spans="3:6" x14ac:dyDescent="0.3">
      <c r="C6684" s="3"/>
      <c r="D6684" s="3"/>
      <c r="E6684" s="3"/>
      <c r="F6684" s="3"/>
    </row>
    <row r="6685" spans="3:6" x14ac:dyDescent="0.3">
      <c r="C6685" s="3"/>
      <c r="D6685" s="3"/>
      <c r="E6685" s="3"/>
      <c r="F6685" s="3"/>
    </row>
    <row r="6686" spans="3:6" x14ac:dyDescent="0.3">
      <c r="C6686" s="3"/>
      <c r="D6686" s="3"/>
      <c r="E6686" s="3"/>
      <c r="F6686" s="3"/>
    </row>
    <row r="6687" spans="3:6" x14ac:dyDescent="0.3">
      <c r="C6687" s="3"/>
      <c r="D6687" s="3"/>
      <c r="E6687" s="3"/>
      <c r="F6687" s="3"/>
    </row>
    <row r="6688" spans="3:6" x14ac:dyDescent="0.3">
      <c r="C6688" s="3"/>
      <c r="D6688" s="3"/>
      <c r="E6688" s="3"/>
      <c r="F6688" s="3"/>
    </row>
    <row r="6689" spans="3:6" x14ac:dyDescent="0.3">
      <c r="C6689" s="3"/>
      <c r="D6689" s="3"/>
      <c r="E6689" s="3"/>
      <c r="F6689" s="3"/>
    </row>
    <row r="6690" spans="3:6" x14ac:dyDescent="0.3">
      <c r="C6690" s="3"/>
      <c r="D6690" s="3"/>
      <c r="E6690" s="3"/>
      <c r="F6690" s="3"/>
    </row>
    <row r="6691" spans="3:6" x14ac:dyDescent="0.3">
      <c r="C6691" s="3"/>
      <c r="D6691" s="3"/>
      <c r="E6691" s="3"/>
      <c r="F6691" s="3"/>
    </row>
    <row r="6692" spans="3:6" x14ac:dyDescent="0.3">
      <c r="C6692" s="3"/>
      <c r="D6692" s="3"/>
      <c r="E6692" s="3"/>
      <c r="F6692" s="3"/>
    </row>
    <row r="6693" spans="3:6" x14ac:dyDescent="0.3">
      <c r="C6693" s="3"/>
      <c r="D6693" s="3"/>
      <c r="E6693" s="3"/>
      <c r="F6693" s="3"/>
    </row>
    <row r="6694" spans="3:6" x14ac:dyDescent="0.3">
      <c r="C6694" s="3"/>
      <c r="D6694" s="3"/>
      <c r="E6694" s="3"/>
      <c r="F6694" s="3"/>
    </row>
    <row r="6695" spans="3:6" x14ac:dyDescent="0.3">
      <c r="C6695" s="3"/>
      <c r="D6695" s="3"/>
      <c r="E6695" s="3"/>
      <c r="F6695" s="3"/>
    </row>
    <row r="6696" spans="3:6" x14ac:dyDescent="0.3">
      <c r="C6696" s="3"/>
      <c r="D6696" s="3"/>
      <c r="E6696" s="3"/>
      <c r="F6696" s="3"/>
    </row>
    <row r="6697" spans="3:6" x14ac:dyDescent="0.3">
      <c r="C6697" s="3"/>
      <c r="D6697" s="3"/>
      <c r="E6697" s="3"/>
      <c r="F6697" s="3"/>
    </row>
    <row r="6698" spans="3:6" x14ac:dyDescent="0.3">
      <c r="C6698" s="3"/>
      <c r="D6698" s="3"/>
      <c r="E6698" s="3"/>
      <c r="F6698" s="3"/>
    </row>
    <row r="6699" spans="3:6" x14ac:dyDescent="0.3">
      <c r="C6699" s="3"/>
      <c r="D6699" s="3"/>
      <c r="E6699" s="3"/>
      <c r="F6699" s="3"/>
    </row>
    <row r="6700" spans="3:6" x14ac:dyDescent="0.3">
      <c r="C6700" s="3"/>
      <c r="D6700" s="3"/>
      <c r="E6700" s="3"/>
      <c r="F6700" s="3"/>
    </row>
    <row r="6701" spans="3:6" x14ac:dyDescent="0.3">
      <c r="C6701" s="3"/>
      <c r="D6701" s="3"/>
      <c r="E6701" s="3"/>
      <c r="F6701" s="3"/>
    </row>
    <row r="6702" spans="3:6" x14ac:dyDescent="0.3">
      <c r="C6702" s="3"/>
      <c r="D6702" s="3"/>
      <c r="E6702" s="3"/>
      <c r="F6702" s="3"/>
    </row>
    <row r="6703" spans="3:6" x14ac:dyDescent="0.3">
      <c r="C6703" s="3"/>
      <c r="D6703" s="3"/>
      <c r="E6703" s="3"/>
      <c r="F6703" s="3"/>
    </row>
    <row r="6704" spans="3:6" x14ac:dyDescent="0.3">
      <c r="C6704" s="3"/>
      <c r="D6704" s="3"/>
      <c r="E6704" s="3"/>
      <c r="F6704" s="3"/>
    </row>
    <row r="6705" spans="3:6" x14ac:dyDescent="0.3">
      <c r="C6705" s="3"/>
      <c r="D6705" s="3"/>
      <c r="E6705" s="3"/>
      <c r="F6705" s="3"/>
    </row>
    <row r="6706" spans="3:6" x14ac:dyDescent="0.3">
      <c r="C6706" s="3"/>
      <c r="D6706" s="3"/>
      <c r="E6706" s="3"/>
      <c r="F6706" s="3"/>
    </row>
    <row r="6707" spans="3:6" x14ac:dyDescent="0.3">
      <c r="C6707" s="3"/>
      <c r="D6707" s="3"/>
      <c r="E6707" s="3"/>
      <c r="F6707" s="3"/>
    </row>
    <row r="6708" spans="3:6" x14ac:dyDescent="0.3">
      <c r="C6708" s="3"/>
      <c r="D6708" s="3"/>
      <c r="E6708" s="3"/>
      <c r="F6708" s="3"/>
    </row>
    <row r="6709" spans="3:6" x14ac:dyDescent="0.3">
      <c r="C6709" s="3"/>
      <c r="D6709" s="3"/>
      <c r="E6709" s="3"/>
      <c r="F6709" s="3"/>
    </row>
    <row r="6710" spans="3:6" x14ac:dyDescent="0.3">
      <c r="C6710" s="3"/>
      <c r="D6710" s="3"/>
      <c r="E6710" s="3"/>
      <c r="F6710" s="3"/>
    </row>
    <row r="6711" spans="3:6" x14ac:dyDescent="0.3">
      <c r="C6711" s="3"/>
      <c r="D6711" s="3"/>
      <c r="E6711" s="3"/>
      <c r="F6711" s="3"/>
    </row>
    <row r="6712" spans="3:6" x14ac:dyDescent="0.3">
      <c r="C6712" s="3"/>
      <c r="D6712" s="3"/>
      <c r="E6712" s="3"/>
      <c r="F6712" s="3"/>
    </row>
    <row r="6713" spans="3:6" x14ac:dyDescent="0.3">
      <c r="C6713" s="3"/>
      <c r="D6713" s="3"/>
      <c r="E6713" s="3"/>
      <c r="F6713" s="3"/>
    </row>
    <row r="6714" spans="3:6" x14ac:dyDescent="0.3">
      <c r="C6714" s="3"/>
      <c r="D6714" s="3"/>
      <c r="E6714" s="3"/>
      <c r="F6714" s="3"/>
    </row>
    <row r="6715" spans="3:6" x14ac:dyDescent="0.3">
      <c r="C6715" s="3"/>
      <c r="D6715" s="3"/>
      <c r="E6715" s="3"/>
      <c r="F6715" s="3"/>
    </row>
    <row r="6716" spans="3:6" x14ac:dyDescent="0.3">
      <c r="C6716" s="3"/>
      <c r="D6716" s="3"/>
      <c r="E6716" s="3"/>
      <c r="F6716" s="3"/>
    </row>
    <row r="6717" spans="3:6" x14ac:dyDescent="0.3">
      <c r="C6717" s="3"/>
      <c r="D6717" s="3"/>
      <c r="E6717" s="3"/>
      <c r="F6717" s="3"/>
    </row>
    <row r="6718" spans="3:6" x14ac:dyDescent="0.3">
      <c r="C6718" s="3"/>
      <c r="D6718" s="3"/>
      <c r="E6718" s="3"/>
      <c r="F6718" s="3"/>
    </row>
    <row r="6719" spans="3:6" x14ac:dyDescent="0.3">
      <c r="C6719" s="3"/>
      <c r="D6719" s="3"/>
      <c r="E6719" s="3"/>
      <c r="F6719" s="3"/>
    </row>
    <row r="6720" spans="3:6" x14ac:dyDescent="0.3">
      <c r="C6720" s="3"/>
      <c r="D6720" s="3"/>
      <c r="E6720" s="3"/>
      <c r="F6720" s="3"/>
    </row>
    <row r="6721" spans="3:6" x14ac:dyDescent="0.3">
      <c r="C6721" s="3"/>
      <c r="D6721" s="3"/>
      <c r="E6721" s="3"/>
      <c r="F6721" s="3"/>
    </row>
    <row r="6722" spans="3:6" x14ac:dyDescent="0.3">
      <c r="C6722" s="3"/>
      <c r="D6722" s="3"/>
      <c r="E6722" s="3"/>
      <c r="F6722" s="3"/>
    </row>
    <row r="6723" spans="3:6" x14ac:dyDescent="0.3">
      <c r="C6723" s="3"/>
      <c r="D6723" s="3"/>
      <c r="E6723" s="3"/>
      <c r="F6723" s="3"/>
    </row>
    <row r="6724" spans="3:6" x14ac:dyDescent="0.3">
      <c r="C6724" s="3"/>
      <c r="D6724" s="3"/>
      <c r="E6724" s="3"/>
      <c r="F6724" s="3"/>
    </row>
    <row r="6725" spans="3:6" x14ac:dyDescent="0.3">
      <c r="C6725" s="3"/>
      <c r="D6725" s="3"/>
      <c r="E6725" s="3"/>
      <c r="F6725" s="3"/>
    </row>
    <row r="6726" spans="3:6" x14ac:dyDescent="0.3">
      <c r="C6726" s="3"/>
      <c r="D6726" s="3"/>
      <c r="E6726" s="3"/>
      <c r="F6726" s="3"/>
    </row>
    <row r="6727" spans="3:6" x14ac:dyDescent="0.3">
      <c r="C6727" s="3"/>
      <c r="D6727" s="3"/>
      <c r="E6727" s="3"/>
      <c r="F6727" s="3"/>
    </row>
    <row r="6728" spans="3:6" x14ac:dyDescent="0.3">
      <c r="C6728" s="3"/>
      <c r="D6728" s="3"/>
      <c r="E6728" s="3"/>
      <c r="F6728" s="3"/>
    </row>
    <row r="6729" spans="3:6" x14ac:dyDescent="0.3">
      <c r="C6729" s="3"/>
      <c r="D6729" s="3"/>
      <c r="E6729" s="3"/>
      <c r="F6729" s="3"/>
    </row>
    <row r="6730" spans="3:6" x14ac:dyDescent="0.3">
      <c r="C6730" s="3"/>
      <c r="D6730" s="3"/>
      <c r="E6730" s="3"/>
      <c r="F6730" s="3"/>
    </row>
    <row r="6731" spans="3:6" x14ac:dyDescent="0.3">
      <c r="C6731" s="3"/>
      <c r="D6731" s="3"/>
      <c r="E6731" s="3"/>
      <c r="F6731" s="3"/>
    </row>
    <row r="6732" spans="3:6" x14ac:dyDescent="0.3">
      <c r="C6732" s="3"/>
      <c r="D6732" s="3"/>
      <c r="E6732" s="3"/>
      <c r="F6732" s="3"/>
    </row>
    <row r="6733" spans="3:6" x14ac:dyDescent="0.3">
      <c r="C6733" s="3"/>
      <c r="D6733" s="3"/>
      <c r="E6733" s="3"/>
      <c r="F6733" s="3"/>
    </row>
    <row r="6734" spans="3:6" x14ac:dyDescent="0.3">
      <c r="C6734" s="3"/>
      <c r="D6734" s="3"/>
      <c r="E6734" s="3"/>
      <c r="F6734" s="3"/>
    </row>
    <row r="6735" spans="3:6" x14ac:dyDescent="0.3">
      <c r="C6735" s="3"/>
      <c r="D6735" s="3"/>
      <c r="E6735" s="3"/>
      <c r="F6735" s="3"/>
    </row>
    <row r="6736" spans="3:6" x14ac:dyDescent="0.3">
      <c r="C6736" s="3"/>
      <c r="D6736" s="3"/>
      <c r="E6736" s="3"/>
      <c r="F6736" s="3"/>
    </row>
    <row r="6737" spans="3:6" x14ac:dyDescent="0.3">
      <c r="C6737" s="3"/>
      <c r="D6737" s="3"/>
      <c r="E6737" s="3"/>
      <c r="F6737" s="3"/>
    </row>
    <row r="6738" spans="3:6" x14ac:dyDescent="0.3">
      <c r="C6738" s="3"/>
      <c r="D6738" s="3"/>
      <c r="E6738" s="3"/>
      <c r="F6738" s="3"/>
    </row>
    <row r="6739" spans="3:6" x14ac:dyDescent="0.3">
      <c r="C6739" s="3"/>
      <c r="D6739" s="3"/>
      <c r="E6739" s="3"/>
      <c r="F6739" s="3"/>
    </row>
    <row r="6740" spans="3:6" x14ac:dyDescent="0.3">
      <c r="C6740" s="3"/>
      <c r="D6740" s="3"/>
      <c r="E6740" s="3"/>
      <c r="F6740" s="3"/>
    </row>
    <row r="6741" spans="3:6" x14ac:dyDescent="0.3">
      <c r="C6741" s="3"/>
      <c r="D6741" s="3"/>
      <c r="E6741" s="3"/>
      <c r="F6741" s="3"/>
    </row>
    <row r="6742" spans="3:6" x14ac:dyDescent="0.3">
      <c r="C6742" s="3"/>
      <c r="D6742" s="3"/>
      <c r="E6742" s="3"/>
      <c r="F6742" s="3"/>
    </row>
    <row r="6743" spans="3:6" x14ac:dyDescent="0.3">
      <c r="C6743" s="3"/>
      <c r="D6743" s="3"/>
      <c r="E6743" s="3"/>
      <c r="F6743" s="3"/>
    </row>
    <row r="6744" spans="3:6" x14ac:dyDescent="0.3">
      <c r="C6744" s="3"/>
      <c r="D6744" s="3"/>
      <c r="E6744" s="3"/>
      <c r="F6744" s="3"/>
    </row>
    <row r="6745" spans="3:6" x14ac:dyDescent="0.3">
      <c r="C6745" s="3"/>
      <c r="D6745" s="3"/>
      <c r="E6745" s="3"/>
      <c r="F6745" s="3"/>
    </row>
    <row r="6746" spans="3:6" x14ac:dyDescent="0.3">
      <c r="C6746" s="3"/>
      <c r="D6746" s="3"/>
      <c r="E6746" s="3"/>
      <c r="F6746" s="3"/>
    </row>
    <row r="6747" spans="3:6" x14ac:dyDescent="0.3">
      <c r="C6747" s="3"/>
      <c r="D6747" s="3"/>
      <c r="E6747" s="3"/>
      <c r="F6747" s="3"/>
    </row>
    <row r="6748" spans="3:6" x14ac:dyDescent="0.3">
      <c r="C6748" s="3"/>
      <c r="D6748" s="3"/>
      <c r="E6748" s="3"/>
      <c r="F6748" s="3"/>
    </row>
    <row r="6749" spans="3:6" x14ac:dyDescent="0.3">
      <c r="C6749" s="3"/>
      <c r="D6749" s="3"/>
      <c r="E6749" s="3"/>
      <c r="F6749" s="3"/>
    </row>
    <row r="6750" spans="3:6" x14ac:dyDescent="0.3">
      <c r="C6750" s="3"/>
      <c r="D6750" s="3"/>
      <c r="E6750" s="3"/>
      <c r="F6750" s="3"/>
    </row>
    <row r="6751" spans="3:6" x14ac:dyDescent="0.3">
      <c r="C6751" s="3"/>
      <c r="D6751" s="3"/>
      <c r="E6751" s="3"/>
      <c r="F6751" s="3"/>
    </row>
    <row r="6752" spans="3:6" x14ac:dyDescent="0.3">
      <c r="C6752" s="3"/>
      <c r="D6752" s="3"/>
      <c r="E6752" s="3"/>
      <c r="F6752" s="3"/>
    </row>
    <row r="6753" spans="3:6" x14ac:dyDescent="0.3">
      <c r="C6753" s="3"/>
      <c r="D6753" s="3"/>
      <c r="E6753" s="3"/>
      <c r="F6753" s="3"/>
    </row>
    <row r="6754" spans="3:6" x14ac:dyDescent="0.3">
      <c r="C6754" s="3"/>
      <c r="D6754" s="3"/>
      <c r="E6754" s="3"/>
      <c r="F6754" s="3"/>
    </row>
    <row r="6755" spans="3:6" x14ac:dyDescent="0.3">
      <c r="C6755" s="3"/>
      <c r="D6755" s="3"/>
      <c r="E6755" s="3"/>
      <c r="F6755" s="3"/>
    </row>
    <row r="6756" spans="3:6" x14ac:dyDescent="0.3">
      <c r="C6756" s="3"/>
      <c r="D6756" s="3"/>
      <c r="E6756" s="3"/>
      <c r="F6756" s="3"/>
    </row>
    <row r="6757" spans="3:6" x14ac:dyDescent="0.3">
      <c r="C6757" s="3"/>
      <c r="D6757" s="3"/>
      <c r="E6757" s="3"/>
      <c r="F6757" s="3"/>
    </row>
    <row r="6758" spans="3:6" x14ac:dyDescent="0.3">
      <c r="C6758" s="3"/>
      <c r="D6758" s="3"/>
      <c r="E6758" s="3"/>
      <c r="F6758" s="3"/>
    </row>
    <row r="6759" spans="3:6" x14ac:dyDescent="0.3">
      <c r="C6759" s="3"/>
      <c r="D6759" s="3"/>
      <c r="E6759" s="3"/>
      <c r="F6759" s="3"/>
    </row>
    <row r="6760" spans="3:6" x14ac:dyDescent="0.3">
      <c r="C6760" s="3"/>
      <c r="D6760" s="3"/>
      <c r="E6760" s="3"/>
      <c r="F6760" s="3"/>
    </row>
    <row r="6761" spans="3:6" x14ac:dyDescent="0.3">
      <c r="C6761" s="3"/>
      <c r="D6761" s="3"/>
      <c r="E6761" s="3"/>
      <c r="F6761" s="3"/>
    </row>
    <row r="6762" spans="3:6" x14ac:dyDescent="0.3">
      <c r="C6762" s="3"/>
      <c r="D6762" s="3"/>
      <c r="E6762" s="3"/>
      <c r="F6762" s="3"/>
    </row>
    <row r="6763" spans="3:6" x14ac:dyDescent="0.3">
      <c r="C6763" s="3"/>
      <c r="D6763" s="3"/>
      <c r="E6763" s="3"/>
      <c r="F6763" s="3"/>
    </row>
    <row r="6764" spans="3:6" x14ac:dyDescent="0.3">
      <c r="C6764" s="3"/>
      <c r="D6764" s="3"/>
      <c r="E6764" s="3"/>
      <c r="F6764" s="3"/>
    </row>
    <row r="6765" spans="3:6" x14ac:dyDescent="0.3">
      <c r="C6765" s="3"/>
      <c r="D6765" s="3"/>
      <c r="E6765" s="3"/>
      <c r="F6765" s="3"/>
    </row>
    <row r="6766" spans="3:6" x14ac:dyDescent="0.3">
      <c r="C6766" s="3"/>
      <c r="D6766" s="3"/>
      <c r="E6766" s="3"/>
      <c r="F6766" s="3"/>
    </row>
    <row r="6767" spans="3:6" x14ac:dyDescent="0.3">
      <c r="C6767" s="3"/>
      <c r="D6767" s="3"/>
      <c r="E6767" s="3"/>
      <c r="F6767" s="3"/>
    </row>
    <row r="6768" spans="3:6" x14ac:dyDescent="0.3">
      <c r="C6768" s="3"/>
      <c r="D6768" s="3"/>
      <c r="E6768" s="3"/>
      <c r="F6768" s="3"/>
    </row>
    <row r="6769" spans="3:6" x14ac:dyDescent="0.3">
      <c r="C6769" s="3"/>
      <c r="D6769" s="3"/>
      <c r="E6769" s="3"/>
      <c r="F6769" s="3"/>
    </row>
    <row r="6770" spans="3:6" x14ac:dyDescent="0.3">
      <c r="C6770" s="3"/>
      <c r="D6770" s="3"/>
      <c r="E6770" s="3"/>
      <c r="F6770" s="3"/>
    </row>
    <row r="6771" spans="3:6" x14ac:dyDescent="0.3">
      <c r="C6771" s="3"/>
      <c r="D6771" s="3"/>
      <c r="E6771" s="3"/>
      <c r="F6771" s="3"/>
    </row>
    <row r="6772" spans="3:6" x14ac:dyDescent="0.3">
      <c r="C6772" s="3"/>
      <c r="D6772" s="3"/>
      <c r="E6772" s="3"/>
      <c r="F6772" s="3"/>
    </row>
    <row r="6773" spans="3:6" x14ac:dyDescent="0.3">
      <c r="C6773" s="3"/>
      <c r="D6773" s="3"/>
      <c r="E6773" s="3"/>
      <c r="F6773" s="3"/>
    </row>
    <row r="6774" spans="3:6" x14ac:dyDescent="0.3">
      <c r="C6774" s="3"/>
      <c r="D6774" s="3"/>
      <c r="E6774" s="3"/>
      <c r="F6774" s="3"/>
    </row>
    <row r="6775" spans="3:6" x14ac:dyDescent="0.3">
      <c r="C6775" s="3"/>
      <c r="D6775" s="3"/>
      <c r="E6775" s="3"/>
      <c r="F6775" s="3"/>
    </row>
    <row r="6776" spans="3:6" x14ac:dyDescent="0.3">
      <c r="C6776" s="3"/>
      <c r="D6776" s="3"/>
      <c r="E6776" s="3"/>
      <c r="F6776" s="3"/>
    </row>
    <row r="6777" spans="3:6" x14ac:dyDescent="0.3">
      <c r="C6777" s="3"/>
      <c r="D6777" s="3"/>
      <c r="E6777" s="3"/>
      <c r="F6777" s="3"/>
    </row>
    <row r="6778" spans="3:6" x14ac:dyDescent="0.3">
      <c r="C6778" s="3"/>
      <c r="D6778" s="3"/>
      <c r="E6778" s="3"/>
      <c r="F6778" s="3"/>
    </row>
    <row r="6779" spans="3:6" x14ac:dyDescent="0.3">
      <c r="C6779" s="3"/>
      <c r="D6779" s="3"/>
      <c r="E6779" s="3"/>
      <c r="F6779" s="3"/>
    </row>
    <row r="6780" spans="3:6" x14ac:dyDescent="0.3">
      <c r="C6780" s="3"/>
      <c r="D6780" s="3"/>
      <c r="E6780" s="3"/>
      <c r="F6780" s="3"/>
    </row>
    <row r="6781" spans="3:6" x14ac:dyDescent="0.3">
      <c r="C6781" s="3"/>
      <c r="D6781" s="3"/>
      <c r="E6781" s="3"/>
      <c r="F6781" s="3"/>
    </row>
    <row r="6782" spans="3:6" x14ac:dyDescent="0.3">
      <c r="C6782" s="3"/>
      <c r="D6782" s="3"/>
      <c r="E6782" s="3"/>
      <c r="F6782" s="3"/>
    </row>
    <row r="6783" spans="3:6" x14ac:dyDescent="0.3">
      <c r="C6783" s="3"/>
      <c r="D6783" s="3"/>
      <c r="E6783" s="3"/>
      <c r="F6783" s="3"/>
    </row>
    <row r="6784" spans="3:6" x14ac:dyDescent="0.3">
      <c r="C6784" s="3"/>
      <c r="D6784" s="3"/>
      <c r="E6784" s="3"/>
      <c r="F6784" s="3"/>
    </row>
    <row r="6785" spans="3:6" x14ac:dyDescent="0.3">
      <c r="C6785" s="3"/>
      <c r="D6785" s="3"/>
      <c r="E6785" s="3"/>
      <c r="F6785" s="3"/>
    </row>
    <row r="6786" spans="3:6" x14ac:dyDescent="0.3">
      <c r="C6786" s="3"/>
      <c r="D6786" s="3"/>
      <c r="E6786" s="3"/>
      <c r="F6786" s="3"/>
    </row>
    <row r="6787" spans="3:6" x14ac:dyDescent="0.3">
      <c r="C6787" s="3"/>
      <c r="D6787" s="3"/>
      <c r="E6787" s="3"/>
      <c r="F6787" s="3"/>
    </row>
    <row r="6788" spans="3:6" x14ac:dyDescent="0.3">
      <c r="C6788" s="3"/>
      <c r="D6788" s="3"/>
      <c r="E6788" s="3"/>
      <c r="F6788" s="3"/>
    </row>
    <row r="6789" spans="3:6" x14ac:dyDescent="0.3">
      <c r="C6789" s="3"/>
      <c r="D6789" s="3"/>
      <c r="E6789" s="3"/>
      <c r="F6789" s="3"/>
    </row>
    <row r="6790" spans="3:6" x14ac:dyDescent="0.3">
      <c r="C6790" s="3"/>
      <c r="D6790" s="3"/>
      <c r="E6790" s="3"/>
      <c r="F6790" s="3"/>
    </row>
    <row r="6791" spans="3:6" x14ac:dyDescent="0.3">
      <c r="C6791" s="3"/>
      <c r="D6791" s="3"/>
      <c r="E6791" s="3"/>
      <c r="F6791" s="3"/>
    </row>
    <row r="6792" spans="3:6" x14ac:dyDescent="0.3">
      <c r="C6792" s="3"/>
      <c r="D6792" s="3"/>
      <c r="E6792" s="3"/>
      <c r="F6792" s="3"/>
    </row>
    <row r="6793" spans="3:6" x14ac:dyDescent="0.3">
      <c r="C6793" s="3"/>
      <c r="D6793" s="3"/>
      <c r="E6793" s="3"/>
      <c r="F6793" s="3"/>
    </row>
    <row r="6794" spans="3:6" x14ac:dyDescent="0.3">
      <c r="C6794" s="3"/>
      <c r="D6794" s="3"/>
      <c r="E6794" s="3"/>
      <c r="F6794" s="3"/>
    </row>
    <row r="6795" spans="3:6" x14ac:dyDescent="0.3">
      <c r="C6795" s="3"/>
      <c r="D6795" s="3"/>
      <c r="E6795" s="3"/>
      <c r="F6795" s="3"/>
    </row>
    <row r="6796" spans="3:6" x14ac:dyDescent="0.3">
      <c r="C6796" s="3"/>
      <c r="D6796" s="3"/>
      <c r="E6796" s="3"/>
      <c r="F6796" s="3"/>
    </row>
    <row r="6797" spans="3:6" x14ac:dyDescent="0.3">
      <c r="C6797" s="3"/>
      <c r="D6797" s="3"/>
      <c r="E6797" s="3"/>
      <c r="F6797" s="3"/>
    </row>
    <row r="6798" spans="3:6" x14ac:dyDescent="0.3">
      <c r="C6798" s="3"/>
      <c r="D6798" s="3"/>
      <c r="E6798" s="3"/>
      <c r="F6798" s="3"/>
    </row>
    <row r="6799" spans="3:6" x14ac:dyDescent="0.3">
      <c r="C6799" s="3"/>
      <c r="D6799" s="3"/>
      <c r="E6799" s="3"/>
      <c r="F6799" s="3"/>
    </row>
    <row r="6800" spans="3:6" x14ac:dyDescent="0.3">
      <c r="C6800" s="3"/>
      <c r="D6800" s="3"/>
      <c r="E6800" s="3"/>
      <c r="F6800" s="3"/>
    </row>
    <row r="6801" spans="3:6" x14ac:dyDescent="0.3">
      <c r="C6801" s="3"/>
      <c r="D6801" s="3"/>
      <c r="E6801" s="3"/>
      <c r="F6801" s="3"/>
    </row>
    <row r="6802" spans="3:6" x14ac:dyDescent="0.3">
      <c r="C6802" s="3"/>
      <c r="D6802" s="3"/>
      <c r="E6802" s="3"/>
      <c r="F6802" s="3"/>
    </row>
    <row r="6803" spans="3:6" x14ac:dyDescent="0.3">
      <c r="C6803" s="3"/>
      <c r="D6803" s="3"/>
      <c r="E6803" s="3"/>
      <c r="F6803" s="3"/>
    </row>
    <row r="6804" spans="3:6" x14ac:dyDescent="0.3">
      <c r="C6804" s="3"/>
      <c r="D6804" s="3"/>
      <c r="E6804" s="3"/>
      <c r="F6804" s="3"/>
    </row>
    <row r="6805" spans="3:6" x14ac:dyDescent="0.3">
      <c r="C6805" s="3"/>
      <c r="D6805" s="3"/>
      <c r="E6805" s="3"/>
      <c r="F6805" s="3"/>
    </row>
    <row r="6806" spans="3:6" x14ac:dyDescent="0.3">
      <c r="C6806" s="3"/>
      <c r="D6806" s="3"/>
      <c r="E6806" s="3"/>
      <c r="F6806" s="3"/>
    </row>
    <row r="6807" spans="3:6" x14ac:dyDescent="0.3">
      <c r="C6807" s="3"/>
      <c r="D6807" s="3"/>
      <c r="E6807" s="3"/>
      <c r="F6807" s="3"/>
    </row>
    <row r="6808" spans="3:6" x14ac:dyDescent="0.3">
      <c r="C6808" s="3"/>
      <c r="D6808" s="3"/>
      <c r="E6808" s="3"/>
      <c r="F6808" s="3"/>
    </row>
    <row r="6809" spans="3:6" x14ac:dyDescent="0.3">
      <c r="C6809" s="3"/>
      <c r="D6809" s="3"/>
      <c r="E6809" s="3"/>
      <c r="F6809" s="3"/>
    </row>
    <row r="6810" spans="3:6" x14ac:dyDescent="0.3">
      <c r="C6810" s="3"/>
      <c r="D6810" s="3"/>
      <c r="E6810" s="3"/>
      <c r="F6810" s="3"/>
    </row>
    <row r="6811" spans="3:6" x14ac:dyDescent="0.3">
      <c r="C6811" s="3"/>
      <c r="D6811" s="3"/>
      <c r="E6811" s="3"/>
      <c r="F6811" s="3"/>
    </row>
    <row r="6812" spans="3:6" x14ac:dyDescent="0.3">
      <c r="C6812" s="3"/>
      <c r="D6812" s="3"/>
      <c r="E6812" s="3"/>
      <c r="F6812" s="3"/>
    </row>
    <row r="6813" spans="3:6" x14ac:dyDescent="0.3">
      <c r="C6813" s="3"/>
      <c r="D6813" s="3"/>
      <c r="E6813" s="3"/>
      <c r="F6813" s="3"/>
    </row>
    <row r="6814" spans="3:6" x14ac:dyDescent="0.3">
      <c r="C6814" s="3"/>
      <c r="D6814" s="3"/>
      <c r="E6814" s="3"/>
      <c r="F6814" s="3"/>
    </row>
    <row r="6815" spans="3:6" x14ac:dyDescent="0.3">
      <c r="C6815" s="3"/>
      <c r="D6815" s="3"/>
      <c r="E6815" s="3"/>
      <c r="F6815" s="3"/>
    </row>
    <row r="6816" spans="3:6" x14ac:dyDescent="0.3">
      <c r="C6816" s="3"/>
      <c r="D6816" s="3"/>
      <c r="E6816" s="3"/>
      <c r="F6816" s="3"/>
    </row>
    <row r="6817" spans="3:6" x14ac:dyDescent="0.3">
      <c r="C6817" s="3"/>
      <c r="D6817" s="3"/>
      <c r="E6817" s="3"/>
      <c r="F6817" s="3"/>
    </row>
    <row r="6818" spans="3:6" x14ac:dyDescent="0.3">
      <c r="C6818" s="3"/>
      <c r="D6818" s="3"/>
      <c r="E6818" s="3"/>
      <c r="F6818" s="3"/>
    </row>
    <row r="6819" spans="3:6" x14ac:dyDescent="0.3">
      <c r="C6819" s="3"/>
      <c r="D6819" s="3"/>
      <c r="E6819" s="3"/>
      <c r="F6819" s="3"/>
    </row>
    <row r="6820" spans="3:6" x14ac:dyDescent="0.3">
      <c r="C6820" s="3"/>
      <c r="D6820" s="3"/>
      <c r="E6820" s="3"/>
      <c r="F6820" s="3"/>
    </row>
    <row r="6821" spans="3:6" x14ac:dyDescent="0.3">
      <c r="C6821" s="3"/>
      <c r="D6821" s="3"/>
      <c r="E6821" s="3"/>
      <c r="F6821" s="3"/>
    </row>
    <row r="6822" spans="3:6" x14ac:dyDescent="0.3">
      <c r="C6822" s="3"/>
      <c r="D6822" s="3"/>
      <c r="E6822" s="3"/>
      <c r="F6822" s="3"/>
    </row>
    <row r="6823" spans="3:6" x14ac:dyDescent="0.3">
      <c r="C6823" s="3"/>
      <c r="D6823" s="3"/>
      <c r="E6823" s="3"/>
      <c r="F6823" s="3"/>
    </row>
    <row r="6824" spans="3:6" x14ac:dyDescent="0.3">
      <c r="C6824" s="3"/>
      <c r="D6824" s="3"/>
      <c r="E6824" s="3"/>
      <c r="F6824" s="3"/>
    </row>
    <row r="6825" spans="3:6" x14ac:dyDescent="0.3">
      <c r="C6825" s="3"/>
      <c r="D6825" s="3"/>
      <c r="E6825" s="3"/>
      <c r="F6825" s="3"/>
    </row>
    <row r="6826" spans="3:6" x14ac:dyDescent="0.3">
      <c r="C6826" s="3"/>
      <c r="D6826" s="3"/>
      <c r="E6826" s="3"/>
      <c r="F6826" s="3"/>
    </row>
    <row r="6827" spans="3:6" x14ac:dyDescent="0.3">
      <c r="C6827" s="3"/>
      <c r="D6827" s="3"/>
      <c r="E6827" s="3"/>
      <c r="F6827" s="3"/>
    </row>
    <row r="6828" spans="3:6" x14ac:dyDescent="0.3">
      <c r="C6828" s="3"/>
      <c r="D6828" s="3"/>
      <c r="E6828" s="3"/>
      <c r="F6828" s="3"/>
    </row>
    <row r="6829" spans="3:6" x14ac:dyDescent="0.3">
      <c r="C6829" s="3"/>
      <c r="D6829" s="3"/>
      <c r="E6829" s="3"/>
      <c r="F6829" s="3"/>
    </row>
    <row r="6830" spans="3:6" x14ac:dyDescent="0.3">
      <c r="C6830" s="3"/>
      <c r="D6830" s="3"/>
      <c r="E6830" s="3"/>
      <c r="F6830" s="3"/>
    </row>
    <row r="6831" spans="3:6" x14ac:dyDescent="0.3">
      <c r="C6831" s="3"/>
      <c r="D6831" s="3"/>
      <c r="E6831" s="3"/>
      <c r="F6831" s="3"/>
    </row>
    <row r="6832" spans="3:6" x14ac:dyDescent="0.3">
      <c r="C6832" s="3"/>
      <c r="D6832" s="3"/>
      <c r="E6832" s="3"/>
      <c r="F6832" s="3"/>
    </row>
    <row r="6833" spans="3:6" x14ac:dyDescent="0.3">
      <c r="C6833" s="3"/>
      <c r="D6833" s="3"/>
      <c r="E6833" s="3"/>
      <c r="F6833" s="3"/>
    </row>
    <row r="6834" spans="3:6" x14ac:dyDescent="0.3">
      <c r="C6834" s="3"/>
      <c r="D6834" s="3"/>
      <c r="E6834" s="3"/>
      <c r="F6834" s="3"/>
    </row>
    <row r="6835" spans="3:6" x14ac:dyDescent="0.3">
      <c r="C6835" s="3"/>
      <c r="D6835" s="3"/>
      <c r="E6835" s="3"/>
      <c r="F6835" s="3"/>
    </row>
    <row r="6836" spans="3:6" x14ac:dyDescent="0.3">
      <c r="C6836" s="3"/>
      <c r="D6836" s="3"/>
      <c r="E6836" s="3"/>
      <c r="F6836" s="3"/>
    </row>
    <row r="6837" spans="3:6" x14ac:dyDescent="0.3">
      <c r="C6837" s="3"/>
      <c r="D6837" s="3"/>
      <c r="E6837" s="3"/>
      <c r="F6837" s="3"/>
    </row>
    <row r="6838" spans="3:6" x14ac:dyDescent="0.3">
      <c r="C6838" s="3"/>
      <c r="D6838" s="3"/>
      <c r="E6838" s="3"/>
      <c r="F6838" s="3"/>
    </row>
    <row r="6839" spans="3:6" x14ac:dyDescent="0.3">
      <c r="C6839" s="3"/>
      <c r="D6839" s="3"/>
      <c r="E6839" s="3"/>
      <c r="F6839" s="3"/>
    </row>
    <row r="6840" spans="3:6" x14ac:dyDescent="0.3">
      <c r="C6840" s="3"/>
      <c r="D6840" s="3"/>
      <c r="E6840" s="3"/>
      <c r="F6840" s="3"/>
    </row>
    <row r="6841" spans="3:6" x14ac:dyDescent="0.3">
      <c r="C6841" s="3"/>
      <c r="D6841" s="3"/>
      <c r="E6841" s="3"/>
      <c r="F6841" s="3"/>
    </row>
    <row r="6842" spans="3:6" x14ac:dyDescent="0.3">
      <c r="C6842" s="3"/>
      <c r="D6842" s="3"/>
      <c r="E6842" s="3"/>
      <c r="F6842" s="3"/>
    </row>
    <row r="6843" spans="3:6" x14ac:dyDescent="0.3">
      <c r="C6843" s="3"/>
      <c r="D6843" s="3"/>
      <c r="E6843" s="3"/>
      <c r="F6843" s="3"/>
    </row>
    <row r="6844" spans="3:6" x14ac:dyDescent="0.3">
      <c r="C6844" s="3"/>
      <c r="D6844" s="3"/>
      <c r="E6844" s="3"/>
      <c r="F6844" s="3"/>
    </row>
    <row r="6845" spans="3:6" x14ac:dyDescent="0.3">
      <c r="C6845" s="3"/>
      <c r="D6845" s="3"/>
      <c r="E6845" s="3"/>
      <c r="F6845" s="3"/>
    </row>
    <row r="6846" spans="3:6" x14ac:dyDescent="0.3">
      <c r="C6846" s="3"/>
      <c r="D6846" s="3"/>
      <c r="E6846" s="3"/>
      <c r="F6846" s="3"/>
    </row>
    <row r="6847" spans="3:6" x14ac:dyDescent="0.3">
      <c r="C6847" s="3"/>
      <c r="D6847" s="3"/>
      <c r="E6847" s="3"/>
      <c r="F6847" s="3"/>
    </row>
    <row r="6848" spans="3:6" x14ac:dyDescent="0.3">
      <c r="C6848" s="3"/>
      <c r="D6848" s="3"/>
      <c r="E6848" s="3"/>
      <c r="F6848" s="3"/>
    </row>
    <row r="6849" spans="3:6" x14ac:dyDescent="0.3">
      <c r="C6849" s="3"/>
      <c r="D6849" s="3"/>
      <c r="E6849" s="3"/>
      <c r="F6849" s="3"/>
    </row>
    <row r="6850" spans="3:6" x14ac:dyDescent="0.3">
      <c r="C6850" s="3"/>
      <c r="D6850" s="3"/>
      <c r="E6850" s="3"/>
      <c r="F6850" s="3"/>
    </row>
    <row r="6851" spans="3:6" x14ac:dyDescent="0.3">
      <c r="C6851" s="3"/>
      <c r="D6851" s="3"/>
      <c r="E6851" s="3"/>
      <c r="F6851" s="3"/>
    </row>
    <row r="6852" spans="3:6" x14ac:dyDescent="0.3">
      <c r="C6852" s="3"/>
      <c r="D6852" s="3"/>
      <c r="E6852" s="3"/>
      <c r="F6852" s="3"/>
    </row>
    <row r="6853" spans="3:6" x14ac:dyDescent="0.3">
      <c r="C6853" s="3"/>
      <c r="D6853" s="3"/>
      <c r="E6853" s="3"/>
      <c r="F6853" s="3"/>
    </row>
    <row r="6854" spans="3:6" x14ac:dyDescent="0.3">
      <c r="C6854" s="3"/>
      <c r="D6854" s="3"/>
      <c r="E6854" s="3"/>
      <c r="F6854" s="3"/>
    </row>
    <row r="6855" spans="3:6" x14ac:dyDescent="0.3">
      <c r="C6855" s="3"/>
      <c r="D6855" s="3"/>
      <c r="E6855" s="3"/>
      <c r="F6855" s="3"/>
    </row>
    <row r="6856" spans="3:6" x14ac:dyDescent="0.3">
      <c r="C6856" s="3"/>
      <c r="D6856" s="3"/>
      <c r="E6856" s="3"/>
      <c r="F6856" s="3"/>
    </row>
    <row r="6857" spans="3:6" x14ac:dyDescent="0.3">
      <c r="C6857" s="3"/>
      <c r="D6857" s="3"/>
      <c r="E6857" s="3"/>
      <c r="F6857" s="3"/>
    </row>
    <row r="6858" spans="3:6" x14ac:dyDescent="0.3">
      <c r="C6858" s="3"/>
      <c r="D6858" s="3"/>
      <c r="E6858" s="3"/>
      <c r="F6858" s="3"/>
    </row>
    <row r="6859" spans="3:6" x14ac:dyDescent="0.3">
      <c r="C6859" s="3"/>
      <c r="D6859" s="3"/>
      <c r="E6859" s="3"/>
      <c r="F6859" s="3"/>
    </row>
    <row r="6860" spans="3:6" x14ac:dyDescent="0.3">
      <c r="C6860" s="3"/>
      <c r="D6860" s="3"/>
      <c r="E6860" s="3"/>
      <c r="F6860" s="3"/>
    </row>
    <row r="6861" spans="3:6" x14ac:dyDescent="0.3">
      <c r="C6861" s="3"/>
      <c r="D6861" s="3"/>
      <c r="E6861" s="3"/>
      <c r="F6861" s="3"/>
    </row>
    <row r="6862" spans="3:6" x14ac:dyDescent="0.3">
      <c r="C6862" s="3"/>
      <c r="D6862" s="3"/>
      <c r="E6862" s="3"/>
      <c r="F6862" s="3"/>
    </row>
    <row r="6863" spans="3:6" x14ac:dyDescent="0.3">
      <c r="C6863" s="3"/>
      <c r="D6863" s="3"/>
      <c r="E6863" s="3"/>
      <c r="F6863" s="3"/>
    </row>
    <row r="6864" spans="3:6" x14ac:dyDescent="0.3">
      <c r="C6864" s="3"/>
      <c r="D6864" s="3"/>
      <c r="E6864" s="3"/>
      <c r="F6864" s="3"/>
    </row>
    <row r="6865" spans="3:6" x14ac:dyDescent="0.3">
      <c r="C6865" s="3"/>
      <c r="D6865" s="3"/>
      <c r="E6865" s="3"/>
      <c r="F6865" s="3"/>
    </row>
    <row r="6866" spans="3:6" x14ac:dyDescent="0.3">
      <c r="C6866" s="3"/>
      <c r="D6866" s="3"/>
      <c r="E6866" s="3"/>
      <c r="F6866" s="3"/>
    </row>
    <row r="6867" spans="3:6" x14ac:dyDescent="0.3">
      <c r="C6867" s="3"/>
      <c r="D6867" s="3"/>
      <c r="E6867" s="3"/>
      <c r="F6867" s="3"/>
    </row>
    <row r="6868" spans="3:6" x14ac:dyDescent="0.3">
      <c r="C6868" s="3"/>
      <c r="D6868" s="3"/>
      <c r="E6868" s="3"/>
      <c r="F6868" s="3"/>
    </row>
    <row r="6869" spans="3:6" x14ac:dyDescent="0.3">
      <c r="C6869" s="3"/>
      <c r="D6869" s="3"/>
      <c r="E6869" s="3"/>
      <c r="F6869" s="3"/>
    </row>
    <row r="6870" spans="3:6" x14ac:dyDescent="0.3">
      <c r="C6870" s="3"/>
      <c r="D6870" s="3"/>
      <c r="E6870" s="3"/>
      <c r="F6870" s="3"/>
    </row>
    <row r="6871" spans="3:6" x14ac:dyDescent="0.3">
      <c r="C6871" s="3"/>
      <c r="D6871" s="3"/>
      <c r="E6871" s="3"/>
      <c r="F6871" s="3"/>
    </row>
    <row r="6872" spans="3:6" x14ac:dyDescent="0.3">
      <c r="C6872" s="3"/>
      <c r="D6872" s="3"/>
      <c r="E6872" s="3"/>
      <c r="F6872" s="3"/>
    </row>
    <row r="6873" spans="3:6" x14ac:dyDescent="0.3">
      <c r="C6873" s="3"/>
      <c r="D6873" s="3"/>
      <c r="E6873" s="3"/>
      <c r="F6873" s="3"/>
    </row>
    <row r="6874" spans="3:6" x14ac:dyDescent="0.3">
      <c r="C6874" s="3"/>
      <c r="D6874" s="3"/>
      <c r="E6874" s="3"/>
      <c r="F6874" s="3"/>
    </row>
    <row r="6875" spans="3:6" x14ac:dyDescent="0.3">
      <c r="C6875" s="3"/>
      <c r="D6875" s="3"/>
      <c r="E6875" s="3"/>
      <c r="F6875" s="3"/>
    </row>
    <row r="6876" spans="3:6" x14ac:dyDescent="0.3">
      <c r="C6876" s="3"/>
      <c r="D6876" s="3"/>
      <c r="E6876" s="3"/>
      <c r="F6876" s="3"/>
    </row>
    <row r="6877" spans="3:6" x14ac:dyDescent="0.3">
      <c r="C6877" s="3"/>
      <c r="D6877" s="3"/>
      <c r="E6877" s="3"/>
      <c r="F6877" s="3"/>
    </row>
    <row r="6878" spans="3:6" x14ac:dyDescent="0.3">
      <c r="C6878" s="3"/>
      <c r="D6878" s="3"/>
      <c r="E6878" s="3"/>
      <c r="F6878" s="3"/>
    </row>
    <row r="6879" spans="3:6" x14ac:dyDescent="0.3">
      <c r="C6879" s="3"/>
      <c r="D6879" s="3"/>
      <c r="E6879" s="3"/>
      <c r="F6879" s="3"/>
    </row>
    <row r="6880" spans="3:6" x14ac:dyDescent="0.3">
      <c r="C6880" s="3"/>
      <c r="D6880" s="3"/>
      <c r="E6880" s="3"/>
      <c r="F6880" s="3"/>
    </row>
    <row r="6881" spans="3:6" x14ac:dyDescent="0.3">
      <c r="C6881" s="3"/>
      <c r="D6881" s="3"/>
      <c r="E6881" s="3"/>
      <c r="F6881" s="3"/>
    </row>
    <row r="6882" spans="3:6" x14ac:dyDescent="0.3">
      <c r="C6882" s="3"/>
      <c r="D6882" s="3"/>
      <c r="E6882" s="3"/>
      <c r="F6882" s="3"/>
    </row>
    <row r="6883" spans="3:6" x14ac:dyDescent="0.3">
      <c r="C6883" s="3"/>
      <c r="D6883" s="3"/>
      <c r="E6883" s="3"/>
      <c r="F6883" s="3"/>
    </row>
    <row r="6884" spans="3:6" x14ac:dyDescent="0.3">
      <c r="C6884" s="3"/>
      <c r="D6884" s="3"/>
      <c r="E6884" s="3"/>
      <c r="F6884" s="3"/>
    </row>
    <row r="6885" spans="3:6" x14ac:dyDescent="0.3">
      <c r="C6885" s="3"/>
      <c r="D6885" s="3"/>
      <c r="E6885" s="3"/>
      <c r="F6885" s="3"/>
    </row>
    <row r="6886" spans="3:6" x14ac:dyDescent="0.3">
      <c r="C6886" s="3"/>
      <c r="D6886" s="3"/>
      <c r="E6886" s="3"/>
      <c r="F6886" s="3"/>
    </row>
    <row r="6887" spans="3:6" x14ac:dyDescent="0.3">
      <c r="C6887" s="3"/>
      <c r="D6887" s="3"/>
      <c r="E6887" s="3"/>
      <c r="F6887" s="3"/>
    </row>
    <row r="6888" spans="3:6" x14ac:dyDescent="0.3">
      <c r="C6888" s="3"/>
      <c r="D6888" s="3"/>
      <c r="E6888" s="3"/>
      <c r="F6888" s="3"/>
    </row>
    <row r="6889" spans="3:6" x14ac:dyDescent="0.3">
      <c r="C6889" s="3"/>
      <c r="D6889" s="3"/>
      <c r="E6889" s="3"/>
      <c r="F6889" s="3"/>
    </row>
    <row r="6890" spans="3:6" x14ac:dyDescent="0.3">
      <c r="C6890" s="3"/>
      <c r="D6890" s="3"/>
      <c r="E6890" s="3"/>
      <c r="F6890" s="3"/>
    </row>
    <row r="6891" spans="3:6" x14ac:dyDescent="0.3">
      <c r="C6891" s="3"/>
      <c r="D6891" s="3"/>
      <c r="E6891" s="3"/>
      <c r="F6891" s="3"/>
    </row>
    <row r="6892" spans="3:6" x14ac:dyDescent="0.3">
      <c r="C6892" s="3"/>
      <c r="D6892" s="3"/>
      <c r="E6892" s="3"/>
      <c r="F6892" s="3"/>
    </row>
    <row r="6893" spans="3:6" x14ac:dyDescent="0.3">
      <c r="C6893" s="3"/>
      <c r="D6893" s="3"/>
      <c r="E6893" s="3"/>
      <c r="F6893" s="3"/>
    </row>
    <row r="6894" spans="3:6" x14ac:dyDescent="0.3">
      <c r="C6894" s="3"/>
      <c r="D6894" s="3"/>
      <c r="E6894" s="3"/>
      <c r="F6894" s="3"/>
    </row>
    <row r="6895" spans="3:6" x14ac:dyDescent="0.3">
      <c r="C6895" s="3"/>
      <c r="D6895" s="3"/>
      <c r="E6895" s="3"/>
      <c r="F6895" s="3"/>
    </row>
    <row r="6896" spans="3:6" x14ac:dyDescent="0.3">
      <c r="C6896" s="3"/>
      <c r="D6896" s="3"/>
      <c r="E6896" s="3"/>
      <c r="F6896" s="3"/>
    </row>
    <row r="6897" spans="3:6" x14ac:dyDescent="0.3">
      <c r="C6897" s="3"/>
      <c r="D6897" s="3"/>
      <c r="E6897" s="3"/>
      <c r="F6897" s="3"/>
    </row>
    <row r="6898" spans="3:6" x14ac:dyDescent="0.3">
      <c r="C6898" s="3"/>
      <c r="D6898" s="3"/>
      <c r="E6898" s="3"/>
      <c r="F6898" s="3"/>
    </row>
    <row r="6899" spans="3:6" x14ac:dyDescent="0.3">
      <c r="C6899" s="3"/>
      <c r="D6899" s="3"/>
      <c r="E6899" s="3"/>
      <c r="F6899" s="3"/>
    </row>
    <row r="6900" spans="3:6" x14ac:dyDescent="0.3">
      <c r="C6900" s="3"/>
      <c r="D6900" s="3"/>
      <c r="E6900" s="3"/>
      <c r="F6900" s="3"/>
    </row>
    <row r="6901" spans="3:6" x14ac:dyDescent="0.3">
      <c r="C6901" s="3"/>
      <c r="D6901" s="3"/>
      <c r="E6901" s="3"/>
      <c r="F6901" s="3"/>
    </row>
    <row r="6902" spans="3:6" x14ac:dyDescent="0.3">
      <c r="C6902" s="3"/>
      <c r="D6902" s="3"/>
      <c r="E6902" s="3"/>
      <c r="F6902" s="3"/>
    </row>
    <row r="6903" spans="3:6" x14ac:dyDescent="0.3">
      <c r="C6903" s="3"/>
      <c r="D6903" s="3"/>
      <c r="E6903" s="3"/>
      <c r="F6903" s="3"/>
    </row>
    <row r="6904" spans="3:6" x14ac:dyDescent="0.3">
      <c r="C6904" s="3"/>
      <c r="D6904" s="3"/>
      <c r="E6904" s="3"/>
      <c r="F6904" s="3"/>
    </row>
    <row r="6905" spans="3:6" x14ac:dyDescent="0.3">
      <c r="C6905" s="3"/>
      <c r="D6905" s="3"/>
      <c r="E6905" s="3"/>
      <c r="F6905" s="3"/>
    </row>
    <row r="6906" spans="3:6" x14ac:dyDescent="0.3">
      <c r="C6906" s="3"/>
      <c r="D6906" s="3"/>
      <c r="E6906" s="3"/>
      <c r="F6906" s="3"/>
    </row>
    <row r="6907" spans="3:6" x14ac:dyDescent="0.3">
      <c r="C6907" s="3"/>
      <c r="D6907" s="3"/>
      <c r="E6907" s="3"/>
      <c r="F6907" s="3"/>
    </row>
    <row r="6908" spans="3:6" x14ac:dyDescent="0.3">
      <c r="C6908" s="3"/>
      <c r="D6908" s="3"/>
      <c r="E6908" s="3"/>
      <c r="F6908" s="3"/>
    </row>
    <row r="6909" spans="3:6" x14ac:dyDescent="0.3">
      <c r="C6909" s="3"/>
      <c r="D6909" s="3"/>
      <c r="E6909" s="3"/>
      <c r="F6909" s="3"/>
    </row>
    <row r="6910" spans="3:6" x14ac:dyDescent="0.3">
      <c r="C6910" s="3"/>
      <c r="D6910" s="3"/>
      <c r="E6910" s="3"/>
      <c r="F6910" s="3"/>
    </row>
    <row r="6911" spans="3:6" x14ac:dyDescent="0.3">
      <c r="C6911" s="3"/>
      <c r="D6911" s="3"/>
      <c r="E6911" s="3"/>
      <c r="F6911" s="3"/>
    </row>
    <row r="6912" spans="3:6" x14ac:dyDescent="0.3">
      <c r="C6912" s="3"/>
      <c r="D6912" s="3"/>
      <c r="E6912" s="3"/>
      <c r="F6912" s="3"/>
    </row>
    <row r="6913" spans="3:6" x14ac:dyDescent="0.3">
      <c r="C6913" s="3"/>
      <c r="D6913" s="3"/>
      <c r="E6913" s="3"/>
      <c r="F6913" s="3"/>
    </row>
    <row r="6914" spans="3:6" x14ac:dyDescent="0.3">
      <c r="C6914" s="3"/>
      <c r="D6914" s="3"/>
      <c r="E6914" s="3"/>
      <c r="F6914" s="3"/>
    </row>
    <row r="6915" spans="3:6" x14ac:dyDescent="0.3">
      <c r="C6915" s="3"/>
      <c r="D6915" s="3"/>
      <c r="E6915" s="3"/>
      <c r="F6915" s="3"/>
    </row>
    <row r="6916" spans="3:6" x14ac:dyDescent="0.3">
      <c r="C6916" s="3"/>
      <c r="D6916" s="3"/>
      <c r="E6916" s="3"/>
      <c r="F6916" s="3"/>
    </row>
    <row r="6917" spans="3:6" x14ac:dyDescent="0.3">
      <c r="C6917" s="3"/>
      <c r="D6917" s="3"/>
      <c r="E6917" s="3"/>
      <c r="F6917" s="3"/>
    </row>
    <row r="6918" spans="3:6" x14ac:dyDescent="0.3">
      <c r="C6918" s="3"/>
      <c r="D6918" s="3"/>
      <c r="E6918" s="3"/>
      <c r="F6918" s="3"/>
    </row>
    <row r="6919" spans="3:6" x14ac:dyDescent="0.3">
      <c r="C6919" s="3"/>
      <c r="D6919" s="3"/>
      <c r="E6919" s="3"/>
      <c r="F6919" s="3"/>
    </row>
    <row r="6920" spans="3:6" x14ac:dyDescent="0.3">
      <c r="C6920" s="3"/>
      <c r="D6920" s="3"/>
      <c r="E6920" s="3"/>
      <c r="F6920" s="3"/>
    </row>
    <row r="6921" spans="3:6" x14ac:dyDescent="0.3">
      <c r="C6921" s="3"/>
      <c r="D6921" s="3"/>
      <c r="E6921" s="3"/>
      <c r="F6921" s="3"/>
    </row>
    <row r="6922" spans="3:6" x14ac:dyDescent="0.3">
      <c r="C6922" s="3"/>
      <c r="D6922" s="3"/>
      <c r="E6922" s="3"/>
      <c r="F6922" s="3"/>
    </row>
    <row r="6923" spans="3:6" x14ac:dyDescent="0.3">
      <c r="C6923" s="3"/>
      <c r="D6923" s="3"/>
      <c r="E6923" s="3"/>
      <c r="F6923" s="3"/>
    </row>
    <row r="6924" spans="3:6" x14ac:dyDescent="0.3">
      <c r="C6924" s="3"/>
      <c r="D6924" s="3"/>
      <c r="E6924" s="3"/>
      <c r="F6924" s="3"/>
    </row>
    <row r="6925" spans="3:6" x14ac:dyDescent="0.3">
      <c r="C6925" s="3"/>
      <c r="D6925" s="3"/>
      <c r="E6925" s="3"/>
      <c r="F6925" s="3"/>
    </row>
    <row r="6926" spans="3:6" x14ac:dyDescent="0.3">
      <c r="C6926" s="3"/>
      <c r="D6926" s="3"/>
      <c r="E6926" s="3"/>
      <c r="F6926" s="3"/>
    </row>
    <row r="6927" spans="3:6" x14ac:dyDescent="0.3">
      <c r="C6927" s="3"/>
      <c r="D6927" s="3"/>
      <c r="E6927" s="3"/>
      <c r="F6927" s="3"/>
    </row>
    <row r="6928" spans="3:6" x14ac:dyDescent="0.3">
      <c r="C6928" s="3"/>
      <c r="D6928" s="3"/>
      <c r="E6928" s="3"/>
      <c r="F6928" s="3"/>
    </row>
    <row r="6929" spans="3:6" x14ac:dyDescent="0.3">
      <c r="C6929" s="3"/>
      <c r="D6929" s="3"/>
      <c r="E6929" s="3"/>
      <c r="F6929" s="3"/>
    </row>
    <row r="6930" spans="3:6" x14ac:dyDescent="0.3">
      <c r="C6930" s="3"/>
      <c r="D6930" s="3"/>
      <c r="E6930" s="3"/>
      <c r="F6930" s="3"/>
    </row>
    <row r="6931" spans="3:6" x14ac:dyDescent="0.3">
      <c r="C6931" s="3"/>
      <c r="D6931" s="3"/>
      <c r="E6931" s="3"/>
      <c r="F6931" s="3"/>
    </row>
    <row r="6932" spans="3:6" x14ac:dyDescent="0.3">
      <c r="C6932" s="3"/>
      <c r="D6932" s="3"/>
      <c r="E6932" s="3"/>
      <c r="F6932" s="3"/>
    </row>
    <row r="6933" spans="3:6" x14ac:dyDescent="0.3">
      <c r="C6933" s="3"/>
      <c r="D6933" s="3"/>
      <c r="E6933" s="3"/>
      <c r="F6933" s="3"/>
    </row>
    <row r="6934" spans="3:6" x14ac:dyDescent="0.3">
      <c r="C6934" s="3"/>
      <c r="D6934" s="3"/>
      <c r="E6934" s="3"/>
      <c r="F6934" s="3"/>
    </row>
    <row r="6935" spans="3:6" x14ac:dyDescent="0.3">
      <c r="C6935" s="3"/>
      <c r="D6935" s="3"/>
      <c r="E6935" s="3"/>
      <c r="F6935" s="3"/>
    </row>
    <row r="6936" spans="3:6" x14ac:dyDescent="0.3">
      <c r="C6936" s="3"/>
      <c r="D6936" s="3"/>
      <c r="E6936" s="3"/>
      <c r="F6936" s="3"/>
    </row>
    <row r="6937" spans="3:6" x14ac:dyDescent="0.3">
      <c r="C6937" s="3"/>
      <c r="D6937" s="3"/>
      <c r="E6937" s="3"/>
      <c r="F6937" s="3"/>
    </row>
    <row r="6938" spans="3:6" x14ac:dyDescent="0.3">
      <c r="C6938" s="3"/>
      <c r="D6938" s="3"/>
      <c r="E6938" s="3"/>
      <c r="F6938" s="3"/>
    </row>
    <row r="6939" spans="3:6" x14ac:dyDescent="0.3">
      <c r="C6939" s="3"/>
      <c r="D6939" s="3"/>
      <c r="E6939" s="3"/>
      <c r="F6939" s="3"/>
    </row>
    <row r="6940" spans="3:6" x14ac:dyDescent="0.3">
      <c r="C6940" s="3"/>
      <c r="D6940" s="3"/>
      <c r="E6940" s="3"/>
      <c r="F6940" s="3"/>
    </row>
    <row r="6941" spans="3:6" x14ac:dyDescent="0.3">
      <c r="C6941" s="3"/>
      <c r="D6941" s="3"/>
      <c r="E6941" s="3"/>
      <c r="F6941" s="3"/>
    </row>
    <row r="6942" spans="3:6" x14ac:dyDescent="0.3">
      <c r="C6942" s="3"/>
      <c r="D6942" s="3"/>
      <c r="E6942" s="3"/>
      <c r="F6942" s="3"/>
    </row>
    <row r="6943" spans="3:6" x14ac:dyDescent="0.3">
      <c r="C6943" s="3"/>
      <c r="D6943" s="3"/>
      <c r="E6943" s="3"/>
      <c r="F6943" s="3"/>
    </row>
    <row r="6944" spans="3:6" x14ac:dyDescent="0.3">
      <c r="C6944" s="3"/>
      <c r="D6944" s="3"/>
      <c r="E6944" s="3"/>
      <c r="F6944" s="3"/>
    </row>
    <row r="6945" spans="3:6" x14ac:dyDescent="0.3">
      <c r="C6945" s="3"/>
      <c r="D6945" s="3"/>
      <c r="E6945" s="3"/>
      <c r="F6945" s="3"/>
    </row>
    <row r="6946" spans="3:6" x14ac:dyDescent="0.3">
      <c r="C6946" s="3"/>
      <c r="D6946" s="3"/>
      <c r="E6946" s="3"/>
      <c r="F6946" s="3"/>
    </row>
    <row r="6947" spans="3:6" x14ac:dyDescent="0.3">
      <c r="C6947" s="3"/>
      <c r="D6947" s="3"/>
      <c r="E6947" s="3"/>
      <c r="F6947" s="3"/>
    </row>
    <row r="6948" spans="3:6" x14ac:dyDescent="0.3">
      <c r="C6948" s="3"/>
      <c r="D6948" s="3"/>
      <c r="E6948" s="3"/>
      <c r="F6948" s="3"/>
    </row>
    <row r="6949" spans="3:6" x14ac:dyDescent="0.3">
      <c r="C6949" s="3"/>
      <c r="D6949" s="3"/>
      <c r="E6949" s="3"/>
      <c r="F6949" s="3"/>
    </row>
    <row r="6950" spans="3:6" x14ac:dyDescent="0.3">
      <c r="C6950" s="3"/>
      <c r="D6950" s="3"/>
      <c r="E6950" s="3"/>
      <c r="F6950" s="3"/>
    </row>
    <row r="6951" spans="3:6" x14ac:dyDescent="0.3">
      <c r="C6951" s="3"/>
      <c r="D6951" s="3"/>
      <c r="E6951" s="3"/>
      <c r="F6951" s="3"/>
    </row>
    <row r="6952" spans="3:6" x14ac:dyDescent="0.3">
      <c r="C6952" s="3"/>
      <c r="D6952" s="3"/>
      <c r="E6952" s="3"/>
      <c r="F6952" s="3"/>
    </row>
    <row r="6953" spans="3:6" x14ac:dyDescent="0.3">
      <c r="C6953" s="3"/>
      <c r="D6953" s="3"/>
      <c r="E6953" s="3"/>
      <c r="F6953" s="3"/>
    </row>
    <row r="6954" spans="3:6" x14ac:dyDescent="0.3">
      <c r="C6954" s="3"/>
      <c r="D6954" s="3"/>
      <c r="E6954" s="3"/>
      <c r="F6954" s="3"/>
    </row>
    <row r="6955" spans="3:6" x14ac:dyDescent="0.3">
      <c r="C6955" s="3"/>
      <c r="D6955" s="3"/>
      <c r="E6955" s="3"/>
      <c r="F6955" s="3"/>
    </row>
    <row r="6956" spans="3:6" x14ac:dyDescent="0.3">
      <c r="C6956" s="3"/>
      <c r="D6956" s="3"/>
      <c r="E6956" s="3"/>
      <c r="F6956" s="3"/>
    </row>
    <row r="6957" spans="3:6" x14ac:dyDescent="0.3">
      <c r="C6957" s="3"/>
      <c r="D6957" s="3"/>
      <c r="E6957" s="3"/>
      <c r="F6957" s="3"/>
    </row>
    <row r="6958" spans="3:6" x14ac:dyDescent="0.3">
      <c r="C6958" s="3"/>
      <c r="D6958" s="3"/>
      <c r="E6958" s="3"/>
      <c r="F6958" s="3"/>
    </row>
    <row r="6959" spans="3:6" x14ac:dyDescent="0.3">
      <c r="C6959" s="3"/>
      <c r="D6959" s="3"/>
      <c r="E6959" s="3"/>
      <c r="F6959" s="3"/>
    </row>
    <row r="6960" spans="3:6" x14ac:dyDescent="0.3">
      <c r="C6960" s="3"/>
      <c r="D6960" s="3"/>
      <c r="E6960" s="3"/>
      <c r="F6960" s="3"/>
    </row>
    <row r="6961" spans="3:6" x14ac:dyDescent="0.3">
      <c r="C6961" s="3"/>
      <c r="D6961" s="3"/>
      <c r="E6961" s="3"/>
      <c r="F6961" s="3"/>
    </row>
    <row r="6962" spans="3:6" x14ac:dyDescent="0.3">
      <c r="C6962" s="3"/>
      <c r="D6962" s="3"/>
      <c r="E6962" s="3"/>
      <c r="F6962" s="3"/>
    </row>
    <row r="6963" spans="3:6" x14ac:dyDescent="0.3">
      <c r="C6963" s="3"/>
      <c r="D6963" s="3"/>
      <c r="E6963" s="3"/>
      <c r="F6963" s="3"/>
    </row>
    <row r="6964" spans="3:6" x14ac:dyDescent="0.3">
      <c r="C6964" s="3"/>
      <c r="D6964" s="3"/>
      <c r="E6964" s="3"/>
      <c r="F6964" s="3"/>
    </row>
    <row r="6965" spans="3:6" x14ac:dyDescent="0.3">
      <c r="C6965" s="3"/>
      <c r="D6965" s="3"/>
      <c r="E6965" s="3"/>
      <c r="F6965" s="3"/>
    </row>
    <row r="6966" spans="3:6" x14ac:dyDescent="0.3">
      <c r="C6966" s="3"/>
      <c r="D6966" s="3"/>
      <c r="E6966" s="3"/>
      <c r="F6966" s="3"/>
    </row>
    <row r="6967" spans="3:6" x14ac:dyDescent="0.3">
      <c r="C6967" s="3"/>
      <c r="D6967" s="3"/>
      <c r="E6967" s="3"/>
      <c r="F6967" s="3"/>
    </row>
    <row r="6968" spans="3:6" x14ac:dyDescent="0.3">
      <c r="C6968" s="3"/>
      <c r="D6968" s="3"/>
      <c r="E6968" s="3"/>
      <c r="F6968" s="3"/>
    </row>
    <row r="6969" spans="3:6" x14ac:dyDescent="0.3">
      <c r="C6969" s="3"/>
      <c r="D6969" s="3"/>
      <c r="E6969" s="3"/>
      <c r="F6969" s="3"/>
    </row>
    <row r="6970" spans="3:6" x14ac:dyDescent="0.3">
      <c r="C6970" s="3"/>
      <c r="D6970" s="3"/>
      <c r="E6970" s="3"/>
      <c r="F6970" s="3"/>
    </row>
    <row r="6971" spans="3:6" x14ac:dyDescent="0.3">
      <c r="C6971" s="3"/>
      <c r="D6971" s="3"/>
      <c r="E6971" s="3"/>
      <c r="F6971" s="3"/>
    </row>
    <row r="6972" spans="3:6" x14ac:dyDescent="0.3">
      <c r="C6972" s="3"/>
      <c r="D6972" s="3"/>
      <c r="E6972" s="3"/>
      <c r="F6972" s="3"/>
    </row>
    <row r="6973" spans="3:6" x14ac:dyDescent="0.3">
      <c r="C6973" s="3"/>
      <c r="D6973" s="3"/>
      <c r="E6973" s="3"/>
      <c r="F6973" s="3"/>
    </row>
    <row r="6974" spans="3:6" x14ac:dyDescent="0.3">
      <c r="C6974" s="3"/>
      <c r="D6974" s="3"/>
      <c r="E6974" s="3"/>
      <c r="F6974" s="3"/>
    </row>
    <row r="6975" spans="3:6" x14ac:dyDescent="0.3">
      <c r="C6975" s="3"/>
      <c r="D6975" s="3"/>
      <c r="E6975" s="3"/>
      <c r="F6975" s="3"/>
    </row>
    <row r="6976" spans="3:6" x14ac:dyDescent="0.3">
      <c r="C6976" s="3"/>
      <c r="D6976" s="3"/>
      <c r="E6976" s="3"/>
      <c r="F6976" s="3"/>
    </row>
    <row r="6977" spans="3:6" x14ac:dyDescent="0.3">
      <c r="C6977" s="3"/>
      <c r="D6977" s="3"/>
      <c r="E6977" s="3"/>
      <c r="F6977" s="3"/>
    </row>
    <row r="6978" spans="3:6" x14ac:dyDescent="0.3">
      <c r="C6978" s="3"/>
      <c r="D6978" s="3"/>
      <c r="E6978" s="3"/>
      <c r="F6978" s="3"/>
    </row>
    <row r="6979" spans="3:6" x14ac:dyDescent="0.3">
      <c r="C6979" s="3"/>
      <c r="D6979" s="3"/>
      <c r="E6979" s="3"/>
      <c r="F6979" s="3"/>
    </row>
    <row r="6980" spans="3:6" x14ac:dyDescent="0.3">
      <c r="C6980" s="3"/>
      <c r="D6980" s="3"/>
      <c r="E6980" s="3"/>
      <c r="F6980" s="3"/>
    </row>
    <row r="6981" spans="3:6" x14ac:dyDescent="0.3">
      <c r="C6981" s="3"/>
      <c r="D6981" s="3"/>
      <c r="E6981" s="3"/>
      <c r="F6981" s="3"/>
    </row>
    <row r="6982" spans="3:6" x14ac:dyDescent="0.3">
      <c r="C6982" s="3"/>
      <c r="D6982" s="3"/>
      <c r="E6982" s="3"/>
      <c r="F6982" s="3"/>
    </row>
    <row r="6983" spans="3:6" x14ac:dyDescent="0.3">
      <c r="C6983" s="3"/>
      <c r="D6983" s="3"/>
      <c r="E6983" s="3"/>
      <c r="F6983" s="3"/>
    </row>
    <row r="6984" spans="3:6" x14ac:dyDescent="0.3">
      <c r="C6984" s="3"/>
      <c r="D6984" s="3"/>
      <c r="E6984" s="3"/>
      <c r="F6984" s="3"/>
    </row>
    <row r="6985" spans="3:6" x14ac:dyDescent="0.3">
      <c r="C6985" s="3"/>
      <c r="D6985" s="3"/>
      <c r="E6985" s="3"/>
      <c r="F6985" s="3"/>
    </row>
    <row r="6986" spans="3:6" x14ac:dyDescent="0.3">
      <c r="C6986" s="3"/>
      <c r="D6986" s="3"/>
      <c r="E6986" s="3"/>
      <c r="F6986" s="3"/>
    </row>
    <row r="6987" spans="3:6" x14ac:dyDescent="0.3">
      <c r="C6987" s="3"/>
      <c r="D6987" s="3"/>
      <c r="E6987" s="3"/>
      <c r="F6987" s="3"/>
    </row>
    <row r="6988" spans="3:6" x14ac:dyDescent="0.3">
      <c r="C6988" s="3"/>
      <c r="D6988" s="3"/>
      <c r="E6988" s="3"/>
      <c r="F6988" s="3"/>
    </row>
    <row r="6989" spans="3:6" x14ac:dyDescent="0.3">
      <c r="C6989" s="3"/>
      <c r="D6989" s="3"/>
      <c r="E6989" s="3"/>
      <c r="F6989" s="3"/>
    </row>
    <row r="6990" spans="3:6" x14ac:dyDescent="0.3">
      <c r="C6990" s="3"/>
      <c r="D6990" s="3"/>
      <c r="E6990" s="3"/>
      <c r="F6990" s="3"/>
    </row>
    <row r="6991" spans="3:6" x14ac:dyDescent="0.3">
      <c r="C6991" s="3"/>
      <c r="D6991" s="3"/>
      <c r="E6991" s="3"/>
      <c r="F6991" s="3"/>
    </row>
    <row r="6992" spans="3:6" x14ac:dyDescent="0.3">
      <c r="C6992" s="3"/>
      <c r="D6992" s="3"/>
      <c r="E6992" s="3"/>
      <c r="F6992" s="3"/>
    </row>
    <row r="6993" spans="3:6" x14ac:dyDescent="0.3">
      <c r="C6993" s="3"/>
      <c r="D6993" s="3"/>
      <c r="E6993" s="3"/>
      <c r="F6993" s="3"/>
    </row>
    <row r="6994" spans="3:6" x14ac:dyDescent="0.3">
      <c r="C6994" s="3"/>
      <c r="D6994" s="3"/>
      <c r="E6994" s="3"/>
      <c r="F6994" s="3"/>
    </row>
    <row r="6995" spans="3:6" x14ac:dyDescent="0.3">
      <c r="C6995" s="3"/>
      <c r="D6995" s="3"/>
      <c r="E6995" s="3"/>
      <c r="F6995" s="3"/>
    </row>
    <row r="6996" spans="3:6" x14ac:dyDescent="0.3">
      <c r="C6996" s="3"/>
      <c r="D6996" s="3"/>
      <c r="E6996" s="3"/>
      <c r="F6996" s="3"/>
    </row>
    <row r="6997" spans="3:6" x14ac:dyDescent="0.3">
      <c r="C6997" s="3"/>
      <c r="D6997" s="3"/>
      <c r="E6997" s="3"/>
      <c r="F6997" s="3"/>
    </row>
    <row r="6998" spans="3:6" x14ac:dyDescent="0.3">
      <c r="C6998" s="3"/>
      <c r="D6998" s="3"/>
      <c r="E6998" s="3"/>
      <c r="F6998" s="3"/>
    </row>
    <row r="6999" spans="3:6" x14ac:dyDescent="0.3">
      <c r="C6999" s="3"/>
      <c r="D6999" s="3"/>
      <c r="E6999" s="3"/>
      <c r="F6999" s="3"/>
    </row>
    <row r="7000" spans="3:6" x14ac:dyDescent="0.3">
      <c r="C7000" s="3"/>
      <c r="D7000" s="3"/>
      <c r="E7000" s="3"/>
      <c r="F7000" s="3"/>
    </row>
    <row r="7001" spans="3:6" x14ac:dyDescent="0.3">
      <c r="C7001" s="3"/>
      <c r="D7001" s="3"/>
      <c r="E7001" s="3"/>
      <c r="F7001" s="3"/>
    </row>
    <row r="7002" spans="3:6" x14ac:dyDescent="0.3">
      <c r="C7002" s="3"/>
      <c r="D7002" s="3"/>
      <c r="E7002" s="3"/>
      <c r="F7002" s="3"/>
    </row>
    <row r="7003" spans="3:6" x14ac:dyDescent="0.3">
      <c r="C7003" s="3"/>
      <c r="D7003" s="3"/>
      <c r="E7003" s="3"/>
      <c r="F7003" s="3"/>
    </row>
    <row r="7004" spans="3:6" x14ac:dyDescent="0.3">
      <c r="C7004" s="3"/>
      <c r="D7004" s="3"/>
      <c r="E7004" s="3"/>
      <c r="F7004" s="3"/>
    </row>
    <row r="7005" spans="3:6" x14ac:dyDescent="0.3">
      <c r="C7005" s="3"/>
      <c r="D7005" s="3"/>
      <c r="E7005" s="3"/>
      <c r="F7005" s="3"/>
    </row>
    <row r="7006" spans="3:6" x14ac:dyDescent="0.3">
      <c r="C7006" s="3"/>
      <c r="D7006" s="3"/>
      <c r="E7006" s="3"/>
      <c r="F7006" s="3"/>
    </row>
    <row r="7007" spans="3:6" x14ac:dyDescent="0.3">
      <c r="C7007" s="3"/>
      <c r="D7007" s="3"/>
      <c r="E7007" s="3"/>
      <c r="F7007" s="3"/>
    </row>
    <row r="7008" spans="3:6" x14ac:dyDescent="0.3">
      <c r="C7008" s="3"/>
      <c r="D7008" s="3"/>
      <c r="E7008" s="3"/>
      <c r="F7008" s="3"/>
    </row>
    <row r="7009" spans="3:6" x14ac:dyDescent="0.3">
      <c r="C7009" s="3"/>
      <c r="D7009" s="3"/>
      <c r="E7009" s="3"/>
      <c r="F7009" s="3"/>
    </row>
    <row r="7010" spans="3:6" x14ac:dyDescent="0.3">
      <c r="C7010" s="3"/>
      <c r="D7010" s="3"/>
      <c r="E7010" s="3"/>
      <c r="F7010" s="3"/>
    </row>
    <row r="7011" spans="3:6" x14ac:dyDescent="0.3">
      <c r="C7011" s="3"/>
      <c r="D7011" s="3"/>
      <c r="E7011" s="3"/>
      <c r="F7011" s="3"/>
    </row>
    <row r="7012" spans="3:6" x14ac:dyDescent="0.3">
      <c r="C7012" s="3"/>
      <c r="D7012" s="3"/>
      <c r="E7012" s="3"/>
      <c r="F7012" s="3"/>
    </row>
    <row r="7013" spans="3:6" x14ac:dyDescent="0.3">
      <c r="C7013" s="3"/>
      <c r="D7013" s="3"/>
      <c r="E7013" s="3"/>
      <c r="F7013" s="3"/>
    </row>
    <row r="7014" spans="3:6" x14ac:dyDescent="0.3">
      <c r="C7014" s="3"/>
      <c r="D7014" s="3"/>
      <c r="E7014" s="3"/>
      <c r="F7014" s="3"/>
    </row>
    <row r="7015" spans="3:6" x14ac:dyDescent="0.3">
      <c r="C7015" s="3"/>
      <c r="D7015" s="3"/>
      <c r="E7015" s="3"/>
      <c r="F7015" s="3"/>
    </row>
    <row r="7016" spans="3:6" x14ac:dyDescent="0.3">
      <c r="C7016" s="3"/>
      <c r="D7016" s="3"/>
      <c r="E7016" s="3"/>
      <c r="F7016" s="3"/>
    </row>
    <row r="7017" spans="3:6" x14ac:dyDescent="0.3">
      <c r="C7017" s="3"/>
      <c r="D7017" s="3"/>
      <c r="E7017" s="3"/>
      <c r="F7017" s="3"/>
    </row>
    <row r="7018" spans="3:6" x14ac:dyDescent="0.3">
      <c r="C7018" s="3"/>
      <c r="D7018" s="3"/>
      <c r="E7018" s="3"/>
      <c r="F7018" s="3"/>
    </row>
    <row r="7019" spans="3:6" x14ac:dyDescent="0.3">
      <c r="C7019" s="3"/>
      <c r="D7019" s="3"/>
      <c r="E7019" s="3"/>
      <c r="F7019" s="3"/>
    </row>
    <row r="7020" spans="3:6" x14ac:dyDescent="0.3">
      <c r="C7020" s="3"/>
      <c r="D7020" s="3"/>
      <c r="E7020" s="3"/>
      <c r="F7020" s="3"/>
    </row>
    <row r="7021" spans="3:6" x14ac:dyDescent="0.3">
      <c r="C7021" s="3"/>
      <c r="D7021" s="3"/>
      <c r="E7021" s="3"/>
      <c r="F7021" s="3"/>
    </row>
    <row r="7022" spans="3:6" x14ac:dyDescent="0.3">
      <c r="C7022" s="3"/>
      <c r="D7022" s="3"/>
      <c r="E7022" s="3"/>
      <c r="F7022" s="3"/>
    </row>
    <row r="7023" spans="3:6" x14ac:dyDescent="0.3">
      <c r="C7023" s="3"/>
      <c r="D7023" s="3"/>
      <c r="E7023" s="3"/>
      <c r="F7023" s="3"/>
    </row>
    <row r="7024" spans="3:6" x14ac:dyDescent="0.3">
      <c r="C7024" s="3"/>
      <c r="D7024" s="3"/>
      <c r="E7024" s="3"/>
      <c r="F7024" s="3"/>
    </row>
    <row r="7025" spans="3:6" x14ac:dyDescent="0.3">
      <c r="C7025" s="3"/>
      <c r="D7025" s="3"/>
      <c r="E7025" s="3"/>
      <c r="F7025" s="3"/>
    </row>
    <row r="7026" spans="3:6" x14ac:dyDescent="0.3">
      <c r="C7026" s="3"/>
      <c r="D7026" s="3"/>
      <c r="E7026" s="3"/>
      <c r="F7026" s="3"/>
    </row>
    <row r="7027" spans="3:6" x14ac:dyDescent="0.3">
      <c r="C7027" s="3"/>
      <c r="D7027" s="3"/>
      <c r="E7027" s="3"/>
      <c r="F7027" s="3"/>
    </row>
    <row r="7028" spans="3:6" x14ac:dyDescent="0.3">
      <c r="C7028" s="3"/>
      <c r="D7028" s="3"/>
      <c r="E7028" s="3"/>
      <c r="F7028" s="3"/>
    </row>
    <row r="7029" spans="3:6" x14ac:dyDescent="0.3">
      <c r="C7029" s="3"/>
      <c r="D7029" s="3"/>
      <c r="E7029" s="3"/>
      <c r="F7029" s="3"/>
    </row>
    <row r="7030" spans="3:6" x14ac:dyDescent="0.3">
      <c r="C7030" s="3"/>
      <c r="D7030" s="3"/>
      <c r="E7030" s="3"/>
      <c r="F7030" s="3"/>
    </row>
    <row r="7031" spans="3:6" x14ac:dyDescent="0.3">
      <c r="C7031" s="3"/>
      <c r="D7031" s="3"/>
      <c r="E7031" s="3"/>
      <c r="F7031" s="3"/>
    </row>
    <row r="7032" spans="3:6" x14ac:dyDescent="0.3">
      <c r="C7032" s="3"/>
      <c r="D7032" s="3"/>
      <c r="E7032" s="3"/>
      <c r="F7032" s="3"/>
    </row>
    <row r="7033" spans="3:6" x14ac:dyDescent="0.3">
      <c r="C7033" s="3"/>
      <c r="D7033" s="3"/>
      <c r="E7033" s="3"/>
      <c r="F7033" s="3"/>
    </row>
    <row r="7034" spans="3:6" x14ac:dyDescent="0.3">
      <c r="C7034" s="3"/>
      <c r="D7034" s="3"/>
      <c r="E7034" s="3"/>
      <c r="F7034" s="3"/>
    </row>
    <row r="7035" spans="3:6" x14ac:dyDescent="0.3">
      <c r="C7035" s="3"/>
      <c r="D7035" s="3"/>
      <c r="E7035" s="3"/>
      <c r="F7035" s="3"/>
    </row>
    <row r="7036" spans="3:6" x14ac:dyDescent="0.3">
      <c r="C7036" s="3"/>
      <c r="D7036" s="3"/>
      <c r="E7036" s="3"/>
      <c r="F7036" s="3"/>
    </row>
    <row r="7037" spans="3:6" x14ac:dyDescent="0.3">
      <c r="C7037" s="3"/>
      <c r="D7037" s="3"/>
      <c r="E7037" s="3"/>
      <c r="F7037" s="3"/>
    </row>
    <row r="7038" spans="3:6" x14ac:dyDescent="0.3">
      <c r="C7038" s="3"/>
      <c r="D7038" s="3"/>
      <c r="E7038" s="3"/>
      <c r="F7038" s="3"/>
    </row>
    <row r="7039" spans="3:6" x14ac:dyDescent="0.3">
      <c r="C7039" s="3"/>
      <c r="D7039" s="3"/>
      <c r="E7039" s="3"/>
      <c r="F7039" s="3"/>
    </row>
    <row r="7040" spans="3:6" x14ac:dyDescent="0.3">
      <c r="C7040" s="3"/>
      <c r="D7040" s="3"/>
      <c r="E7040" s="3"/>
      <c r="F7040" s="3"/>
    </row>
    <row r="7041" spans="3:6" x14ac:dyDescent="0.3">
      <c r="C7041" s="3"/>
      <c r="D7041" s="3"/>
      <c r="E7041" s="3"/>
      <c r="F7041" s="3"/>
    </row>
    <row r="7042" spans="3:6" x14ac:dyDescent="0.3">
      <c r="C7042" s="3"/>
      <c r="D7042" s="3"/>
      <c r="E7042" s="3"/>
      <c r="F7042" s="3"/>
    </row>
    <row r="7043" spans="3:6" x14ac:dyDescent="0.3">
      <c r="C7043" s="3"/>
      <c r="D7043" s="3"/>
      <c r="E7043" s="3"/>
      <c r="F7043" s="3"/>
    </row>
    <row r="7044" spans="3:6" x14ac:dyDescent="0.3">
      <c r="C7044" s="3"/>
      <c r="D7044" s="3"/>
      <c r="E7044" s="3"/>
      <c r="F7044" s="3"/>
    </row>
    <row r="7045" spans="3:6" x14ac:dyDescent="0.3">
      <c r="C7045" s="3"/>
      <c r="D7045" s="3"/>
      <c r="E7045" s="3"/>
      <c r="F7045" s="3"/>
    </row>
    <row r="7046" spans="3:6" x14ac:dyDescent="0.3">
      <c r="C7046" s="3"/>
      <c r="D7046" s="3"/>
      <c r="E7046" s="3"/>
      <c r="F7046" s="3"/>
    </row>
    <row r="7047" spans="3:6" x14ac:dyDescent="0.3">
      <c r="C7047" s="3"/>
      <c r="D7047" s="3"/>
      <c r="E7047" s="3"/>
      <c r="F7047" s="3"/>
    </row>
    <row r="7048" spans="3:6" x14ac:dyDescent="0.3">
      <c r="C7048" s="3"/>
      <c r="D7048" s="3"/>
      <c r="E7048" s="3"/>
      <c r="F7048" s="3"/>
    </row>
    <row r="7049" spans="3:6" x14ac:dyDescent="0.3">
      <c r="C7049" s="3"/>
      <c r="D7049" s="3"/>
      <c r="E7049" s="3"/>
      <c r="F7049" s="3"/>
    </row>
    <row r="7050" spans="3:6" x14ac:dyDescent="0.3">
      <c r="C7050" s="3"/>
      <c r="D7050" s="3"/>
      <c r="E7050" s="3"/>
      <c r="F7050" s="3"/>
    </row>
    <row r="7051" spans="3:6" x14ac:dyDescent="0.3">
      <c r="C7051" s="3"/>
      <c r="D7051" s="3"/>
      <c r="E7051" s="3"/>
      <c r="F7051" s="3"/>
    </row>
    <row r="7052" spans="3:6" x14ac:dyDescent="0.3">
      <c r="C7052" s="3"/>
      <c r="D7052" s="3"/>
      <c r="E7052" s="3"/>
      <c r="F7052" s="3"/>
    </row>
    <row r="7053" spans="3:6" x14ac:dyDescent="0.3">
      <c r="C7053" s="3"/>
      <c r="D7053" s="3"/>
      <c r="E7053" s="3"/>
      <c r="F7053" s="3"/>
    </row>
    <row r="7054" spans="3:6" x14ac:dyDescent="0.3">
      <c r="C7054" s="3"/>
      <c r="D7054" s="3"/>
      <c r="E7054" s="3"/>
      <c r="F7054" s="3"/>
    </row>
    <row r="7055" spans="3:6" x14ac:dyDescent="0.3">
      <c r="C7055" s="3"/>
      <c r="D7055" s="3"/>
      <c r="E7055" s="3"/>
      <c r="F7055" s="3"/>
    </row>
    <row r="7056" spans="3:6" x14ac:dyDescent="0.3">
      <c r="C7056" s="3"/>
      <c r="D7056" s="3"/>
      <c r="E7056" s="3"/>
      <c r="F7056" s="3"/>
    </row>
    <row r="7057" spans="3:6" x14ac:dyDescent="0.3">
      <c r="C7057" s="3"/>
      <c r="D7057" s="3"/>
      <c r="E7057" s="3"/>
      <c r="F7057" s="3"/>
    </row>
    <row r="7058" spans="3:6" x14ac:dyDescent="0.3">
      <c r="C7058" s="3"/>
      <c r="D7058" s="3"/>
      <c r="E7058" s="3"/>
      <c r="F7058" s="3"/>
    </row>
    <row r="7059" spans="3:6" x14ac:dyDescent="0.3">
      <c r="C7059" s="3"/>
      <c r="D7059" s="3"/>
      <c r="E7059" s="3"/>
      <c r="F7059" s="3"/>
    </row>
    <row r="7060" spans="3:6" x14ac:dyDescent="0.3">
      <c r="C7060" s="3"/>
      <c r="D7060" s="3"/>
      <c r="E7060" s="3"/>
      <c r="F7060" s="3"/>
    </row>
    <row r="7061" spans="3:6" x14ac:dyDescent="0.3">
      <c r="C7061" s="3"/>
      <c r="D7061" s="3"/>
      <c r="E7061" s="3"/>
      <c r="F7061" s="3"/>
    </row>
    <row r="7062" spans="3:6" x14ac:dyDescent="0.3">
      <c r="C7062" s="3"/>
      <c r="D7062" s="3"/>
      <c r="E7062" s="3"/>
      <c r="F7062" s="3"/>
    </row>
    <row r="7063" spans="3:6" x14ac:dyDescent="0.3">
      <c r="C7063" s="3"/>
      <c r="D7063" s="3"/>
      <c r="E7063" s="3"/>
      <c r="F7063" s="3"/>
    </row>
    <row r="7064" spans="3:6" x14ac:dyDescent="0.3">
      <c r="C7064" s="3"/>
      <c r="D7064" s="3"/>
      <c r="E7064" s="3"/>
      <c r="F7064" s="3"/>
    </row>
    <row r="7065" spans="3:6" x14ac:dyDescent="0.3">
      <c r="C7065" s="3"/>
      <c r="D7065" s="3"/>
      <c r="E7065" s="3"/>
      <c r="F7065" s="3"/>
    </row>
    <row r="7066" spans="3:6" x14ac:dyDescent="0.3">
      <c r="C7066" s="3"/>
      <c r="D7066" s="3"/>
      <c r="E7066" s="3"/>
      <c r="F7066" s="3"/>
    </row>
    <row r="7067" spans="3:6" x14ac:dyDescent="0.3">
      <c r="C7067" s="3"/>
      <c r="D7067" s="3"/>
      <c r="E7067" s="3"/>
      <c r="F7067" s="3"/>
    </row>
    <row r="7068" spans="3:6" x14ac:dyDescent="0.3">
      <c r="C7068" s="3"/>
      <c r="D7068" s="3"/>
      <c r="E7068" s="3"/>
      <c r="F7068" s="3"/>
    </row>
    <row r="7069" spans="3:6" x14ac:dyDescent="0.3">
      <c r="C7069" s="3"/>
      <c r="D7069" s="3"/>
      <c r="E7069" s="3"/>
      <c r="F7069" s="3"/>
    </row>
    <row r="7070" spans="3:6" x14ac:dyDescent="0.3">
      <c r="C7070" s="3"/>
      <c r="D7070" s="3"/>
      <c r="E7070" s="3"/>
      <c r="F7070" s="3"/>
    </row>
    <row r="7071" spans="3:6" x14ac:dyDescent="0.3">
      <c r="C7071" s="3"/>
      <c r="D7071" s="3"/>
      <c r="E7071" s="3"/>
      <c r="F7071" s="3"/>
    </row>
    <row r="7072" spans="3:6" x14ac:dyDescent="0.3">
      <c r="C7072" s="3"/>
      <c r="D7072" s="3"/>
      <c r="E7072" s="3"/>
      <c r="F7072" s="3"/>
    </row>
    <row r="7073" spans="3:6" x14ac:dyDescent="0.3">
      <c r="C7073" s="3"/>
      <c r="D7073" s="3"/>
      <c r="E7073" s="3"/>
      <c r="F7073" s="3"/>
    </row>
    <row r="7074" spans="3:6" x14ac:dyDescent="0.3">
      <c r="C7074" s="3"/>
      <c r="D7074" s="3"/>
      <c r="E7074" s="3"/>
      <c r="F7074" s="3"/>
    </row>
    <row r="7075" spans="3:6" x14ac:dyDescent="0.3">
      <c r="C7075" s="3"/>
      <c r="D7075" s="3"/>
      <c r="E7075" s="3"/>
      <c r="F7075" s="3"/>
    </row>
    <row r="7076" spans="3:6" x14ac:dyDescent="0.3">
      <c r="C7076" s="3"/>
      <c r="D7076" s="3"/>
      <c r="E7076" s="3"/>
      <c r="F7076" s="3"/>
    </row>
    <row r="7077" spans="3:6" x14ac:dyDescent="0.3">
      <c r="C7077" s="3"/>
      <c r="D7077" s="3"/>
      <c r="E7077" s="3"/>
      <c r="F7077" s="3"/>
    </row>
    <row r="7078" spans="3:6" x14ac:dyDescent="0.3">
      <c r="C7078" s="3"/>
      <c r="D7078" s="3"/>
      <c r="E7078" s="3"/>
      <c r="F7078" s="3"/>
    </row>
    <row r="7079" spans="3:6" x14ac:dyDescent="0.3">
      <c r="C7079" s="3"/>
      <c r="D7079" s="3"/>
      <c r="E7079" s="3"/>
      <c r="F7079" s="3"/>
    </row>
    <row r="7080" spans="3:6" x14ac:dyDescent="0.3">
      <c r="C7080" s="3"/>
      <c r="D7080" s="3"/>
      <c r="E7080" s="3"/>
      <c r="F7080" s="3"/>
    </row>
    <row r="7081" spans="3:6" x14ac:dyDescent="0.3">
      <c r="C7081" s="3"/>
      <c r="D7081" s="3"/>
      <c r="E7081" s="3"/>
      <c r="F7081" s="3"/>
    </row>
    <row r="7082" spans="3:6" x14ac:dyDescent="0.3">
      <c r="C7082" s="3"/>
      <c r="D7082" s="3"/>
      <c r="E7082" s="3"/>
      <c r="F7082" s="3"/>
    </row>
    <row r="7083" spans="3:6" x14ac:dyDescent="0.3">
      <c r="C7083" s="3"/>
      <c r="D7083" s="3"/>
      <c r="E7083" s="3"/>
      <c r="F7083" s="3"/>
    </row>
    <row r="7084" spans="3:6" x14ac:dyDescent="0.3">
      <c r="C7084" s="3"/>
      <c r="D7084" s="3"/>
      <c r="E7084" s="3"/>
      <c r="F7084" s="3"/>
    </row>
    <row r="7085" spans="3:6" x14ac:dyDescent="0.3">
      <c r="C7085" s="3"/>
      <c r="D7085" s="3"/>
      <c r="E7085" s="3"/>
      <c r="F7085" s="3"/>
    </row>
    <row r="7086" spans="3:6" x14ac:dyDescent="0.3">
      <c r="C7086" s="3"/>
      <c r="D7086" s="3"/>
      <c r="E7086" s="3"/>
      <c r="F7086" s="3"/>
    </row>
    <row r="7087" spans="3:6" x14ac:dyDescent="0.3">
      <c r="C7087" s="3"/>
      <c r="D7087" s="3"/>
      <c r="E7087" s="3"/>
      <c r="F7087" s="3"/>
    </row>
    <row r="7088" spans="3:6" x14ac:dyDescent="0.3">
      <c r="C7088" s="3"/>
      <c r="D7088" s="3"/>
      <c r="E7088" s="3"/>
      <c r="F7088" s="3"/>
    </row>
    <row r="7089" spans="3:6" x14ac:dyDescent="0.3">
      <c r="C7089" s="3"/>
      <c r="D7089" s="3"/>
      <c r="E7089" s="3"/>
      <c r="F7089" s="3"/>
    </row>
    <row r="7090" spans="3:6" x14ac:dyDescent="0.3">
      <c r="C7090" s="3"/>
      <c r="D7090" s="3"/>
      <c r="E7090" s="3"/>
      <c r="F7090" s="3"/>
    </row>
    <row r="7091" spans="3:6" x14ac:dyDescent="0.3">
      <c r="C7091" s="3"/>
      <c r="D7091" s="3"/>
      <c r="E7091" s="3"/>
      <c r="F7091" s="3"/>
    </row>
    <row r="7092" spans="3:6" x14ac:dyDescent="0.3">
      <c r="C7092" s="3"/>
      <c r="D7092" s="3"/>
      <c r="E7092" s="3"/>
      <c r="F7092" s="3"/>
    </row>
    <row r="7093" spans="3:6" x14ac:dyDescent="0.3">
      <c r="C7093" s="3"/>
      <c r="D7093" s="3"/>
      <c r="E7093" s="3"/>
      <c r="F7093" s="3"/>
    </row>
    <row r="7094" spans="3:6" x14ac:dyDescent="0.3">
      <c r="C7094" s="3"/>
      <c r="D7094" s="3"/>
      <c r="E7094" s="3"/>
      <c r="F7094" s="3"/>
    </row>
    <row r="7095" spans="3:6" x14ac:dyDescent="0.3">
      <c r="C7095" s="3"/>
      <c r="D7095" s="3"/>
      <c r="E7095" s="3"/>
      <c r="F7095" s="3"/>
    </row>
    <row r="7096" spans="3:6" x14ac:dyDescent="0.3">
      <c r="C7096" s="3"/>
      <c r="D7096" s="3"/>
      <c r="E7096" s="3"/>
      <c r="F7096" s="3"/>
    </row>
    <row r="7097" spans="3:6" x14ac:dyDescent="0.3">
      <c r="C7097" s="3"/>
      <c r="D7097" s="3"/>
      <c r="E7097" s="3"/>
      <c r="F7097" s="3"/>
    </row>
    <row r="7098" spans="3:6" x14ac:dyDescent="0.3">
      <c r="C7098" s="3"/>
      <c r="D7098" s="3"/>
      <c r="E7098" s="3"/>
      <c r="F7098" s="3"/>
    </row>
    <row r="7099" spans="3:6" x14ac:dyDescent="0.3">
      <c r="C7099" s="3"/>
      <c r="D7099" s="3"/>
      <c r="E7099" s="3"/>
      <c r="F7099" s="3"/>
    </row>
    <row r="7100" spans="3:6" x14ac:dyDescent="0.3">
      <c r="C7100" s="3"/>
      <c r="D7100" s="3"/>
      <c r="E7100" s="3"/>
      <c r="F7100" s="3"/>
    </row>
    <row r="7101" spans="3:6" x14ac:dyDescent="0.3">
      <c r="C7101" s="3"/>
      <c r="D7101" s="3"/>
      <c r="E7101" s="3"/>
      <c r="F7101" s="3"/>
    </row>
    <row r="7102" spans="3:6" x14ac:dyDescent="0.3">
      <c r="C7102" s="3"/>
      <c r="D7102" s="3"/>
      <c r="E7102" s="3"/>
      <c r="F7102" s="3"/>
    </row>
    <row r="7103" spans="3:6" x14ac:dyDescent="0.3">
      <c r="C7103" s="3"/>
      <c r="D7103" s="3"/>
      <c r="E7103" s="3"/>
      <c r="F7103" s="3"/>
    </row>
    <row r="7104" spans="3:6" x14ac:dyDescent="0.3">
      <c r="C7104" s="3"/>
      <c r="D7104" s="3"/>
      <c r="E7104" s="3"/>
      <c r="F7104" s="3"/>
    </row>
    <row r="7105" spans="3:6" x14ac:dyDescent="0.3">
      <c r="C7105" s="3"/>
      <c r="D7105" s="3"/>
      <c r="E7105" s="3"/>
      <c r="F7105" s="3"/>
    </row>
    <row r="7106" spans="3:6" x14ac:dyDescent="0.3">
      <c r="C7106" s="3"/>
      <c r="D7106" s="3"/>
      <c r="E7106" s="3"/>
      <c r="F7106" s="3"/>
    </row>
    <row r="7107" spans="3:6" x14ac:dyDescent="0.3">
      <c r="C7107" s="3"/>
      <c r="D7107" s="3"/>
      <c r="E7107" s="3"/>
      <c r="F7107" s="3"/>
    </row>
    <row r="7108" spans="3:6" x14ac:dyDescent="0.3">
      <c r="C7108" s="3"/>
      <c r="D7108" s="3"/>
      <c r="E7108" s="3"/>
      <c r="F7108" s="3"/>
    </row>
    <row r="7109" spans="3:6" x14ac:dyDescent="0.3">
      <c r="C7109" s="3"/>
      <c r="D7109" s="3"/>
      <c r="E7109" s="3"/>
      <c r="F7109" s="3"/>
    </row>
    <row r="7110" spans="3:6" x14ac:dyDescent="0.3">
      <c r="C7110" s="3"/>
      <c r="D7110" s="3"/>
      <c r="E7110" s="3"/>
      <c r="F7110" s="3"/>
    </row>
    <row r="7111" spans="3:6" x14ac:dyDescent="0.3">
      <c r="C7111" s="3"/>
      <c r="D7111" s="3"/>
      <c r="E7111" s="3"/>
      <c r="F7111" s="3"/>
    </row>
    <row r="7112" spans="3:6" x14ac:dyDescent="0.3">
      <c r="C7112" s="3"/>
      <c r="D7112" s="3"/>
      <c r="E7112" s="3"/>
      <c r="F7112" s="3"/>
    </row>
    <row r="7113" spans="3:6" x14ac:dyDescent="0.3">
      <c r="C7113" s="3"/>
      <c r="D7113" s="3"/>
      <c r="E7113" s="3"/>
      <c r="F7113" s="3"/>
    </row>
    <row r="7114" spans="3:6" x14ac:dyDescent="0.3">
      <c r="C7114" s="3"/>
      <c r="D7114" s="3"/>
      <c r="E7114" s="3"/>
      <c r="F7114" s="3"/>
    </row>
    <row r="7115" spans="3:6" x14ac:dyDescent="0.3">
      <c r="C7115" s="3"/>
      <c r="D7115" s="3"/>
      <c r="E7115" s="3"/>
      <c r="F7115" s="3"/>
    </row>
    <row r="7116" spans="3:6" x14ac:dyDescent="0.3">
      <c r="C7116" s="3"/>
      <c r="D7116" s="3"/>
      <c r="E7116" s="3"/>
      <c r="F7116" s="3"/>
    </row>
    <row r="7117" spans="3:6" x14ac:dyDescent="0.3">
      <c r="C7117" s="3"/>
      <c r="D7117" s="3"/>
      <c r="E7117" s="3"/>
      <c r="F7117" s="3"/>
    </row>
    <row r="7118" spans="3:6" x14ac:dyDescent="0.3">
      <c r="C7118" s="3"/>
      <c r="D7118" s="3"/>
      <c r="E7118" s="3"/>
      <c r="F7118" s="3"/>
    </row>
    <row r="7119" spans="3:6" x14ac:dyDescent="0.3">
      <c r="C7119" s="3"/>
      <c r="D7119" s="3"/>
      <c r="E7119" s="3"/>
      <c r="F7119" s="3"/>
    </row>
    <row r="7120" spans="3:6" x14ac:dyDescent="0.3">
      <c r="C7120" s="3"/>
      <c r="D7120" s="3"/>
      <c r="E7120" s="3"/>
      <c r="F7120" s="3"/>
    </row>
    <row r="7121" spans="3:6" x14ac:dyDescent="0.3">
      <c r="C7121" s="3"/>
      <c r="D7121" s="3"/>
      <c r="E7121" s="3"/>
      <c r="F7121" s="3"/>
    </row>
    <row r="7122" spans="3:6" x14ac:dyDescent="0.3">
      <c r="C7122" s="3"/>
      <c r="D7122" s="3"/>
      <c r="E7122" s="3"/>
      <c r="F7122" s="3"/>
    </row>
    <row r="7123" spans="3:6" x14ac:dyDescent="0.3">
      <c r="C7123" s="3"/>
      <c r="D7123" s="3"/>
      <c r="E7123" s="3"/>
      <c r="F7123" s="3"/>
    </row>
    <row r="7124" spans="3:6" x14ac:dyDescent="0.3">
      <c r="C7124" s="3"/>
      <c r="D7124" s="3"/>
      <c r="E7124" s="3"/>
      <c r="F7124" s="3"/>
    </row>
    <row r="7125" spans="3:6" x14ac:dyDescent="0.3">
      <c r="C7125" s="3"/>
      <c r="D7125" s="3"/>
      <c r="E7125" s="3"/>
      <c r="F7125" s="3"/>
    </row>
    <row r="7126" spans="3:6" x14ac:dyDescent="0.3">
      <c r="C7126" s="3"/>
      <c r="D7126" s="3"/>
      <c r="E7126" s="3"/>
      <c r="F7126" s="3"/>
    </row>
    <row r="7127" spans="3:6" x14ac:dyDescent="0.3">
      <c r="C7127" s="3"/>
      <c r="D7127" s="3"/>
      <c r="E7127" s="3"/>
      <c r="F7127" s="3"/>
    </row>
    <row r="7128" spans="3:6" x14ac:dyDescent="0.3">
      <c r="C7128" s="3"/>
      <c r="D7128" s="3"/>
      <c r="E7128" s="3"/>
      <c r="F7128" s="3"/>
    </row>
    <row r="7129" spans="3:6" x14ac:dyDescent="0.3">
      <c r="C7129" s="3"/>
      <c r="D7129" s="3"/>
      <c r="E7129" s="3"/>
      <c r="F7129" s="3"/>
    </row>
    <row r="7130" spans="3:6" x14ac:dyDescent="0.3">
      <c r="C7130" s="3"/>
      <c r="D7130" s="3"/>
      <c r="E7130" s="3"/>
      <c r="F7130" s="3"/>
    </row>
    <row r="7131" spans="3:6" x14ac:dyDescent="0.3">
      <c r="C7131" s="3"/>
      <c r="D7131" s="3"/>
      <c r="E7131" s="3"/>
      <c r="F7131" s="3"/>
    </row>
    <row r="7132" spans="3:6" x14ac:dyDescent="0.3">
      <c r="C7132" s="3"/>
      <c r="D7132" s="3"/>
      <c r="E7132" s="3"/>
      <c r="F7132" s="3"/>
    </row>
    <row r="7133" spans="3:6" x14ac:dyDescent="0.3">
      <c r="C7133" s="3"/>
      <c r="D7133" s="3"/>
      <c r="E7133" s="3"/>
      <c r="F7133" s="3"/>
    </row>
    <row r="7134" spans="3:6" x14ac:dyDescent="0.3">
      <c r="C7134" s="3"/>
      <c r="D7134" s="3"/>
      <c r="E7134" s="3"/>
      <c r="F7134" s="3"/>
    </row>
    <row r="7135" spans="3:6" x14ac:dyDescent="0.3">
      <c r="C7135" s="3"/>
      <c r="D7135" s="3"/>
      <c r="E7135" s="3"/>
      <c r="F7135" s="3"/>
    </row>
    <row r="7136" spans="3:6" x14ac:dyDescent="0.3">
      <c r="C7136" s="3"/>
      <c r="D7136" s="3"/>
      <c r="E7136" s="3"/>
      <c r="F7136" s="3"/>
    </row>
    <row r="7137" spans="3:6" x14ac:dyDescent="0.3">
      <c r="C7137" s="3"/>
      <c r="D7137" s="3"/>
      <c r="E7137" s="3"/>
      <c r="F7137" s="3"/>
    </row>
    <row r="7138" spans="3:6" x14ac:dyDescent="0.3">
      <c r="C7138" s="3"/>
      <c r="D7138" s="3"/>
      <c r="E7138" s="3"/>
      <c r="F7138" s="3"/>
    </row>
    <row r="7139" spans="3:6" x14ac:dyDescent="0.3">
      <c r="C7139" s="3"/>
      <c r="D7139" s="3"/>
      <c r="E7139" s="3"/>
      <c r="F7139" s="3"/>
    </row>
    <row r="7140" spans="3:6" x14ac:dyDescent="0.3">
      <c r="C7140" s="3"/>
      <c r="D7140" s="3"/>
      <c r="E7140" s="3"/>
      <c r="F7140" s="3"/>
    </row>
    <row r="7141" spans="3:6" x14ac:dyDescent="0.3">
      <c r="C7141" s="3"/>
      <c r="D7141" s="3"/>
      <c r="E7141" s="3"/>
      <c r="F7141" s="3"/>
    </row>
    <row r="7142" spans="3:6" x14ac:dyDescent="0.3">
      <c r="C7142" s="3"/>
      <c r="D7142" s="3"/>
      <c r="E7142" s="3"/>
      <c r="F7142" s="3"/>
    </row>
    <row r="7143" spans="3:6" x14ac:dyDescent="0.3">
      <c r="C7143" s="3"/>
      <c r="D7143" s="3"/>
      <c r="E7143" s="3"/>
      <c r="F7143" s="3"/>
    </row>
    <row r="7144" spans="3:6" x14ac:dyDescent="0.3">
      <c r="C7144" s="3"/>
      <c r="D7144" s="3"/>
      <c r="E7144" s="3"/>
      <c r="F7144" s="3"/>
    </row>
    <row r="7145" spans="3:6" x14ac:dyDescent="0.3">
      <c r="C7145" s="3"/>
      <c r="D7145" s="3"/>
      <c r="E7145" s="3"/>
      <c r="F7145" s="3"/>
    </row>
    <row r="7146" spans="3:6" x14ac:dyDescent="0.3">
      <c r="C7146" s="3"/>
      <c r="D7146" s="3"/>
      <c r="E7146" s="3"/>
      <c r="F7146" s="3"/>
    </row>
    <row r="7147" spans="3:6" x14ac:dyDescent="0.3">
      <c r="C7147" s="3"/>
      <c r="D7147" s="3"/>
      <c r="E7147" s="3"/>
      <c r="F7147" s="3"/>
    </row>
    <row r="7148" spans="3:6" x14ac:dyDescent="0.3">
      <c r="C7148" s="3"/>
      <c r="D7148" s="3"/>
      <c r="E7148" s="3"/>
      <c r="F7148" s="3"/>
    </row>
    <row r="7149" spans="3:6" x14ac:dyDescent="0.3">
      <c r="C7149" s="3"/>
      <c r="D7149" s="3"/>
      <c r="E7149" s="3"/>
      <c r="F7149" s="3"/>
    </row>
    <row r="7150" spans="3:6" x14ac:dyDescent="0.3">
      <c r="C7150" s="3"/>
      <c r="D7150" s="3"/>
      <c r="E7150" s="3"/>
      <c r="F7150" s="3"/>
    </row>
    <row r="7151" spans="3:6" x14ac:dyDescent="0.3">
      <c r="C7151" s="3"/>
      <c r="D7151" s="3"/>
      <c r="E7151" s="3"/>
      <c r="F7151" s="3"/>
    </row>
    <row r="7152" spans="3:6" x14ac:dyDescent="0.3">
      <c r="C7152" s="3"/>
      <c r="D7152" s="3"/>
      <c r="E7152" s="3"/>
      <c r="F7152" s="3"/>
    </row>
    <row r="7153" spans="3:6" x14ac:dyDescent="0.3">
      <c r="C7153" s="3"/>
      <c r="D7153" s="3"/>
      <c r="E7153" s="3"/>
      <c r="F7153" s="3"/>
    </row>
    <row r="7154" spans="3:6" x14ac:dyDescent="0.3">
      <c r="C7154" s="3"/>
      <c r="D7154" s="3"/>
      <c r="E7154" s="3"/>
      <c r="F7154" s="3"/>
    </row>
    <row r="7155" spans="3:6" x14ac:dyDescent="0.3">
      <c r="C7155" s="3"/>
      <c r="D7155" s="3"/>
      <c r="E7155" s="3"/>
      <c r="F7155" s="3"/>
    </row>
    <row r="7156" spans="3:6" x14ac:dyDescent="0.3">
      <c r="C7156" s="3"/>
      <c r="D7156" s="3"/>
      <c r="E7156" s="3"/>
      <c r="F7156" s="3"/>
    </row>
    <row r="7157" spans="3:6" x14ac:dyDescent="0.3">
      <c r="C7157" s="3"/>
      <c r="D7157" s="3"/>
      <c r="E7157" s="3"/>
      <c r="F7157" s="3"/>
    </row>
    <row r="7158" spans="3:6" x14ac:dyDescent="0.3">
      <c r="C7158" s="3"/>
      <c r="D7158" s="3"/>
      <c r="E7158" s="3"/>
      <c r="F7158" s="3"/>
    </row>
    <row r="7159" spans="3:6" x14ac:dyDescent="0.3">
      <c r="C7159" s="3"/>
      <c r="D7159" s="3"/>
      <c r="E7159" s="3"/>
      <c r="F7159" s="3"/>
    </row>
    <row r="7160" spans="3:6" x14ac:dyDescent="0.3">
      <c r="C7160" s="3"/>
      <c r="D7160" s="3"/>
      <c r="E7160" s="3"/>
      <c r="F7160" s="3"/>
    </row>
    <row r="7161" spans="3:6" x14ac:dyDescent="0.3">
      <c r="C7161" s="3"/>
      <c r="D7161" s="3"/>
      <c r="E7161" s="3"/>
      <c r="F7161" s="3"/>
    </row>
    <row r="7162" spans="3:6" x14ac:dyDescent="0.3">
      <c r="C7162" s="3"/>
      <c r="D7162" s="3"/>
      <c r="E7162" s="3"/>
      <c r="F7162" s="3"/>
    </row>
    <row r="7163" spans="3:6" x14ac:dyDescent="0.3">
      <c r="C7163" s="3"/>
      <c r="D7163" s="3"/>
      <c r="E7163" s="3"/>
      <c r="F7163" s="3"/>
    </row>
    <row r="7164" spans="3:6" x14ac:dyDescent="0.3">
      <c r="C7164" s="3"/>
      <c r="D7164" s="3"/>
      <c r="E7164" s="3"/>
      <c r="F7164" s="3"/>
    </row>
    <row r="7165" spans="3:6" x14ac:dyDescent="0.3">
      <c r="C7165" s="3"/>
      <c r="D7165" s="3"/>
      <c r="E7165" s="3"/>
      <c r="F7165" s="3"/>
    </row>
    <row r="7166" spans="3:6" x14ac:dyDescent="0.3">
      <c r="C7166" s="3"/>
      <c r="D7166" s="3"/>
      <c r="E7166" s="3"/>
      <c r="F7166" s="3"/>
    </row>
    <row r="7167" spans="3:6" x14ac:dyDescent="0.3">
      <c r="C7167" s="3"/>
      <c r="D7167" s="3"/>
      <c r="E7167" s="3"/>
      <c r="F7167" s="3"/>
    </row>
    <row r="7168" spans="3:6" x14ac:dyDescent="0.3">
      <c r="C7168" s="3"/>
      <c r="D7168" s="3"/>
      <c r="E7168" s="3"/>
      <c r="F7168" s="3"/>
    </row>
    <row r="7169" spans="3:6" x14ac:dyDescent="0.3">
      <c r="C7169" s="3"/>
      <c r="D7169" s="3"/>
      <c r="E7169" s="3"/>
      <c r="F7169" s="3"/>
    </row>
    <row r="7170" spans="3:6" x14ac:dyDescent="0.3">
      <c r="C7170" s="3"/>
      <c r="D7170" s="3"/>
      <c r="E7170" s="3"/>
      <c r="F7170" s="3"/>
    </row>
    <row r="7171" spans="3:6" x14ac:dyDescent="0.3">
      <c r="C7171" s="3"/>
      <c r="D7171" s="3"/>
      <c r="E7171" s="3"/>
      <c r="F7171" s="3"/>
    </row>
    <row r="7172" spans="3:6" x14ac:dyDescent="0.3">
      <c r="C7172" s="3"/>
      <c r="D7172" s="3"/>
      <c r="E7172" s="3"/>
      <c r="F7172" s="3"/>
    </row>
    <row r="7173" spans="3:6" x14ac:dyDescent="0.3">
      <c r="C7173" s="3"/>
      <c r="D7173" s="3"/>
      <c r="E7173" s="3"/>
      <c r="F7173" s="3"/>
    </row>
    <row r="7174" spans="3:6" x14ac:dyDescent="0.3">
      <c r="C7174" s="3"/>
      <c r="D7174" s="3"/>
      <c r="E7174" s="3"/>
      <c r="F7174" s="3"/>
    </row>
    <row r="7175" spans="3:6" x14ac:dyDescent="0.3">
      <c r="C7175" s="3"/>
      <c r="D7175" s="3"/>
      <c r="E7175" s="3"/>
      <c r="F7175" s="3"/>
    </row>
    <row r="7176" spans="3:6" x14ac:dyDescent="0.3">
      <c r="C7176" s="3"/>
      <c r="D7176" s="3"/>
      <c r="E7176" s="3"/>
      <c r="F7176" s="3"/>
    </row>
    <row r="7177" spans="3:6" x14ac:dyDescent="0.3">
      <c r="C7177" s="3"/>
      <c r="D7177" s="3"/>
      <c r="E7177" s="3"/>
      <c r="F7177" s="3"/>
    </row>
    <row r="7178" spans="3:6" x14ac:dyDescent="0.3">
      <c r="C7178" s="3"/>
      <c r="D7178" s="3"/>
      <c r="E7178" s="3"/>
      <c r="F7178" s="3"/>
    </row>
    <row r="7179" spans="3:6" x14ac:dyDescent="0.3">
      <c r="C7179" s="3"/>
      <c r="D7179" s="3"/>
      <c r="E7179" s="3"/>
      <c r="F7179" s="3"/>
    </row>
    <row r="7180" spans="3:6" x14ac:dyDescent="0.3">
      <c r="C7180" s="3"/>
      <c r="D7180" s="3"/>
      <c r="E7180" s="3"/>
      <c r="F7180" s="3"/>
    </row>
    <row r="7181" spans="3:6" x14ac:dyDescent="0.3">
      <c r="C7181" s="3"/>
      <c r="D7181" s="3"/>
      <c r="E7181" s="3"/>
      <c r="F7181" s="3"/>
    </row>
    <row r="7182" spans="3:6" x14ac:dyDescent="0.3">
      <c r="C7182" s="3"/>
      <c r="D7182" s="3"/>
      <c r="E7182" s="3"/>
      <c r="F7182" s="3"/>
    </row>
    <row r="7183" spans="3:6" x14ac:dyDescent="0.3">
      <c r="C7183" s="3"/>
      <c r="D7183" s="3"/>
      <c r="E7183" s="3"/>
      <c r="F7183" s="3"/>
    </row>
    <row r="7184" spans="3:6" x14ac:dyDescent="0.3">
      <c r="C7184" s="3"/>
      <c r="D7184" s="3"/>
      <c r="E7184" s="3"/>
      <c r="F7184" s="3"/>
    </row>
    <row r="7185" spans="3:6" x14ac:dyDescent="0.3">
      <c r="C7185" s="3"/>
      <c r="D7185" s="3"/>
      <c r="E7185" s="3"/>
      <c r="F7185" s="3"/>
    </row>
    <row r="7186" spans="3:6" x14ac:dyDescent="0.3">
      <c r="C7186" s="3"/>
      <c r="D7186" s="3"/>
      <c r="E7186" s="3"/>
      <c r="F7186" s="3"/>
    </row>
    <row r="7187" spans="3:6" x14ac:dyDescent="0.3">
      <c r="C7187" s="3"/>
      <c r="D7187" s="3"/>
      <c r="E7187" s="3"/>
      <c r="F7187" s="3"/>
    </row>
    <row r="7188" spans="3:6" x14ac:dyDescent="0.3">
      <c r="C7188" s="3"/>
      <c r="D7188" s="3"/>
      <c r="E7188" s="3"/>
      <c r="F7188" s="3"/>
    </row>
    <row r="7189" spans="3:6" x14ac:dyDescent="0.3">
      <c r="C7189" s="3"/>
      <c r="D7189" s="3"/>
      <c r="E7189" s="3"/>
      <c r="F7189" s="3"/>
    </row>
    <row r="7190" spans="3:6" x14ac:dyDescent="0.3">
      <c r="C7190" s="3"/>
      <c r="D7190" s="3"/>
      <c r="E7190" s="3"/>
      <c r="F7190" s="3"/>
    </row>
    <row r="7191" spans="3:6" x14ac:dyDescent="0.3">
      <c r="C7191" s="3"/>
      <c r="D7191" s="3"/>
      <c r="E7191" s="3"/>
      <c r="F7191" s="3"/>
    </row>
    <row r="7192" spans="3:6" x14ac:dyDescent="0.3">
      <c r="C7192" s="3"/>
      <c r="D7192" s="3"/>
      <c r="E7192" s="3"/>
      <c r="F7192" s="3"/>
    </row>
    <row r="7193" spans="3:6" x14ac:dyDescent="0.3">
      <c r="C7193" s="3"/>
      <c r="D7193" s="3"/>
      <c r="E7193" s="3"/>
      <c r="F7193" s="3"/>
    </row>
    <row r="7194" spans="3:6" x14ac:dyDescent="0.3">
      <c r="C7194" s="3"/>
      <c r="D7194" s="3"/>
      <c r="E7194" s="3"/>
      <c r="F7194" s="3"/>
    </row>
    <row r="7195" spans="3:6" x14ac:dyDescent="0.3">
      <c r="C7195" s="3"/>
      <c r="D7195" s="3"/>
      <c r="E7195" s="3"/>
      <c r="F7195" s="3"/>
    </row>
    <row r="7196" spans="3:6" x14ac:dyDescent="0.3">
      <c r="C7196" s="3"/>
      <c r="D7196" s="3"/>
      <c r="E7196" s="3"/>
      <c r="F7196" s="3"/>
    </row>
    <row r="7197" spans="3:6" x14ac:dyDescent="0.3">
      <c r="C7197" s="3"/>
      <c r="D7197" s="3"/>
      <c r="E7197" s="3"/>
      <c r="F7197" s="3"/>
    </row>
    <row r="7198" spans="3:6" x14ac:dyDescent="0.3">
      <c r="C7198" s="3"/>
      <c r="D7198" s="3"/>
      <c r="E7198" s="3"/>
      <c r="F7198" s="3"/>
    </row>
    <row r="7199" spans="3:6" x14ac:dyDescent="0.3">
      <c r="C7199" s="3"/>
      <c r="D7199" s="3"/>
      <c r="E7199" s="3"/>
      <c r="F7199" s="3"/>
    </row>
    <row r="7200" spans="3:6" x14ac:dyDescent="0.3">
      <c r="C7200" s="3"/>
      <c r="D7200" s="3"/>
      <c r="E7200" s="3"/>
      <c r="F7200" s="3"/>
    </row>
    <row r="7201" spans="3:6" x14ac:dyDescent="0.3">
      <c r="C7201" s="3"/>
      <c r="D7201" s="3"/>
      <c r="E7201" s="3"/>
      <c r="F7201" s="3"/>
    </row>
    <row r="7202" spans="3:6" x14ac:dyDescent="0.3">
      <c r="C7202" s="3"/>
      <c r="D7202" s="3"/>
      <c r="E7202" s="3"/>
      <c r="F7202" s="3"/>
    </row>
    <row r="7203" spans="3:6" x14ac:dyDescent="0.3">
      <c r="C7203" s="3"/>
      <c r="D7203" s="3"/>
      <c r="E7203" s="3"/>
      <c r="F7203" s="3"/>
    </row>
    <row r="7204" spans="3:6" x14ac:dyDescent="0.3">
      <c r="C7204" s="3"/>
      <c r="D7204" s="3"/>
      <c r="E7204" s="3"/>
      <c r="F7204" s="3"/>
    </row>
    <row r="7205" spans="3:6" x14ac:dyDescent="0.3">
      <c r="C7205" s="3"/>
      <c r="D7205" s="3"/>
      <c r="E7205" s="3"/>
      <c r="F7205" s="3"/>
    </row>
    <row r="7206" spans="3:6" x14ac:dyDescent="0.3">
      <c r="C7206" s="3"/>
      <c r="D7206" s="3"/>
      <c r="E7206" s="3"/>
      <c r="F7206" s="3"/>
    </row>
    <row r="7207" spans="3:6" x14ac:dyDescent="0.3">
      <c r="C7207" s="3"/>
      <c r="D7207" s="3"/>
      <c r="E7207" s="3"/>
      <c r="F7207" s="3"/>
    </row>
    <row r="7208" spans="3:6" x14ac:dyDescent="0.3">
      <c r="C7208" s="3"/>
      <c r="D7208" s="3"/>
      <c r="E7208" s="3"/>
      <c r="F7208" s="3"/>
    </row>
    <row r="7209" spans="3:6" x14ac:dyDescent="0.3">
      <c r="C7209" s="3"/>
      <c r="D7209" s="3"/>
      <c r="E7209" s="3"/>
      <c r="F7209" s="3"/>
    </row>
    <row r="7210" spans="3:6" x14ac:dyDescent="0.3">
      <c r="C7210" s="3"/>
      <c r="D7210" s="3"/>
      <c r="E7210" s="3"/>
      <c r="F7210" s="3"/>
    </row>
    <row r="7211" spans="3:6" x14ac:dyDescent="0.3">
      <c r="C7211" s="3"/>
      <c r="D7211" s="3"/>
      <c r="E7211" s="3"/>
      <c r="F7211" s="3"/>
    </row>
    <row r="7212" spans="3:6" x14ac:dyDescent="0.3">
      <c r="C7212" s="3"/>
      <c r="D7212" s="3"/>
      <c r="E7212" s="3"/>
      <c r="F7212" s="3"/>
    </row>
    <row r="7213" spans="3:6" x14ac:dyDescent="0.3">
      <c r="C7213" s="3"/>
      <c r="D7213" s="3"/>
      <c r="E7213" s="3"/>
      <c r="F7213" s="3"/>
    </row>
    <row r="7214" spans="3:6" x14ac:dyDescent="0.3">
      <c r="C7214" s="3"/>
      <c r="D7214" s="3"/>
      <c r="E7214" s="3"/>
      <c r="F7214" s="3"/>
    </row>
    <row r="7215" spans="3:6" x14ac:dyDescent="0.3">
      <c r="C7215" s="3"/>
      <c r="D7215" s="3"/>
      <c r="E7215" s="3"/>
      <c r="F7215" s="3"/>
    </row>
    <row r="7216" spans="3:6" x14ac:dyDescent="0.3">
      <c r="C7216" s="3"/>
      <c r="D7216" s="3"/>
      <c r="E7216" s="3"/>
      <c r="F7216" s="3"/>
    </row>
    <row r="7217" spans="3:6" x14ac:dyDescent="0.3">
      <c r="C7217" s="3"/>
      <c r="D7217" s="3"/>
      <c r="E7217" s="3"/>
      <c r="F7217" s="3"/>
    </row>
    <row r="7218" spans="3:6" x14ac:dyDescent="0.3">
      <c r="C7218" s="3"/>
      <c r="D7218" s="3"/>
      <c r="E7218" s="3"/>
      <c r="F7218" s="3"/>
    </row>
    <row r="7219" spans="3:6" x14ac:dyDescent="0.3">
      <c r="C7219" s="3"/>
      <c r="D7219" s="3"/>
      <c r="E7219" s="3"/>
      <c r="F7219" s="3"/>
    </row>
    <row r="7220" spans="3:6" x14ac:dyDescent="0.3">
      <c r="C7220" s="3"/>
      <c r="D7220" s="3"/>
      <c r="E7220" s="3"/>
      <c r="F7220" s="3"/>
    </row>
    <row r="7221" spans="3:6" x14ac:dyDescent="0.3">
      <c r="C7221" s="3"/>
      <c r="D7221" s="3"/>
      <c r="E7221" s="3"/>
      <c r="F7221" s="3"/>
    </row>
    <row r="7222" spans="3:6" x14ac:dyDescent="0.3">
      <c r="C7222" s="3"/>
      <c r="D7222" s="3"/>
      <c r="E7222" s="3"/>
      <c r="F7222" s="3"/>
    </row>
    <row r="7223" spans="3:6" x14ac:dyDescent="0.3">
      <c r="C7223" s="3"/>
      <c r="D7223" s="3"/>
      <c r="E7223" s="3"/>
      <c r="F7223" s="3"/>
    </row>
    <row r="7224" spans="3:6" x14ac:dyDescent="0.3">
      <c r="C7224" s="3"/>
      <c r="D7224" s="3"/>
      <c r="E7224" s="3"/>
      <c r="F7224" s="3"/>
    </row>
    <row r="7225" spans="3:6" x14ac:dyDescent="0.3">
      <c r="C7225" s="3"/>
      <c r="D7225" s="3"/>
      <c r="E7225" s="3"/>
      <c r="F7225" s="3"/>
    </row>
    <row r="7226" spans="3:6" x14ac:dyDescent="0.3">
      <c r="C7226" s="3"/>
      <c r="D7226" s="3"/>
      <c r="E7226" s="3"/>
      <c r="F7226" s="3"/>
    </row>
    <row r="7227" spans="3:6" x14ac:dyDescent="0.3">
      <c r="C7227" s="3"/>
      <c r="D7227" s="3"/>
      <c r="E7227" s="3"/>
      <c r="F7227" s="3"/>
    </row>
    <row r="7228" spans="3:6" x14ac:dyDescent="0.3">
      <c r="C7228" s="3"/>
      <c r="D7228" s="3"/>
      <c r="E7228" s="3"/>
      <c r="F7228" s="3"/>
    </row>
    <row r="7229" spans="3:6" x14ac:dyDescent="0.3">
      <c r="C7229" s="3"/>
      <c r="D7229" s="3"/>
      <c r="E7229" s="3"/>
      <c r="F7229" s="3"/>
    </row>
    <row r="7230" spans="3:6" x14ac:dyDescent="0.3">
      <c r="C7230" s="3"/>
      <c r="D7230" s="3"/>
      <c r="E7230" s="3"/>
      <c r="F7230" s="3"/>
    </row>
    <row r="7231" spans="3:6" x14ac:dyDescent="0.3">
      <c r="C7231" s="3"/>
      <c r="D7231" s="3"/>
      <c r="E7231" s="3"/>
      <c r="F7231" s="3"/>
    </row>
    <row r="7232" spans="3:6" x14ac:dyDescent="0.3">
      <c r="C7232" s="3"/>
      <c r="D7232" s="3"/>
      <c r="E7232" s="3"/>
      <c r="F7232" s="3"/>
    </row>
    <row r="7233" spans="3:6" x14ac:dyDescent="0.3">
      <c r="C7233" s="3"/>
      <c r="D7233" s="3"/>
      <c r="E7233" s="3"/>
      <c r="F7233" s="3"/>
    </row>
    <row r="7234" spans="3:6" x14ac:dyDescent="0.3">
      <c r="C7234" s="3"/>
      <c r="D7234" s="3"/>
      <c r="E7234" s="3"/>
      <c r="F7234" s="3"/>
    </row>
    <row r="7235" spans="3:6" x14ac:dyDescent="0.3">
      <c r="C7235" s="3"/>
      <c r="D7235" s="3"/>
      <c r="E7235" s="3"/>
      <c r="F7235" s="3"/>
    </row>
    <row r="7236" spans="3:6" x14ac:dyDescent="0.3">
      <c r="C7236" s="3"/>
      <c r="D7236" s="3"/>
      <c r="E7236" s="3"/>
      <c r="F7236" s="3"/>
    </row>
    <row r="7237" spans="3:6" x14ac:dyDescent="0.3">
      <c r="C7237" s="3"/>
      <c r="D7237" s="3"/>
      <c r="E7237" s="3"/>
      <c r="F7237" s="3"/>
    </row>
    <row r="7238" spans="3:6" x14ac:dyDescent="0.3">
      <c r="C7238" s="3"/>
      <c r="D7238" s="3"/>
      <c r="E7238" s="3"/>
      <c r="F7238" s="3"/>
    </row>
    <row r="7239" spans="3:6" x14ac:dyDescent="0.3">
      <c r="C7239" s="3"/>
      <c r="D7239" s="3"/>
      <c r="E7239" s="3"/>
      <c r="F7239" s="3"/>
    </row>
    <row r="7240" spans="3:6" x14ac:dyDescent="0.3">
      <c r="C7240" s="3"/>
      <c r="D7240" s="3"/>
      <c r="E7240" s="3"/>
      <c r="F7240" s="3"/>
    </row>
    <row r="7241" spans="3:6" x14ac:dyDescent="0.3">
      <c r="C7241" s="3"/>
      <c r="D7241" s="3"/>
      <c r="E7241" s="3"/>
      <c r="F7241" s="3"/>
    </row>
    <row r="7242" spans="3:6" x14ac:dyDescent="0.3">
      <c r="C7242" s="3"/>
      <c r="D7242" s="3"/>
      <c r="E7242" s="3"/>
      <c r="F7242" s="3"/>
    </row>
    <row r="7243" spans="3:6" x14ac:dyDescent="0.3">
      <c r="C7243" s="3"/>
      <c r="D7243" s="3"/>
      <c r="E7243" s="3"/>
      <c r="F7243" s="3"/>
    </row>
    <row r="7244" spans="3:6" x14ac:dyDescent="0.3">
      <c r="C7244" s="3"/>
      <c r="D7244" s="3"/>
      <c r="E7244" s="3"/>
      <c r="F7244" s="3"/>
    </row>
    <row r="7245" spans="3:6" x14ac:dyDescent="0.3">
      <c r="C7245" s="3"/>
      <c r="D7245" s="3"/>
      <c r="E7245" s="3"/>
      <c r="F7245" s="3"/>
    </row>
    <row r="7246" spans="3:6" x14ac:dyDescent="0.3">
      <c r="C7246" s="3"/>
      <c r="D7246" s="3"/>
      <c r="E7246" s="3"/>
      <c r="F7246" s="3"/>
    </row>
    <row r="7247" spans="3:6" x14ac:dyDescent="0.3">
      <c r="C7247" s="3"/>
      <c r="D7247" s="3"/>
      <c r="E7247" s="3"/>
      <c r="F7247" s="3"/>
    </row>
    <row r="7248" spans="3:6" x14ac:dyDescent="0.3">
      <c r="C7248" s="3"/>
      <c r="D7248" s="3"/>
      <c r="E7248" s="3"/>
      <c r="F7248" s="3"/>
    </row>
    <row r="7249" spans="3:6" x14ac:dyDescent="0.3">
      <c r="C7249" s="3"/>
      <c r="D7249" s="3"/>
      <c r="E7249" s="3"/>
      <c r="F7249" s="3"/>
    </row>
    <row r="7250" spans="3:6" x14ac:dyDescent="0.3">
      <c r="C7250" s="3"/>
      <c r="D7250" s="3"/>
      <c r="E7250" s="3"/>
      <c r="F7250" s="3"/>
    </row>
    <row r="7251" spans="3:6" x14ac:dyDescent="0.3">
      <c r="C7251" s="3"/>
      <c r="D7251" s="3"/>
      <c r="E7251" s="3"/>
      <c r="F7251" s="3"/>
    </row>
    <row r="7252" spans="3:6" x14ac:dyDescent="0.3">
      <c r="C7252" s="3"/>
      <c r="D7252" s="3"/>
      <c r="E7252" s="3"/>
      <c r="F7252" s="3"/>
    </row>
    <row r="7253" spans="3:6" x14ac:dyDescent="0.3">
      <c r="C7253" s="3"/>
      <c r="D7253" s="3"/>
      <c r="E7253" s="3"/>
      <c r="F7253" s="3"/>
    </row>
    <row r="7254" spans="3:6" x14ac:dyDescent="0.3">
      <c r="C7254" s="3"/>
      <c r="D7254" s="3"/>
      <c r="E7254" s="3"/>
      <c r="F7254" s="3"/>
    </row>
    <row r="7255" spans="3:6" x14ac:dyDescent="0.3">
      <c r="C7255" s="3"/>
      <c r="D7255" s="3"/>
      <c r="E7255" s="3"/>
      <c r="F7255" s="3"/>
    </row>
    <row r="7256" spans="3:6" x14ac:dyDescent="0.3">
      <c r="C7256" s="3"/>
      <c r="D7256" s="3"/>
      <c r="E7256" s="3"/>
      <c r="F7256" s="3"/>
    </row>
    <row r="7257" spans="3:6" x14ac:dyDescent="0.3">
      <c r="C7257" s="3"/>
      <c r="D7257" s="3"/>
      <c r="E7257" s="3"/>
      <c r="F7257" s="3"/>
    </row>
    <row r="7258" spans="3:6" x14ac:dyDescent="0.3">
      <c r="C7258" s="3"/>
      <c r="D7258" s="3"/>
      <c r="E7258" s="3"/>
      <c r="F7258" s="3"/>
    </row>
    <row r="7259" spans="3:6" x14ac:dyDescent="0.3">
      <c r="C7259" s="3"/>
      <c r="D7259" s="3"/>
      <c r="E7259" s="3"/>
      <c r="F7259" s="3"/>
    </row>
    <row r="7260" spans="3:6" x14ac:dyDescent="0.3">
      <c r="C7260" s="3"/>
      <c r="D7260" s="3"/>
      <c r="E7260" s="3"/>
      <c r="F7260" s="3"/>
    </row>
    <row r="7261" spans="3:6" x14ac:dyDescent="0.3">
      <c r="C7261" s="3"/>
      <c r="D7261" s="3"/>
      <c r="E7261" s="3"/>
      <c r="F7261" s="3"/>
    </row>
    <row r="7262" spans="3:6" x14ac:dyDescent="0.3">
      <c r="C7262" s="3"/>
      <c r="D7262" s="3"/>
      <c r="E7262" s="3"/>
      <c r="F7262" s="3"/>
    </row>
    <row r="7263" spans="3:6" x14ac:dyDescent="0.3">
      <c r="C7263" s="3"/>
      <c r="D7263" s="3"/>
      <c r="E7263" s="3"/>
      <c r="F7263" s="3"/>
    </row>
    <row r="7264" spans="3:6" x14ac:dyDescent="0.3">
      <c r="C7264" s="3"/>
      <c r="D7264" s="3"/>
      <c r="E7264" s="3"/>
      <c r="F7264" s="3"/>
    </row>
    <row r="7265" spans="3:6" x14ac:dyDescent="0.3">
      <c r="C7265" s="3"/>
      <c r="D7265" s="3"/>
      <c r="E7265" s="3"/>
      <c r="F7265" s="3"/>
    </row>
    <row r="7266" spans="3:6" x14ac:dyDescent="0.3">
      <c r="C7266" s="3"/>
      <c r="D7266" s="3"/>
      <c r="E7266" s="3"/>
      <c r="F7266" s="3"/>
    </row>
    <row r="7267" spans="3:6" x14ac:dyDescent="0.3">
      <c r="C7267" s="3"/>
      <c r="D7267" s="3"/>
      <c r="E7267" s="3"/>
      <c r="F7267" s="3"/>
    </row>
    <row r="7268" spans="3:6" x14ac:dyDescent="0.3">
      <c r="C7268" s="3"/>
      <c r="D7268" s="3"/>
      <c r="E7268" s="3"/>
      <c r="F7268" s="3"/>
    </row>
    <row r="7269" spans="3:6" x14ac:dyDescent="0.3">
      <c r="C7269" s="3"/>
      <c r="D7269" s="3"/>
      <c r="E7269" s="3"/>
      <c r="F7269" s="3"/>
    </row>
    <row r="7270" spans="3:6" x14ac:dyDescent="0.3">
      <c r="C7270" s="3"/>
      <c r="D7270" s="3"/>
      <c r="E7270" s="3"/>
      <c r="F7270" s="3"/>
    </row>
    <row r="7271" spans="3:6" x14ac:dyDescent="0.3">
      <c r="C7271" s="3"/>
      <c r="D7271" s="3"/>
      <c r="E7271" s="3"/>
      <c r="F7271" s="3"/>
    </row>
    <row r="7272" spans="3:6" x14ac:dyDescent="0.3">
      <c r="C7272" s="3"/>
      <c r="D7272" s="3"/>
      <c r="E7272" s="3"/>
      <c r="F7272" s="3"/>
    </row>
    <row r="7273" spans="3:6" x14ac:dyDescent="0.3">
      <c r="C7273" s="3"/>
      <c r="D7273" s="3"/>
      <c r="E7273" s="3"/>
      <c r="F7273" s="3"/>
    </row>
    <row r="7274" spans="3:6" x14ac:dyDescent="0.3">
      <c r="C7274" s="3"/>
      <c r="D7274" s="3"/>
      <c r="E7274" s="3"/>
      <c r="F7274" s="3"/>
    </row>
    <row r="7275" spans="3:6" x14ac:dyDescent="0.3">
      <c r="C7275" s="3"/>
      <c r="D7275" s="3"/>
      <c r="E7275" s="3"/>
      <c r="F7275" s="3"/>
    </row>
    <row r="7276" spans="3:6" x14ac:dyDescent="0.3">
      <c r="C7276" s="3"/>
      <c r="D7276" s="3"/>
      <c r="E7276" s="3"/>
      <c r="F7276" s="3"/>
    </row>
    <row r="7277" spans="3:6" x14ac:dyDescent="0.3">
      <c r="C7277" s="3"/>
      <c r="D7277" s="3"/>
      <c r="E7277" s="3"/>
      <c r="F7277" s="3"/>
    </row>
    <row r="7278" spans="3:6" x14ac:dyDescent="0.3">
      <c r="C7278" s="3"/>
      <c r="D7278" s="3"/>
      <c r="E7278" s="3"/>
      <c r="F7278" s="3"/>
    </row>
    <row r="7279" spans="3:6" x14ac:dyDescent="0.3">
      <c r="C7279" s="3"/>
      <c r="D7279" s="3"/>
      <c r="E7279" s="3"/>
      <c r="F7279" s="3"/>
    </row>
    <row r="7280" spans="3:6" x14ac:dyDescent="0.3">
      <c r="C7280" s="3"/>
      <c r="D7280" s="3"/>
      <c r="E7280" s="3"/>
      <c r="F7280" s="3"/>
    </row>
    <row r="7281" spans="3:6" x14ac:dyDescent="0.3">
      <c r="C7281" s="3"/>
      <c r="D7281" s="3"/>
      <c r="E7281" s="3"/>
      <c r="F7281" s="3"/>
    </row>
    <row r="7282" spans="3:6" x14ac:dyDescent="0.3">
      <c r="C7282" s="3"/>
      <c r="D7282" s="3"/>
      <c r="E7282" s="3"/>
      <c r="F7282" s="3"/>
    </row>
    <row r="7283" spans="3:6" x14ac:dyDescent="0.3">
      <c r="C7283" s="3"/>
      <c r="D7283" s="3"/>
      <c r="E7283" s="3"/>
      <c r="F7283" s="3"/>
    </row>
    <row r="7284" spans="3:6" x14ac:dyDescent="0.3">
      <c r="C7284" s="3"/>
      <c r="D7284" s="3"/>
      <c r="E7284" s="3"/>
      <c r="F7284" s="3"/>
    </row>
    <row r="7285" spans="3:6" x14ac:dyDescent="0.3">
      <c r="C7285" s="3"/>
      <c r="D7285" s="3"/>
      <c r="E7285" s="3"/>
      <c r="F7285" s="3"/>
    </row>
    <row r="7286" spans="3:6" x14ac:dyDescent="0.3">
      <c r="C7286" s="3"/>
      <c r="D7286" s="3"/>
      <c r="E7286" s="3"/>
      <c r="F7286" s="3"/>
    </row>
    <row r="7287" spans="3:6" x14ac:dyDescent="0.3">
      <c r="C7287" s="3"/>
      <c r="D7287" s="3"/>
      <c r="E7287" s="3"/>
      <c r="F7287" s="3"/>
    </row>
    <row r="7288" spans="3:6" x14ac:dyDescent="0.3">
      <c r="C7288" s="3"/>
      <c r="D7288" s="3"/>
      <c r="E7288" s="3"/>
      <c r="F7288" s="3"/>
    </row>
    <row r="7289" spans="3:6" x14ac:dyDescent="0.3">
      <c r="C7289" s="3"/>
      <c r="D7289" s="3"/>
      <c r="E7289" s="3"/>
      <c r="F7289" s="3"/>
    </row>
    <row r="7290" spans="3:6" x14ac:dyDescent="0.3">
      <c r="C7290" s="3"/>
      <c r="D7290" s="3"/>
      <c r="E7290" s="3"/>
      <c r="F7290" s="3"/>
    </row>
    <row r="7291" spans="3:6" x14ac:dyDescent="0.3">
      <c r="C7291" s="3"/>
      <c r="D7291" s="3"/>
      <c r="E7291" s="3"/>
      <c r="F7291" s="3"/>
    </row>
    <row r="7292" spans="3:6" x14ac:dyDescent="0.3">
      <c r="C7292" s="3"/>
      <c r="D7292" s="3"/>
      <c r="E7292" s="3"/>
      <c r="F7292" s="3"/>
    </row>
    <row r="7293" spans="3:6" x14ac:dyDescent="0.3">
      <c r="C7293" s="3"/>
      <c r="D7293" s="3"/>
      <c r="E7293" s="3"/>
      <c r="F7293" s="3"/>
    </row>
    <row r="7294" spans="3:6" x14ac:dyDescent="0.3">
      <c r="C7294" s="3"/>
      <c r="D7294" s="3"/>
      <c r="E7294" s="3"/>
      <c r="F7294" s="3"/>
    </row>
    <row r="7295" spans="3:6" x14ac:dyDescent="0.3">
      <c r="C7295" s="3"/>
      <c r="D7295" s="3"/>
      <c r="E7295" s="3"/>
      <c r="F7295" s="3"/>
    </row>
    <row r="7296" spans="3:6" x14ac:dyDescent="0.3">
      <c r="C7296" s="3"/>
      <c r="D7296" s="3"/>
      <c r="E7296" s="3"/>
      <c r="F7296" s="3"/>
    </row>
    <row r="7297" spans="3:6" x14ac:dyDescent="0.3">
      <c r="C7297" s="3"/>
      <c r="D7297" s="3"/>
      <c r="E7297" s="3"/>
      <c r="F7297" s="3"/>
    </row>
    <row r="7298" spans="3:6" x14ac:dyDescent="0.3">
      <c r="C7298" s="3"/>
      <c r="D7298" s="3"/>
      <c r="E7298" s="3"/>
      <c r="F7298" s="3"/>
    </row>
    <row r="7299" spans="3:6" x14ac:dyDescent="0.3">
      <c r="C7299" s="3"/>
      <c r="D7299" s="3"/>
      <c r="E7299" s="3"/>
      <c r="F7299" s="3"/>
    </row>
    <row r="7300" spans="3:6" x14ac:dyDescent="0.3">
      <c r="C7300" s="3"/>
      <c r="D7300" s="3"/>
      <c r="E7300" s="3"/>
      <c r="F7300" s="3"/>
    </row>
    <row r="7301" spans="3:6" x14ac:dyDescent="0.3">
      <c r="C7301" s="3"/>
      <c r="D7301" s="3"/>
      <c r="E7301" s="3"/>
      <c r="F7301" s="3"/>
    </row>
    <row r="7302" spans="3:6" x14ac:dyDescent="0.3">
      <c r="C7302" s="3"/>
      <c r="D7302" s="3"/>
      <c r="E7302" s="3"/>
      <c r="F7302" s="3"/>
    </row>
    <row r="7303" spans="3:6" x14ac:dyDescent="0.3">
      <c r="C7303" s="3"/>
      <c r="D7303" s="3"/>
      <c r="E7303" s="3"/>
      <c r="F7303" s="3"/>
    </row>
    <row r="7304" spans="3:6" x14ac:dyDescent="0.3">
      <c r="C7304" s="3"/>
      <c r="D7304" s="3"/>
      <c r="E7304" s="3"/>
      <c r="F7304" s="3"/>
    </row>
    <row r="7305" spans="3:6" x14ac:dyDescent="0.3">
      <c r="C7305" s="3"/>
      <c r="D7305" s="3"/>
      <c r="E7305" s="3"/>
      <c r="F7305" s="3"/>
    </row>
    <row r="7306" spans="3:6" x14ac:dyDescent="0.3">
      <c r="C7306" s="3"/>
      <c r="D7306" s="3"/>
      <c r="E7306" s="3"/>
      <c r="F7306" s="3"/>
    </row>
    <row r="7307" spans="3:6" x14ac:dyDescent="0.3">
      <c r="C7307" s="3"/>
      <c r="D7307" s="3"/>
      <c r="E7307" s="3"/>
      <c r="F7307" s="3"/>
    </row>
    <row r="7308" spans="3:6" x14ac:dyDescent="0.3">
      <c r="C7308" s="3"/>
      <c r="D7308" s="3"/>
      <c r="E7308" s="3"/>
      <c r="F7308" s="3"/>
    </row>
    <row r="7309" spans="3:6" x14ac:dyDescent="0.3">
      <c r="C7309" s="3"/>
      <c r="D7309" s="3"/>
      <c r="E7309" s="3"/>
      <c r="F7309" s="3"/>
    </row>
    <row r="7310" spans="3:6" x14ac:dyDescent="0.3">
      <c r="C7310" s="3"/>
      <c r="D7310" s="3"/>
      <c r="E7310" s="3"/>
      <c r="F7310" s="3"/>
    </row>
    <row r="7311" spans="3:6" x14ac:dyDescent="0.3">
      <c r="C7311" s="3"/>
      <c r="D7311" s="3"/>
      <c r="E7311" s="3"/>
      <c r="F7311" s="3"/>
    </row>
    <row r="7312" spans="3:6" x14ac:dyDescent="0.3">
      <c r="C7312" s="3"/>
      <c r="D7312" s="3"/>
      <c r="E7312" s="3"/>
      <c r="F7312" s="3"/>
    </row>
    <row r="7313" spans="3:6" x14ac:dyDescent="0.3">
      <c r="C7313" s="3"/>
      <c r="D7313" s="3"/>
      <c r="E7313" s="3"/>
      <c r="F7313" s="3"/>
    </row>
    <row r="7314" spans="3:6" x14ac:dyDescent="0.3">
      <c r="C7314" s="3"/>
      <c r="D7314" s="3"/>
      <c r="E7314" s="3"/>
      <c r="F7314" s="3"/>
    </row>
    <row r="7315" spans="3:6" x14ac:dyDescent="0.3">
      <c r="C7315" s="3"/>
      <c r="D7315" s="3"/>
      <c r="E7315" s="3"/>
      <c r="F7315" s="3"/>
    </row>
    <row r="7316" spans="3:6" x14ac:dyDescent="0.3">
      <c r="C7316" s="3"/>
      <c r="D7316" s="3"/>
      <c r="E7316" s="3"/>
      <c r="F7316" s="3"/>
    </row>
    <row r="7317" spans="3:6" x14ac:dyDescent="0.3">
      <c r="C7317" s="3"/>
      <c r="D7317" s="3"/>
      <c r="E7317" s="3"/>
      <c r="F7317" s="3"/>
    </row>
    <row r="7318" spans="3:6" x14ac:dyDescent="0.3">
      <c r="C7318" s="3"/>
      <c r="D7318" s="3"/>
      <c r="E7318" s="3"/>
      <c r="F7318" s="3"/>
    </row>
    <row r="7319" spans="3:6" x14ac:dyDescent="0.3">
      <c r="C7319" s="3"/>
      <c r="D7319" s="3"/>
      <c r="E7319" s="3"/>
      <c r="F7319" s="3"/>
    </row>
    <row r="7320" spans="3:6" x14ac:dyDescent="0.3">
      <c r="C7320" s="3"/>
      <c r="D7320" s="3"/>
      <c r="E7320" s="3"/>
      <c r="F7320" s="3"/>
    </row>
    <row r="7321" spans="3:6" x14ac:dyDescent="0.3">
      <c r="C7321" s="3"/>
      <c r="D7321" s="3"/>
      <c r="E7321" s="3"/>
      <c r="F7321" s="3"/>
    </row>
    <row r="7322" spans="3:6" x14ac:dyDescent="0.3">
      <c r="C7322" s="3"/>
      <c r="D7322" s="3"/>
      <c r="E7322" s="3"/>
      <c r="F7322" s="3"/>
    </row>
    <row r="7323" spans="3:6" x14ac:dyDescent="0.3">
      <c r="C7323" s="3"/>
      <c r="D7323" s="3"/>
      <c r="E7323" s="3"/>
      <c r="F7323" s="3"/>
    </row>
    <row r="7324" spans="3:6" x14ac:dyDescent="0.3">
      <c r="C7324" s="3"/>
      <c r="D7324" s="3"/>
      <c r="E7324" s="3"/>
      <c r="F7324" s="3"/>
    </row>
    <row r="7325" spans="3:6" x14ac:dyDescent="0.3">
      <c r="C7325" s="3"/>
      <c r="D7325" s="3"/>
      <c r="E7325" s="3"/>
      <c r="F7325" s="3"/>
    </row>
    <row r="7326" spans="3:6" x14ac:dyDescent="0.3">
      <c r="C7326" s="3"/>
      <c r="D7326" s="3"/>
      <c r="E7326" s="3"/>
      <c r="F7326" s="3"/>
    </row>
    <row r="7327" spans="3:6" x14ac:dyDescent="0.3">
      <c r="C7327" s="3"/>
      <c r="D7327" s="3"/>
      <c r="E7327" s="3"/>
      <c r="F7327" s="3"/>
    </row>
    <row r="7328" spans="3:6" x14ac:dyDescent="0.3">
      <c r="C7328" s="3"/>
      <c r="D7328" s="3"/>
      <c r="E7328" s="3"/>
      <c r="F7328" s="3"/>
    </row>
    <row r="7329" spans="3:6" x14ac:dyDescent="0.3">
      <c r="C7329" s="3"/>
      <c r="D7329" s="3"/>
      <c r="E7329" s="3"/>
      <c r="F7329" s="3"/>
    </row>
    <row r="7330" spans="3:6" x14ac:dyDescent="0.3">
      <c r="C7330" s="3"/>
      <c r="D7330" s="3"/>
      <c r="E7330" s="3"/>
      <c r="F7330" s="3"/>
    </row>
    <row r="7331" spans="3:6" x14ac:dyDescent="0.3">
      <c r="C7331" s="3"/>
      <c r="D7331" s="3"/>
      <c r="E7331" s="3"/>
      <c r="F7331" s="3"/>
    </row>
    <row r="7332" spans="3:6" x14ac:dyDescent="0.3">
      <c r="C7332" s="3"/>
      <c r="D7332" s="3"/>
      <c r="E7332" s="3"/>
      <c r="F7332" s="3"/>
    </row>
    <row r="7333" spans="3:6" x14ac:dyDescent="0.3">
      <c r="C7333" s="3"/>
      <c r="D7333" s="3"/>
      <c r="E7333" s="3"/>
      <c r="F7333" s="3"/>
    </row>
    <row r="7334" spans="3:6" x14ac:dyDescent="0.3">
      <c r="C7334" s="3"/>
      <c r="D7334" s="3"/>
      <c r="E7334" s="3"/>
      <c r="F7334" s="3"/>
    </row>
    <row r="7335" spans="3:6" x14ac:dyDescent="0.3">
      <c r="C7335" s="3"/>
      <c r="D7335" s="3"/>
      <c r="E7335" s="3"/>
      <c r="F7335" s="3"/>
    </row>
    <row r="7336" spans="3:6" x14ac:dyDescent="0.3">
      <c r="C7336" s="3"/>
      <c r="D7336" s="3"/>
      <c r="E7336" s="3"/>
      <c r="F7336" s="3"/>
    </row>
    <row r="7337" spans="3:6" x14ac:dyDescent="0.3">
      <c r="C7337" s="3"/>
      <c r="D7337" s="3"/>
      <c r="E7337" s="3"/>
      <c r="F7337" s="3"/>
    </row>
    <row r="7338" spans="3:6" x14ac:dyDescent="0.3">
      <c r="C7338" s="3"/>
      <c r="D7338" s="3"/>
      <c r="E7338" s="3"/>
      <c r="F7338" s="3"/>
    </row>
    <row r="7339" spans="3:6" x14ac:dyDescent="0.3">
      <c r="C7339" s="3"/>
      <c r="D7339" s="3"/>
      <c r="E7339" s="3"/>
      <c r="F7339" s="3"/>
    </row>
    <row r="7340" spans="3:6" x14ac:dyDescent="0.3">
      <c r="C7340" s="3"/>
      <c r="D7340" s="3"/>
      <c r="E7340" s="3"/>
      <c r="F7340" s="3"/>
    </row>
    <row r="7341" spans="3:6" x14ac:dyDescent="0.3">
      <c r="C7341" s="3"/>
      <c r="D7341" s="3"/>
      <c r="E7341" s="3"/>
      <c r="F7341" s="3"/>
    </row>
    <row r="7342" spans="3:6" x14ac:dyDescent="0.3">
      <c r="C7342" s="3"/>
      <c r="D7342" s="3"/>
      <c r="E7342" s="3"/>
      <c r="F7342" s="3"/>
    </row>
    <row r="7343" spans="3:6" x14ac:dyDescent="0.3">
      <c r="C7343" s="3"/>
      <c r="D7343" s="3"/>
      <c r="E7343" s="3"/>
      <c r="F7343" s="3"/>
    </row>
    <row r="7344" spans="3:6" x14ac:dyDescent="0.3">
      <c r="C7344" s="3"/>
      <c r="D7344" s="3"/>
      <c r="E7344" s="3"/>
      <c r="F7344" s="3"/>
    </row>
    <row r="7345" spans="3:6" x14ac:dyDescent="0.3">
      <c r="C7345" s="3"/>
      <c r="D7345" s="3"/>
      <c r="E7345" s="3"/>
      <c r="F7345" s="3"/>
    </row>
    <row r="7346" spans="3:6" x14ac:dyDescent="0.3">
      <c r="C7346" s="3"/>
      <c r="D7346" s="3"/>
      <c r="E7346" s="3"/>
      <c r="F7346" s="3"/>
    </row>
    <row r="7347" spans="3:6" x14ac:dyDescent="0.3">
      <c r="C7347" s="3"/>
      <c r="D7347" s="3"/>
      <c r="E7347" s="3"/>
      <c r="F7347" s="3"/>
    </row>
    <row r="7348" spans="3:6" x14ac:dyDescent="0.3">
      <c r="C7348" s="3"/>
      <c r="D7348" s="3"/>
      <c r="E7348" s="3"/>
      <c r="F7348" s="3"/>
    </row>
    <row r="7349" spans="3:6" x14ac:dyDescent="0.3">
      <c r="C7349" s="3"/>
      <c r="D7349" s="3"/>
      <c r="E7349" s="3"/>
      <c r="F7349" s="3"/>
    </row>
    <row r="7350" spans="3:6" x14ac:dyDescent="0.3">
      <c r="C7350" s="3"/>
      <c r="D7350" s="3"/>
      <c r="E7350" s="3"/>
      <c r="F7350" s="3"/>
    </row>
    <row r="7351" spans="3:6" x14ac:dyDescent="0.3">
      <c r="C7351" s="3"/>
      <c r="D7351" s="3"/>
      <c r="E7351" s="3"/>
      <c r="F7351" s="3"/>
    </row>
    <row r="7352" spans="3:6" x14ac:dyDescent="0.3">
      <c r="C7352" s="3"/>
      <c r="D7352" s="3"/>
      <c r="E7352" s="3"/>
      <c r="F7352" s="3"/>
    </row>
    <row r="7353" spans="3:6" x14ac:dyDescent="0.3">
      <c r="C7353" s="3"/>
      <c r="D7353" s="3"/>
      <c r="E7353" s="3"/>
      <c r="F7353" s="3"/>
    </row>
    <row r="7354" spans="3:6" x14ac:dyDescent="0.3">
      <c r="C7354" s="3"/>
      <c r="D7354" s="3"/>
      <c r="E7354" s="3"/>
      <c r="F7354" s="3"/>
    </row>
    <row r="7355" spans="3:6" x14ac:dyDescent="0.3">
      <c r="C7355" s="3"/>
      <c r="D7355" s="3"/>
      <c r="E7355" s="3"/>
      <c r="F7355" s="3"/>
    </row>
    <row r="7356" spans="3:6" x14ac:dyDescent="0.3">
      <c r="C7356" s="3"/>
      <c r="D7356" s="3"/>
      <c r="E7356" s="3"/>
      <c r="F7356" s="3"/>
    </row>
    <row r="7357" spans="3:6" x14ac:dyDescent="0.3">
      <c r="C7357" s="3"/>
      <c r="D7357" s="3"/>
      <c r="E7357" s="3"/>
      <c r="F7357" s="3"/>
    </row>
    <row r="7358" spans="3:6" x14ac:dyDescent="0.3">
      <c r="C7358" s="3"/>
      <c r="D7358" s="3"/>
      <c r="E7358" s="3"/>
      <c r="F7358" s="3"/>
    </row>
    <row r="7359" spans="3:6" x14ac:dyDescent="0.3">
      <c r="C7359" s="3"/>
      <c r="D7359" s="3"/>
      <c r="E7359" s="3"/>
      <c r="F7359" s="3"/>
    </row>
    <row r="7360" spans="3:6" x14ac:dyDescent="0.3">
      <c r="C7360" s="3"/>
      <c r="D7360" s="3"/>
      <c r="E7360" s="3"/>
      <c r="F7360" s="3"/>
    </row>
    <row r="7361" spans="3:6" x14ac:dyDescent="0.3">
      <c r="C7361" s="3"/>
      <c r="D7361" s="3"/>
      <c r="E7361" s="3"/>
      <c r="F7361" s="3"/>
    </row>
    <row r="7362" spans="3:6" x14ac:dyDescent="0.3">
      <c r="C7362" s="3"/>
      <c r="D7362" s="3"/>
      <c r="E7362" s="3"/>
      <c r="F7362" s="3"/>
    </row>
    <row r="7363" spans="3:6" x14ac:dyDescent="0.3">
      <c r="C7363" s="3"/>
      <c r="D7363" s="3"/>
      <c r="E7363" s="3"/>
      <c r="F7363" s="3"/>
    </row>
    <row r="7364" spans="3:6" x14ac:dyDescent="0.3">
      <c r="C7364" s="3"/>
      <c r="D7364" s="3"/>
      <c r="E7364" s="3"/>
      <c r="F7364" s="3"/>
    </row>
    <row r="7365" spans="3:6" x14ac:dyDescent="0.3">
      <c r="C7365" s="3"/>
      <c r="D7365" s="3"/>
      <c r="E7365" s="3"/>
      <c r="F7365" s="3"/>
    </row>
    <row r="7366" spans="3:6" x14ac:dyDescent="0.3">
      <c r="C7366" s="3"/>
      <c r="D7366" s="3"/>
      <c r="E7366" s="3"/>
      <c r="F7366" s="3"/>
    </row>
    <row r="7367" spans="3:6" x14ac:dyDescent="0.3">
      <c r="C7367" s="3"/>
      <c r="D7367" s="3"/>
      <c r="E7367" s="3"/>
      <c r="F7367" s="3"/>
    </row>
    <row r="7368" spans="3:6" x14ac:dyDescent="0.3">
      <c r="C7368" s="3"/>
      <c r="D7368" s="3"/>
      <c r="E7368" s="3"/>
      <c r="F7368" s="3"/>
    </row>
    <row r="7369" spans="3:6" x14ac:dyDescent="0.3">
      <c r="C7369" s="3"/>
      <c r="D7369" s="3"/>
      <c r="E7369" s="3"/>
      <c r="F7369" s="3"/>
    </row>
    <row r="7370" spans="3:6" x14ac:dyDescent="0.3">
      <c r="C7370" s="3"/>
      <c r="D7370" s="3"/>
      <c r="E7370" s="3"/>
      <c r="F7370" s="3"/>
    </row>
    <row r="7371" spans="3:6" x14ac:dyDescent="0.3">
      <c r="C7371" s="3"/>
      <c r="D7371" s="3"/>
      <c r="E7371" s="3"/>
      <c r="F7371" s="3"/>
    </row>
    <row r="7372" spans="3:6" x14ac:dyDescent="0.3">
      <c r="C7372" s="3"/>
      <c r="D7372" s="3"/>
      <c r="E7372" s="3"/>
      <c r="F7372" s="3"/>
    </row>
    <row r="7373" spans="3:6" x14ac:dyDescent="0.3">
      <c r="C7373" s="3"/>
      <c r="D7373" s="3"/>
      <c r="E7373" s="3"/>
      <c r="F7373" s="3"/>
    </row>
    <row r="7374" spans="3:6" x14ac:dyDescent="0.3">
      <c r="C7374" s="3"/>
      <c r="D7374" s="3"/>
      <c r="E7374" s="3"/>
      <c r="F7374" s="3"/>
    </row>
    <row r="7375" spans="3:6" x14ac:dyDescent="0.3">
      <c r="C7375" s="3"/>
      <c r="D7375" s="3"/>
      <c r="E7375" s="3"/>
      <c r="F7375" s="3"/>
    </row>
    <row r="7376" spans="3:6" x14ac:dyDescent="0.3">
      <c r="C7376" s="3"/>
      <c r="D7376" s="3"/>
      <c r="E7376" s="3"/>
      <c r="F7376" s="3"/>
    </row>
    <row r="7377" spans="3:6" x14ac:dyDescent="0.3">
      <c r="C7377" s="3"/>
      <c r="D7377" s="3"/>
      <c r="E7377" s="3"/>
      <c r="F7377" s="3"/>
    </row>
    <row r="7378" spans="3:6" x14ac:dyDescent="0.3">
      <c r="C7378" s="3"/>
      <c r="D7378" s="3"/>
      <c r="E7378" s="3"/>
      <c r="F7378" s="3"/>
    </row>
    <row r="7379" spans="3:6" x14ac:dyDescent="0.3">
      <c r="C7379" s="3"/>
      <c r="D7379" s="3"/>
      <c r="E7379" s="3"/>
      <c r="F7379" s="3"/>
    </row>
    <row r="7380" spans="3:6" x14ac:dyDescent="0.3">
      <c r="C7380" s="3"/>
      <c r="D7380" s="3"/>
      <c r="E7380" s="3"/>
      <c r="F7380" s="3"/>
    </row>
    <row r="7381" spans="3:6" x14ac:dyDescent="0.3">
      <c r="C7381" s="3"/>
      <c r="D7381" s="3"/>
      <c r="E7381" s="3"/>
      <c r="F7381" s="3"/>
    </row>
    <row r="7382" spans="3:6" x14ac:dyDescent="0.3">
      <c r="C7382" s="3"/>
      <c r="D7382" s="3"/>
      <c r="E7382" s="3"/>
      <c r="F7382" s="3"/>
    </row>
    <row r="7383" spans="3:6" x14ac:dyDescent="0.3">
      <c r="C7383" s="3"/>
      <c r="D7383" s="3"/>
      <c r="E7383" s="3"/>
      <c r="F7383" s="3"/>
    </row>
    <row r="7384" spans="3:6" x14ac:dyDescent="0.3">
      <c r="C7384" s="3"/>
      <c r="D7384" s="3"/>
      <c r="E7384" s="3"/>
      <c r="F7384" s="3"/>
    </row>
    <row r="7385" spans="3:6" x14ac:dyDescent="0.3">
      <c r="C7385" s="3"/>
      <c r="D7385" s="3"/>
      <c r="E7385" s="3"/>
      <c r="F7385" s="3"/>
    </row>
    <row r="7386" spans="3:6" x14ac:dyDescent="0.3">
      <c r="C7386" s="3"/>
      <c r="D7386" s="3"/>
      <c r="E7386" s="3"/>
      <c r="F7386" s="3"/>
    </row>
    <row r="7387" spans="3:6" x14ac:dyDescent="0.3">
      <c r="C7387" s="3"/>
      <c r="D7387" s="3"/>
      <c r="E7387" s="3"/>
      <c r="F7387" s="3"/>
    </row>
    <row r="7388" spans="3:6" x14ac:dyDescent="0.3">
      <c r="C7388" s="3"/>
      <c r="D7388" s="3"/>
      <c r="E7388" s="3"/>
      <c r="F7388" s="3"/>
    </row>
    <row r="7389" spans="3:6" x14ac:dyDescent="0.3">
      <c r="C7389" s="3"/>
      <c r="D7389" s="3"/>
      <c r="E7389" s="3"/>
      <c r="F7389" s="3"/>
    </row>
    <row r="7390" spans="3:6" x14ac:dyDescent="0.3">
      <c r="C7390" s="3"/>
      <c r="D7390" s="3"/>
      <c r="E7390" s="3"/>
      <c r="F7390" s="3"/>
    </row>
    <row r="7391" spans="3:6" x14ac:dyDescent="0.3">
      <c r="C7391" s="3"/>
      <c r="D7391" s="3"/>
      <c r="E7391" s="3"/>
      <c r="F7391" s="3"/>
    </row>
    <row r="7392" spans="3:6" x14ac:dyDescent="0.3">
      <c r="C7392" s="3"/>
      <c r="D7392" s="3"/>
      <c r="E7392" s="3"/>
      <c r="F7392" s="3"/>
    </row>
    <row r="7393" spans="3:6" x14ac:dyDescent="0.3">
      <c r="C7393" s="3"/>
      <c r="D7393" s="3"/>
      <c r="E7393" s="3"/>
      <c r="F7393" s="3"/>
    </row>
    <row r="7394" spans="3:6" x14ac:dyDescent="0.3">
      <c r="C7394" s="3"/>
      <c r="D7394" s="3"/>
      <c r="E7394" s="3"/>
      <c r="F7394" s="3"/>
    </row>
    <row r="7395" spans="3:6" x14ac:dyDescent="0.3">
      <c r="C7395" s="3"/>
      <c r="D7395" s="3"/>
      <c r="E7395" s="3"/>
      <c r="F7395" s="3"/>
    </row>
    <row r="7396" spans="3:6" x14ac:dyDescent="0.3">
      <c r="C7396" s="3"/>
      <c r="D7396" s="3"/>
      <c r="E7396" s="3"/>
      <c r="F7396" s="3"/>
    </row>
    <row r="7397" spans="3:6" x14ac:dyDescent="0.3">
      <c r="C7397" s="3"/>
      <c r="D7397" s="3"/>
      <c r="E7397" s="3"/>
      <c r="F7397" s="3"/>
    </row>
    <row r="7398" spans="3:6" x14ac:dyDescent="0.3">
      <c r="C7398" s="3"/>
      <c r="D7398" s="3"/>
      <c r="E7398" s="3"/>
      <c r="F7398" s="3"/>
    </row>
    <row r="7399" spans="3:6" x14ac:dyDescent="0.3">
      <c r="C7399" s="3"/>
      <c r="D7399" s="3"/>
      <c r="E7399" s="3"/>
      <c r="F7399" s="3"/>
    </row>
    <row r="7400" spans="3:6" x14ac:dyDescent="0.3">
      <c r="C7400" s="3"/>
      <c r="D7400" s="3"/>
      <c r="E7400" s="3"/>
      <c r="F7400" s="3"/>
    </row>
    <row r="7401" spans="3:6" x14ac:dyDescent="0.3">
      <c r="C7401" s="3"/>
      <c r="D7401" s="3"/>
      <c r="E7401" s="3"/>
      <c r="F7401" s="3"/>
    </row>
    <row r="7402" spans="3:6" x14ac:dyDescent="0.3">
      <c r="C7402" s="3"/>
      <c r="D7402" s="3"/>
      <c r="E7402" s="3"/>
      <c r="F7402" s="3"/>
    </row>
    <row r="7403" spans="3:6" x14ac:dyDescent="0.3">
      <c r="C7403" s="3"/>
      <c r="D7403" s="3"/>
      <c r="E7403" s="3"/>
      <c r="F7403" s="3"/>
    </row>
    <row r="7404" spans="3:6" x14ac:dyDescent="0.3">
      <c r="C7404" s="3"/>
      <c r="D7404" s="3"/>
      <c r="E7404" s="3"/>
      <c r="F7404" s="3"/>
    </row>
    <row r="7405" spans="3:6" x14ac:dyDescent="0.3">
      <c r="C7405" s="3"/>
      <c r="D7405" s="3"/>
      <c r="E7405" s="3"/>
      <c r="F7405" s="3"/>
    </row>
    <row r="7406" spans="3:6" x14ac:dyDescent="0.3">
      <c r="C7406" s="3"/>
      <c r="D7406" s="3"/>
      <c r="E7406" s="3"/>
      <c r="F7406" s="3"/>
    </row>
    <row r="7407" spans="3:6" x14ac:dyDescent="0.3">
      <c r="C7407" s="3"/>
      <c r="D7407" s="3"/>
      <c r="E7407" s="3"/>
      <c r="F7407" s="3"/>
    </row>
    <row r="7408" spans="3:6" x14ac:dyDescent="0.3">
      <c r="C7408" s="3"/>
      <c r="D7408" s="3"/>
      <c r="E7408" s="3"/>
      <c r="F7408" s="3"/>
    </row>
    <row r="7409" spans="3:6" x14ac:dyDescent="0.3">
      <c r="C7409" s="3"/>
      <c r="D7409" s="3"/>
      <c r="E7409" s="3"/>
      <c r="F7409" s="3"/>
    </row>
    <row r="7410" spans="3:6" x14ac:dyDescent="0.3">
      <c r="C7410" s="3"/>
      <c r="D7410" s="3"/>
      <c r="E7410" s="3"/>
      <c r="F7410" s="3"/>
    </row>
    <row r="7411" spans="3:6" x14ac:dyDescent="0.3">
      <c r="C7411" s="3"/>
      <c r="D7411" s="3"/>
      <c r="E7411" s="3"/>
      <c r="F7411" s="3"/>
    </row>
    <row r="7412" spans="3:6" x14ac:dyDescent="0.3">
      <c r="C7412" s="3"/>
      <c r="D7412" s="3"/>
      <c r="E7412" s="3"/>
      <c r="F7412" s="3"/>
    </row>
    <row r="7413" spans="3:6" x14ac:dyDescent="0.3">
      <c r="C7413" s="3"/>
      <c r="D7413" s="3"/>
      <c r="E7413" s="3"/>
      <c r="F7413" s="3"/>
    </row>
    <row r="7414" spans="3:6" x14ac:dyDescent="0.3">
      <c r="C7414" s="3"/>
      <c r="D7414" s="3"/>
      <c r="E7414" s="3"/>
      <c r="F7414" s="3"/>
    </row>
    <row r="7415" spans="3:6" x14ac:dyDescent="0.3">
      <c r="C7415" s="3"/>
      <c r="D7415" s="3"/>
      <c r="E7415" s="3"/>
      <c r="F7415" s="3"/>
    </row>
    <row r="7416" spans="3:6" x14ac:dyDescent="0.3">
      <c r="C7416" s="3"/>
      <c r="D7416" s="3"/>
      <c r="E7416" s="3"/>
      <c r="F7416" s="3"/>
    </row>
    <row r="7417" spans="3:6" x14ac:dyDescent="0.3">
      <c r="C7417" s="3"/>
      <c r="D7417" s="3"/>
      <c r="E7417" s="3"/>
      <c r="F7417" s="3"/>
    </row>
    <row r="7418" spans="3:6" x14ac:dyDescent="0.3">
      <c r="C7418" s="3"/>
      <c r="D7418" s="3"/>
      <c r="E7418" s="3"/>
      <c r="F7418" s="3"/>
    </row>
    <row r="7419" spans="3:6" x14ac:dyDescent="0.3">
      <c r="C7419" s="3"/>
      <c r="D7419" s="3"/>
      <c r="E7419" s="3"/>
      <c r="F7419" s="3"/>
    </row>
    <row r="7420" spans="3:6" x14ac:dyDescent="0.3">
      <c r="C7420" s="3"/>
      <c r="D7420" s="3"/>
      <c r="E7420" s="3"/>
      <c r="F7420" s="3"/>
    </row>
    <row r="7421" spans="3:6" x14ac:dyDescent="0.3">
      <c r="C7421" s="3"/>
      <c r="D7421" s="3"/>
      <c r="E7421" s="3"/>
      <c r="F7421" s="3"/>
    </row>
    <row r="7422" spans="3:6" x14ac:dyDescent="0.3">
      <c r="C7422" s="3"/>
      <c r="D7422" s="3"/>
      <c r="E7422" s="3"/>
      <c r="F7422" s="3"/>
    </row>
    <row r="7423" spans="3:6" x14ac:dyDescent="0.3">
      <c r="C7423" s="3"/>
      <c r="D7423" s="3"/>
      <c r="E7423" s="3"/>
      <c r="F7423" s="3"/>
    </row>
    <row r="7424" spans="3:6" x14ac:dyDescent="0.3">
      <c r="C7424" s="3"/>
      <c r="D7424" s="3"/>
      <c r="E7424" s="3"/>
      <c r="F7424" s="3"/>
    </row>
    <row r="7425" spans="3:6" x14ac:dyDescent="0.3">
      <c r="C7425" s="3"/>
      <c r="D7425" s="3"/>
      <c r="E7425" s="3"/>
      <c r="F7425" s="3"/>
    </row>
    <row r="7426" spans="3:6" x14ac:dyDescent="0.3">
      <c r="C7426" s="3"/>
      <c r="D7426" s="3"/>
      <c r="E7426" s="3"/>
      <c r="F7426" s="3"/>
    </row>
    <row r="7427" spans="3:6" x14ac:dyDescent="0.3">
      <c r="C7427" s="3"/>
      <c r="D7427" s="3"/>
      <c r="E7427" s="3"/>
      <c r="F7427" s="3"/>
    </row>
    <row r="7428" spans="3:6" x14ac:dyDescent="0.3">
      <c r="C7428" s="3"/>
      <c r="D7428" s="3"/>
      <c r="E7428" s="3"/>
      <c r="F7428" s="3"/>
    </row>
    <row r="7429" spans="3:6" x14ac:dyDescent="0.3">
      <c r="C7429" s="3"/>
      <c r="D7429" s="3"/>
      <c r="E7429" s="3"/>
      <c r="F7429" s="3"/>
    </row>
    <row r="7430" spans="3:6" x14ac:dyDescent="0.3">
      <c r="C7430" s="3"/>
      <c r="D7430" s="3"/>
      <c r="E7430" s="3"/>
      <c r="F7430" s="3"/>
    </row>
    <row r="7431" spans="3:6" x14ac:dyDescent="0.3">
      <c r="C7431" s="3"/>
      <c r="D7431" s="3"/>
      <c r="E7431" s="3"/>
      <c r="F7431" s="3"/>
    </row>
    <row r="7432" spans="3:6" x14ac:dyDescent="0.3">
      <c r="C7432" s="3"/>
      <c r="D7432" s="3"/>
      <c r="E7432" s="3"/>
      <c r="F7432" s="3"/>
    </row>
    <row r="7433" spans="3:6" x14ac:dyDescent="0.3">
      <c r="C7433" s="3"/>
      <c r="D7433" s="3"/>
      <c r="E7433" s="3"/>
      <c r="F7433" s="3"/>
    </row>
    <row r="7434" spans="3:6" x14ac:dyDescent="0.3">
      <c r="C7434" s="3"/>
      <c r="D7434" s="3"/>
      <c r="E7434" s="3"/>
      <c r="F7434" s="3"/>
    </row>
    <row r="7435" spans="3:6" x14ac:dyDescent="0.3">
      <c r="C7435" s="3"/>
      <c r="D7435" s="3"/>
      <c r="E7435" s="3"/>
      <c r="F7435" s="3"/>
    </row>
    <row r="7436" spans="3:6" x14ac:dyDescent="0.3">
      <c r="C7436" s="3"/>
      <c r="D7436" s="3"/>
      <c r="E7436" s="3"/>
      <c r="F7436" s="3"/>
    </row>
    <row r="7437" spans="3:6" x14ac:dyDescent="0.3">
      <c r="C7437" s="3"/>
      <c r="D7437" s="3"/>
      <c r="E7437" s="3"/>
      <c r="F7437" s="3"/>
    </row>
    <row r="7438" spans="3:6" x14ac:dyDescent="0.3">
      <c r="C7438" s="3"/>
      <c r="D7438" s="3"/>
      <c r="E7438" s="3"/>
      <c r="F7438" s="3"/>
    </row>
    <row r="7439" spans="3:6" x14ac:dyDescent="0.3">
      <c r="C7439" s="3"/>
      <c r="D7439" s="3"/>
      <c r="E7439" s="3"/>
      <c r="F7439" s="3"/>
    </row>
    <row r="7440" spans="3:6" x14ac:dyDescent="0.3">
      <c r="C7440" s="3"/>
      <c r="D7440" s="3"/>
      <c r="E7440" s="3"/>
      <c r="F7440" s="3"/>
    </row>
    <row r="7441" spans="3:6" x14ac:dyDescent="0.3">
      <c r="C7441" s="3"/>
      <c r="D7441" s="3"/>
      <c r="E7441" s="3"/>
      <c r="F7441" s="3"/>
    </row>
    <row r="7442" spans="3:6" x14ac:dyDescent="0.3">
      <c r="C7442" s="3"/>
      <c r="D7442" s="3"/>
      <c r="E7442" s="3"/>
      <c r="F7442" s="3"/>
    </row>
    <row r="7443" spans="3:6" x14ac:dyDescent="0.3">
      <c r="C7443" s="3"/>
      <c r="D7443" s="3"/>
      <c r="E7443" s="3"/>
      <c r="F7443" s="3"/>
    </row>
    <row r="7444" spans="3:6" x14ac:dyDescent="0.3">
      <c r="C7444" s="3"/>
      <c r="D7444" s="3"/>
      <c r="E7444" s="3"/>
      <c r="F7444" s="3"/>
    </row>
    <row r="7445" spans="3:6" x14ac:dyDescent="0.3">
      <c r="C7445" s="3"/>
      <c r="D7445" s="3"/>
      <c r="E7445" s="3"/>
      <c r="F7445" s="3"/>
    </row>
    <row r="7446" spans="3:6" x14ac:dyDescent="0.3">
      <c r="C7446" s="3"/>
      <c r="D7446" s="3"/>
      <c r="E7446" s="3"/>
      <c r="F7446" s="3"/>
    </row>
    <row r="7447" spans="3:6" x14ac:dyDescent="0.3">
      <c r="C7447" s="3"/>
      <c r="D7447" s="3"/>
      <c r="E7447" s="3"/>
      <c r="F7447" s="3"/>
    </row>
    <row r="7448" spans="3:6" x14ac:dyDescent="0.3">
      <c r="C7448" s="3"/>
      <c r="D7448" s="3"/>
      <c r="E7448" s="3"/>
      <c r="F7448" s="3"/>
    </row>
    <row r="7449" spans="3:6" x14ac:dyDescent="0.3">
      <c r="C7449" s="3"/>
      <c r="D7449" s="3"/>
      <c r="E7449" s="3"/>
      <c r="F7449" s="3"/>
    </row>
    <row r="7450" spans="3:6" x14ac:dyDescent="0.3">
      <c r="C7450" s="3"/>
      <c r="D7450" s="3"/>
      <c r="E7450" s="3"/>
      <c r="F7450" s="3"/>
    </row>
    <row r="7451" spans="3:6" x14ac:dyDescent="0.3">
      <c r="C7451" s="3"/>
      <c r="D7451" s="3"/>
      <c r="E7451" s="3"/>
      <c r="F7451" s="3"/>
    </row>
    <row r="7452" spans="3:6" x14ac:dyDescent="0.3">
      <c r="C7452" s="3"/>
      <c r="D7452" s="3"/>
      <c r="E7452" s="3"/>
      <c r="F7452" s="3"/>
    </row>
    <row r="7453" spans="3:6" x14ac:dyDescent="0.3">
      <c r="C7453" s="3"/>
      <c r="D7453" s="3"/>
      <c r="E7453" s="3"/>
      <c r="F7453" s="3"/>
    </row>
    <row r="7454" spans="3:6" x14ac:dyDescent="0.3">
      <c r="C7454" s="3"/>
      <c r="D7454" s="3"/>
      <c r="E7454" s="3"/>
      <c r="F7454" s="3"/>
    </row>
    <row r="7455" spans="3:6" x14ac:dyDescent="0.3">
      <c r="C7455" s="3"/>
      <c r="D7455" s="3"/>
      <c r="E7455" s="3"/>
      <c r="F7455" s="3"/>
    </row>
    <row r="7456" spans="3:6" x14ac:dyDescent="0.3">
      <c r="C7456" s="3"/>
      <c r="D7456" s="3"/>
      <c r="E7456" s="3"/>
      <c r="F7456" s="3"/>
    </row>
    <row r="7457" spans="3:6" x14ac:dyDescent="0.3">
      <c r="C7457" s="3"/>
      <c r="D7457" s="3"/>
      <c r="E7457" s="3"/>
      <c r="F7457" s="3"/>
    </row>
    <row r="7458" spans="3:6" x14ac:dyDescent="0.3">
      <c r="C7458" s="3"/>
      <c r="D7458" s="3"/>
      <c r="E7458" s="3"/>
      <c r="F7458" s="3"/>
    </row>
    <row r="7459" spans="3:6" x14ac:dyDescent="0.3">
      <c r="C7459" s="3"/>
      <c r="D7459" s="3"/>
      <c r="E7459" s="3"/>
      <c r="F7459" s="3"/>
    </row>
    <row r="7460" spans="3:6" x14ac:dyDescent="0.3">
      <c r="C7460" s="3"/>
      <c r="D7460" s="3"/>
      <c r="E7460" s="3"/>
      <c r="F7460" s="3"/>
    </row>
    <row r="7461" spans="3:6" x14ac:dyDescent="0.3">
      <c r="C7461" s="3"/>
      <c r="D7461" s="3"/>
      <c r="E7461" s="3"/>
      <c r="F7461" s="3"/>
    </row>
    <row r="7462" spans="3:6" x14ac:dyDescent="0.3">
      <c r="C7462" s="3"/>
      <c r="D7462" s="3"/>
      <c r="E7462" s="3"/>
      <c r="F7462" s="3"/>
    </row>
    <row r="7463" spans="3:6" x14ac:dyDescent="0.3">
      <c r="C7463" s="3"/>
      <c r="D7463" s="3"/>
      <c r="E7463" s="3"/>
      <c r="F7463" s="3"/>
    </row>
    <row r="7464" spans="3:6" x14ac:dyDescent="0.3">
      <c r="C7464" s="3"/>
      <c r="D7464" s="3"/>
      <c r="E7464" s="3"/>
      <c r="F7464" s="3"/>
    </row>
    <row r="7465" spans="3:6" x14ac:dyDescent="0.3">
      <c r="C7465" s="3"/>
      <c r="D7465" s="3"/>
      <c r="E7465" s="3"/>
      <c r="F7465" s="3"/>
    </row>
    <row r="7466" spans="3:6" x14ac:dyDescent="0.3">
      <c r="C7466" s="3"/>
      <c r="D7466" s="3"/>
      <c r="E7466" s="3"/>
      <c r="F7466" s="3"/>
    </row>
    <row r="7467" spans="3:6" x14ac:dyDescent="0.3">
      <c r="C7467" s="3"/>
      <c r="D7467" s="3"/>
      <c r="E7467" s="3"/>
      <c r="F7467" s="3"/>
    </row>
    <row r="7468" spans="3:6" x14ac:dyDescent="0.3">
      <c r="C7468" s="3"/>
      <c r="D7468" s="3"/>
      <c r="E7468" s="3"/>
      <c r="F7468" s="3"/>
    </row>
    <row r="7469" spans="3:6" x14ac:dyDescent="0.3">
      <c r="C7469" s="3"/>
      <c r="D7469" s="3"/>
      <c r="E7469" s="3"/>
      <c r="F7469" s="3"/>
    </row>
    <row r="7470" spans="3:6" x14ac:dyDescent="0.3">
      <c r="C7470" s="3"/>
      <c r="D7470" s="3"/>
      <c r="E7470" s="3"/>
      <c r="F7470" s="3"/>
    </row>
    <row r="7471" spans="3:6" x14ac:dyDescent="0.3">
      <c r="C7471" s="3"/>
      <c r="D7471" s="3"/>
      <c r="E7471" s="3"/>
      <c r="F7471" s="3"/>
    </row>
    <row r="7472" spans="3:6" x14ac:dyDescent="0.3">
      <c r="C7472" s="3"/>
      <c r="D7472" s="3"/>
      <c r="E7472" s="3"/>
      <c r="F7472" s="3"/>
    </row>
    <row r="7473" spans="3:6" x14ac:dyDescent="0.3">
      <c r="C7473" s="3"/>
      <c r="D7473" s="3"/>
      <c r="E7473" s="3"/>
      <c r="F7473" s="3"/>
    </row>
    <row r="7474" spans="3:6" x14ac:dyDescent="0.3">
      <c r="C7474" s="3"/>
      <c r="D7474" s="3"/>
      <c r="E7474" s="3"/>
      <c r="F7474" s="3"/>
    </row>
    <row r="7475" spans="3:6" x14ac:dyDescent="0.3">
      <c r="C7475" s="3"/>
      <c r="D7475" s="3"/>
      <c r="E7475" s="3"/>
      <c r="F7475" s="3"/>
    </row>
    <row r="7476" spans="3:6" x14ac:dyDescent="0.3">
      <c r="C7476" s="3"/>
      <c r="D7476" s="3"/>
      <c r="E7476" s="3"/>
      <c r="F7476" s="3"/>
    </row>
    <row r="7477" spans="3:6" x14ac:dyDescent="0.3">
      <c r="C7477" s="3"/>
      <c r="D7477" s="3"/>
      <c r="E7477" s="3"/>
      <c r="F7477" s="3"/>
    </row>
    <row r="7478" spans="3:6" x14ac:dyDescent="0.3">
      <c r="C7478" s="3"/>
      <c r="D7478" s="3"/>
      <c r="E7478" s="3"/>
      <c r="F7478" s="3"/>
    </row>
    <row r="7479" spans="3:6" x14ac:dyDescent="0.3">
      <c r="C7479" s="3"/>
      <c r="D7479" s="3"/>
      <c r="E7479" s="3"/>
      <c r="F7479" s="3"/>
    </row>
    <row r="7480" spans="3:6" x14ac:dyDescent="0.3">
      <c r="C7480" s="3"/>
      <c r="D7480" s="3"/>
      <c r="E7480" s="3"/>
      <c r="F7480" s="3"/>
    </row>
    <row r="7481" spans="3:6" x14ac:dyDescent="0.3">
      <c r="C7481" s="3"/>
      <c r="D7481" s="3"/>
      <c r="E7481" s="3"/>
      <c r="F7481" s="3"/>
    </row>
    <row r="7482" spans="3:6" x14ac:dyDescent="0.3">
      <c r="C7482" s="3"/>
      <c r="D7482" s="3"/>
      <c r="E7482" s="3"/>
      <c r="F7482" s="3"/>
    </row>
    <row r="7483" spans="3:6" x14ac:dyDescent="0.3">
      <c r="C7483" s="3"/>
      <c r="D7483" s="3"/>
      <c r="E7483" s="3"/>
      <c r="F7483" s="3"/>
    </row>
    <row r="7484" spans="3:6" x14ac:dyDescent="0.3">
      <c r="C7484" s="3"/>
      <c r="D7484" s="3"/>
      <c r="E7484" s="3"/>
      <c r="F7484" s="3"/>
    </row>
    <row r="7485" spans="3:6" x14ac:dyDescent="0.3">
      <c r="C7485" s="3"/>
      <c r="D7485" s="3"/>
      <c r="E7485" s="3"/>
      <c r="F7485" s="3"/>
    </row>
    <row r="7486" spans="3:6" x14ac:dyDescent="0.3">
      <c r="C7486" s="3"/>
      <c r="D7486" s="3"/>
      <c r="E7486" s="3"/>
      <c r="F7486" s="3"/>
    </row>
    <row r="7487" spans="3:6" x14ac:dyDescent="0.3">
      <c r="C7487" s="3"/>
      <c r="D7487" s="3"/>
      <c r="E7487" s="3"/>
      <c r="F7487" s="3"/>
    </row>
    <row r="7488" spans="3:6" x14ac:dyDescent="0.3">
      <c r="C7488" s="3"/>
      <c r="D7488" s="3"/>
      <c r="E7488" s="3"/>
      <c r="F7488" s="3"/>
    </row>
    <row r="7489" spans="3:6" x14ac:dyDescent="0.3">
      <c r="C7489" s="3"/>
      <c r="D7489" s="3"/>
      <c r="E7489" s="3"/>
      <c r="F7489" s="3"/>
    </row>
    <row r="7490" spans="3:6" x14ac:dyDescent="0.3">
      <c r="C7490" s="3"/>
      <c r="D7490" s="3"/>
      <c r="E7490" s="3"/>
      <c r="F7490" s="3"/>
    </row>
    <row r="7491" spans="3:6" x14ac:dyDescent="0.3">
      <c r="C7491" s="3"/>
      <c r="D7491" s="3"/>
      <c r="E7491" s="3"/>
      <c r="F7491" s="3"/>
    </row>
    <row r="7492" spans="3:6" x14ac:dyDescent="0.3">
      <c r="C7492" s="3"/>
      <c r="D7492" s="3"/>
      <c r="E7492" s="3"/>
      <c r="F7492" s="3"/>
    </row>
    <row r="7493" spans="3:6" x14ac:dyDescent="0.3">
      <c r="C7493" s="3"/>
      <c r="D7493" s="3"/>
      <c r="E7493" s="3"/>
      <c r="F7493" s="3"/>
    </row>
    <row r="7494" spans="3:6" x14ac:dyDescent="0.3">
      <c r="C7494" s="3"/>
      <c r="D7494" s="3"/>
      <c r="E7494" s="3"/>
      <c r="F7494" s="3"/>
    </row>
    <row r="7495" spans="3:6" x14ac:dyDescent="0.3">
      <c r="C7495" s="3"/>
      <c r="D7495" s="3"/>
      <c r="E7495" s="3"/>
      <c r="F7495" s="3"/>
    </row>
    <row r="7496" spans="3:6" x14ac:dyDescent="0.3">
      <c r="C7496" s="3"/>
      <c r="D7496" s="3"/>
      <c r="E7496" s="3"/>
      <c r="F7496" s="3"/>
    </row>
    <row r="7497" spans="3:6" x14ac:dyDescent="0.3">
      <c r="C7497" s="3"/>
      <c r="D7497" s="3"/>
      <c r="E7497" s="3"/>
      <c r="F7497" s="3"/>
    </row>
    <row r="7498" spans="3:6" x14ac:dyDescent="0.3">
      <c r="C7498" s="3"/>
      <c r="D7498" s="3"/>
      <c r="E7498" s="3"/>
      <c r="F7498" s="3"/>
    </row>
    <row r="7499" spans="3:6" x14ac:dyDescent="0.3">
      <c r="C7499" s="3"/>
      <c r="D7499" s="3"/>
      <c r="E7499" s="3"/>
      <c r="F7499" s="3"/>
    </row>
    <row r="7500" spans="3:6" x14ac:dyDescent="0.3">
      <c r="C7500" s="3"/>
      <c r="D7500" s="3"/>
      <c r="E7500" s="3"/>
      <c r="F7500" s="3"/>
    </row>
    <row r="7501" spans="3:6" x14ac:dyDescent="0.3">
      <c r="C7501" s="3"/>
      <c r="D7501" s="3"/>
      <c r="E7501" s="3"/>
      <c r="F7501" s="3"/>
    </row>
    <row r="7502" spans="3:6" x14ac:dyDescent="0.3">
      <c r="C7502" s="3"/>
      <c r="D7502" s="3"/>
      <c r="E7502" s="3"/>
      <c r="F7502" s="3"/>
    </row>
    <row r="7503" spans="3:6" x14ac:dyDescent="0.3">
      <c r="C7503" s="3"/>
      <c r="D7503" s="3"/>
      <c r="E7503" s="3"/>
      <c r="F7503" s="3"/>
    </row>
    <row r="7504" spans="3:6" x14ac:dyDescent="0.3">
      <c r="C7504" s="3"/>
      <c r="D7504" s="3"/>
      <c r="E7504" s="3"/>
      <c r="F7504" s="3"/>
    </row>
    <row r="7505" spans="3:6" x14ac:dyDescent="0.3">
      <c r="C7505" s="3"/>
      <c r="D7505" s="3"/>
      <c r="E7505" s="3"/>
      <c r="F7505" s="3"/>
    </row>
    <row r="7506" spans="3:6" x14ac:dyDescent="0.3">
      <c r="C7506" s="3"/>
      <c r="D7506" s="3"/>
      <c r="E7506" s="3"/>
      <c r="F7506" s="3"/>
    </row>
    <row r="7507" spans="3:6" x14ac:dyDescent="0.3">
      <c r="C7507" s="3"/>
      <c r="D7507" s="3"/>
      <c r="E7507" s="3"/>
      <c r="F7507" s="3"/>
    </row>
    <row r="7508" spans="3:6" x14ac:dyDescent="0.3">
      <c r="C7508" s="3"/>
      <c r="D7508" s="3"/>
      <c r="E7508" s="3"/>
      <c r="F7508" s="3"/>
    </row>
    <row r="7509" spans="3:6" x14ac:dyDescent="0.3">
      <c r="C7509" s="3"/>
      <c r="D7509" s="3"/>
      <c r="E7509" s="3"/>
      <c r="F7509" s="3"/>
    </row>
    <row r="7510" spans="3:6" x14ac:dyDescent="0.3">
      <c r="C7510" s="3"/>
      <c r="D7510" s="3"/>
      <c r="E7510" s="3"/>
      <c r="F7510" s="3"/>
    </row>
    <row r="7511" spans="3:6" x14ac:dyDescent="0.3">
      <c r="C7511" s="3"/>
      <c r="D7511" s="3"/>
      <c r="E7511" s="3"/>
      <c r="F7511" s="3"/>
    </row>
    <row r="7512" spans="3:6" x14ac:dyDescent="0.3">
      <c r="C7512" s="3"/>
      <c r="D7512" s="3"/>
      <c r="E7512" s="3"/>
      <c r="F7512" s="3"/>
    </row>
    <row r="7513" spans="3:6" x14ac:dyDescent="0.3">
      <c r="C7513" s="3"/>
      <c r="D7513" s="3"/>
      <c r="E7513" s="3"/>
      <c r="F7513" s="3"/>
    </row>
    <row r="7514" spans="3:6" x14ac:dyDescent="0.3">
      <c r="C7514" s="3"/>
      <c r="D7514" s="3"/>
      <c r="E7514" s="3"/>
      <c r="F7514" s="3"/>
    </row>
    <row r="7515" spans="3:6" x14ac:dyDescent="0.3">
      <c r="C7515" s="3"/>
      <c r="D7515" s="3"/>
      <c r="E7515" s="3"/>
      <c r="F7515" s="3"/>
    </row>
    <row r="7516" spans="3:6" x14ac:dyDescent="0.3">
      <c r="C7516" s="3"/>
      <c r="D7516" s="3"/>
      <c r="E7516" s="3"/>
      <c r="F7516" s="3"/>
    </row>
    <row r="7517" spans="3:6" x14ac:dyDescent="0.3">
      <c r="C7517" s="3"/>
      <c r="D7517" s="3"/>
      <c r="E7517" s="3"/>
      <c r="F7517" s="3"/>
    </row>
    <row r="7518" spans="3:6" x14ac:dyDescent="0.3">
      <c r="C7518" s="3"/>
      <c r="D7518" s="3"/>
      <c r="E7518" s="3"/>
      <c r="F7518" s="3"/>
    </row>
    <row r="7519" spans="3:6" x14ac:dyDescent="0.3">
      <c r="C7519" s="3"/>
      <c r="D7519" s="3"/>
      <c r="E7519" s="3"/>
      <c r="F7519" s="3"/>
    </row>
    <row r="7520" spans="3:6" x14ac:dyDescent="0.3">
      <c r="C7520" s="3"/>
      <c r="D7520" s="3"/>
      <c r="E7520" s="3"/>
      <c r="F7520" s="3"/>
    </row>
    <row r="7521" spans="3:6" x14ac:dyDescent="0.3">
      <c r="C7521" s="3"/>
      <c r="D7521" s="3"/>
      <c r="E7521" s="3"/>
      <c r="F7521" s="3"/>
    </row>
    <row r="7522" spans="3:6" x14ac:dyDescent="0.3">
      <c r="C7522" s="3"/>
      <c r="D7522" s="3"/>
      <c r="E7522" s="3"/>
      <c r="F7522" s="3"/>
    </row>
    <row r="7523" spans="3:6" x14ac:dyDescent="0.3">
      <c r="C7523" s="3"/>
      <c r="D7523" s="3"/>
      <c r="E7523" s="3"/>
      <c r="F7523" s="3"/>
    </row>
    <row r="7524" spans="3:6" x14ac:dyDescent="0.3">
      <c r="C7524" s="3"/>
      <c r="D7524" s="3"/>
      <c r="E7524" s="3"/>
      <c r="F7524" s="3"/>
    </row>
    <row r="7525" spans="3:6" x14ac:dyDescent="0.3">
      <c r="C7525" s="3"/>
      <c r="D7525" s="3"/>
      <c r="E7525" s="3"/>
      <c r="F7525" s="3"/>
    </row>
    <row r="7526" spans="3:6" x14ac:dyDescent="0.3">
      <c r="C7526" s="3"/>
      <c r="D7526" s="3"/>
      <c r="E7526" s="3"/>
      <c r="F7526" s="3"/>
    </row>
    <row r="7527" spans="3:6" x14ac:dyDescent="0.3">
      <c r="C7527" s="3"/>
      <c r="D7527" s="3"/>
      <c r="E7527" s="3"/>
      <c r="F7527" s="3"/>
    </row>
    <row r="7528" spans="3:6" x14ac:dyDescent="0.3">
      <c r="C7528" s="3"/>
      <c r="D7528" s="3"/>
      <c r="E7528" s="3"/>
      <c r="F7528" s="3"/>
    </row>
    <row r="7529" spans="3:6" x14ac:dyDescent="0.3">
      <c r="C7529" s="3"/>
      <c r="D7529" s="3"/>
      <c r="E7529" s="3"/>
      <c r="F7529" s="3"/>
    </row>
    <row r="7530" spans="3:6" x14ac:dyDescent="0.3">
      <c r="C7530" s="3"/>
      <c r="D7530" s="3"/>
      <c r="E7530" s="3"/>
      <c r="F7530" s="3"/>
    </row>
    <row r="7531" spans="3:6" x14ac:dyDescent="0.3">
      <c r="C7531" s="3"/>
      <c r="D7531" s="3"/>
      <c r="E7531" s="3"/>
      <c r="F7531" s="3"/>
    </row>
    <row r="7532" spans="3:6" x14ac:dyDescent="0.3">
      <c r="C7532" s="3"/>
      <c r="D7532" s="3"/>
      <c r="E7532" s="3"/>
      <c r="F7532" s="3"/>
    </row>
    <row r="7533" spans="3:6" x14ac:dyDescent="0.3">
      <c r="C7533" s="3"/>
      <c r="D7533" s="3"/>
      <c r="E7533" s="3"/>
      <c r="F7533" s="3"/>
    </row>
    <row r="7534" spans="3:6" x14ac:dyDescent="0.3">
      <c r="C7534" s="3"/>
      <c r="D7534" s="3"/>
      <c r="E7534" s="3"/>
      <c r="F7534" s="3"/>
    </row>
    <row r="7535" spans="3:6" x14ac:dyDescent="0.3">
      <c r="C7535" s="3"/>
      <c r="D7535" s="3"/>
      <c r="E7535" s="3"/>
      <c r="F7535" s="3"/>
    </row>
    <row r="7536" spans="3:6" x14ac:dyDescent="0.3">
      <c r="C7536" s="3"/>
      <c r="D7536" s="3"/>
      <c r="E7536" s="3"/>
      <c r="F7536" s="3"/>
    </row>
    <row r="7537" spans="3:6" x14ac:dyDescent="0.3">
      <c r="C7537" s="3"/>
      <c r="D7537" s="3"/>
      <c r="E7537" s="3"/>
      <c r="F7537" s="3"/>
    </row>
    <row r="7538" spans="3:6" x14ac:dyDescent="0.3">
      <c r="C7538" s="3"/>
      <c r="D7538" s="3"/>
      <c r="E7538" s="3"/>
      <c r="F7538" s="3"/>
    </row>
    <row r="7539" spans="3:6" x14ac:dyDescent="0.3">
      <c r="C7539" s="3"/>
      <c r="D7539" s="3"/>
      <c r="E7539" s="3"/>
      <c r="F7539" s="3"/>
    </row>
    <row r="7540" spans="3:6" x14ac:dyDescent="0.3">
      <c r="C7540" s="3"/>
      <c r="D7540" s="3"/>
      <c r="E7540" s="3"/>
      <c r="F7540" s="3"/>
    </row>
    <row r="7541" spans="3:6" x14ac:dyDescent="0.3">
      <c r="C7541" s="3"/>
      <c r="D7541" s="3"/>
      <c r="E7541" s="3"/>
      <c r="F7541" s="3"/>
    </row>
    <row r="7542" spans="3:6" x14ac:dyDescent="0.3">
      <c r="C7542" s="3"/>
      <c r="D7542" s="3"/>
      <c r="E7542" s="3"/>
      <c r="F7542" s="3"/>
    </row>
    <row r="7543" spans="3:6" x14ac:dyDescent="0.3">
      <c r="C7543" s="3"/>
      <c r="D7543" s="3"/>
      <c r="E7543" s="3"/>
      <c r="F7543" s="3"/>
    </row>
    <row r="7544" spans="3:6" x14ac:dyDescent="0.3">
      <c r="C7544" s="3"/>
      <c r="D7544" s="3"/>
      <c r="E7544" s="3"/>
      <c r="F7544" s="3"/>
    </row>
    <row r="7545" spans="3:6" x14ac:dyDescent="0.3">
      <c r="C7545" s="3"/>
      <c r="D7545" s="3"/>
      <c r="E7545" s="3"/>
      <c r="F7545" s="3"/>
    </row>
    <row r="7546" spans="3:6" x14ac:dyDescent="0.3">
      <c r="C7546" s="3"/>
      <c r="D7546" s="3"/>
      <c r="E7546" s="3"/>
      <c r="F7546" s="3"/>
    </row>
    <row r="7547" spans="3:6" x14ac:dyDescent="0.3">
      <c r="C7547" s="3"/>
      <c r="D7547" s="3"/>
      <c r="E7547" s="3"/>
      <c r="F7547" s="3"/>
    </row>
    <row r="7548" spans="3:6" x14ac:dyDescent="0.3">
      <c r="C7548" s="3"/>
      <c r="D7548" s="3"/>
      <c r="E7548" s="3"/>
      <c r="F7548" s="3"/>
    </row>
    <row r="7549" spans="3:6" x14ac:dyDescent="0.3">
      <c r="C7549" s="3"/>
      <c r="D7549" s="3"/>
      <c r="E7549" s="3"/>
      <c r="F7549" s="3"/>
    </row>
    <row r="7550" spans="3:6" x14ac:dyDescent="0.3">
      <c r="C7550" s="3"/>
      <c r="D7550" s="3"/>
      <c r="E7550" s="3"/>
      <c r="F7550" s="3"/>
    </row>
    <row r="7551" spans="3:6" x14ac:dyDescent="0.3">
      <c r="C7551" s="3"/>
      <c r="D7551" s="3"/>
      <c r="E7551" s="3"/>
      <c r="F7551" s="3"/>
    </row>
    <row r="7552" spans="3:6" x14ac:dyDescent="0.3">
      <c r="C7552" s="3"/>
      <c r="D7552" s="3"/>
      <c r="E7552" s="3"/>
      <c r="F7552" s="3"/>
    </row>
    <row r="7553" spans="3:6" x14ac:dyDescent="0.3">
      <c r="C7553" s="3"/>
      <c r="D7553" s="3"/>
      <c r="E7553" s="3"/>
      <c r="F7553" s="3"/>
    </row>
    <row r="7554" spans="3:6" x14ac:dyDescent="0.3">
      <c r="C7554" s="3"/>
      <c r="D7554" s="3"/>
      <c r="E7554" s="3"/>
      <c r="F7554" s="3"/>
    </row>
    <row r="7555" spans="3:6" x14ac:dyDescent="0.3">
      <c r="C7555" s="3"/>
      <c r="D7555" s="3"/>
      <c r="E7555" s="3"/>
      <c r="F7555" s="3"/>
    </row>
    <row r="7556" spans="3:6" x14ac:dyDescent="0.3">
      <c r="C7556" s="3"/>
      <c r="D7556" s="3"/>
      <c r="E7556" s="3"/>
      <c r="F7556" s="3"/>
    </row>
    <row r="7557" spans="3:6" x14ac:dyDescent="0.3">
      <c r="C7557" s="3"/>
      <c r="D7557" s="3"/>
      <c r="E7557" s="3"/>
      <c r="F7557" s="3"/>
    </row>
    <row r="7558" spans="3:6" x14ac:dyDescent="0.3">
      <c r="C7558" s="3"/>
      <c r="D7558" s="3"/>
      <c r="E7558" s="3"/>
      <c r="F7558" s="3"/>
    </row>
    <row r="7559" spans="3:6" x14ac:dyDescent="0.3">
      <c r="C7559" s="3"/>
      <c r="D7559" s="3"/>
      <c r="E7559" s="3"/>
      <c r="F7559" s="3"/>
    </row>
    <row r="7560" spans="3:6" x14ac:dyDescent="0.3">
      <c r="C7560" s="3"/>
      <c r="D7560" s="3"/>
      <c r="E7560" s="3"/>
      <c r="F7560" s="3"/>
    </row>
    <row r="7561" spans="3:6" x14ac:dyDescent="0.3">
      <c r="C7561" s="3"/>
      <c r="D7561" s="3"/>
      <c r="E7561" s="3"/>
      <c r="F7561" s="3"/>
    </row>
    <row r="7562" spans="3:6" x14ac:dyDescent="0.3">
      <c r="C7562" s="3"/>
      <c r="D7562" s="3"/>
      <c r="E7562" s="3"/>
      <c r="F7562" s="3"/>
    </row>
    <row r="7563" spans="3:6" x14ac:dyDescent="0.3">
      <c r="C7563" s="3"/>
      <c r="D7563" s="3"/>
      <c r="E7563" s="3"/>
      <c r="F7563" s="3"/>
    </row>
    <row r="7564" spans="3:6" x14ac:dyDescent="0.3">
      <c r="C7564" s="3"/>
      <c r="D7564" s="3"/>
      <c r="E7564" s="3"/>
      <c r="F7564" s="3"/>
    </row>
    <row r="7565" spans="3:6" x14ac:dyDescent="0.3">
      <c r="C7565" s="3"/>
      <c r="D7565" s="3"/>
      <c r="E7565" s="3"/>
      <c r="F7565" s="3"/>
    </row>
    <row r="7566" spans="3:6" x14ac:dyDescent="0.3">
      <c r="C7566" s="3"/>
      <c r="D7566" s="3"/>
      <c r="E7566" s="3"/>
      <c r="F7566" s="3"/>
    </row>
    <row r="7567" spans="3:6" x14ac:dyDescent="0.3">
      <c r="C7567" s="3"/>
      <c r="D7567" s="3"/>
      <c r="E7567" s="3"/>
      <c r="F7567" s="3"/>
    </row>
    <row r="7568" spans="3:6" x14ac:dyDescent="0.3">
      <c r="C7568" s="3"/>
      <c r="D7568" s="3"/>
      <c r="E7568" s="3"/>
      <c r="F7568" s="3"/>
    </row>
    <row r="7569" spans="3:6" x14ac:dyDescent="0.3">
      <c r="C7569" s="3"/>
      <c r="D7569" s="3"/>
      <c r="E7569" s="3"/>
      <c r="F7569" s="3"/>
    </row>
    <row r="7570" spans="3:6" x14ac:dyDescent="0.3">
      <c r="C7570" s="3"/>
      <c r="D7570" s="3"/>
      <c r="E7570" s="3"/>
      <c r="F7570" s="3"/>
    </row>
    <row r="7571" spans="3:6" x14ac:dyDescent="0.3">
      <c r="C7571" s="3"/>
      <c r="D7571" s="3"/>
      <c r="E7571" s="3"/>
      <c r="F7571" s="3"/>
    </row>
    <row r="7572" spans="3:6" x14ac:dyDescent="0.3">
      <c r="C7572" s="3"/>
      <c r="D7572" s="3"/>
      <c r="E7572" s="3"/>
      <c r="F7572" s="3"/>
    </row>
    <row r="7573" spans="3:6" x14ac:dyDescent="0.3">
      <c r="C7573" s="3"/>
      <c r="D7573" s="3"/>
      <c r="E7573" s="3"/>
      <c r="F7573" s="3"/>
    </row>
    <row r="7574" spans="3:6" x14ac:dyDescent="0.3">
      <c r="C7574" s="3"/>
      <c r="D7574" s="3"/>
      <c r="E7574" s="3"/>
      <c r="F7574" s="3"/>
    </row>
    <row r="7575" spans="3:6" x14ac:dyDescent="0.3">
      <c r="C7575" s="3"/>
      <c r="D7575" s="3"/>
      <c r="E7575" s="3"/>
      <c r="F7575" s="3"/>
    </row>
    <row r="7576" spans="3:6" x14ac:dyDescent="0.3">
      <c r="C7576" s="3"/>
      <c r="D7576" s="3"/>
      <c r="E7576" s="3"/>
      <c r="F7576" s="3"/>
    </row>
    <row r="7577" spans="3:6" x14ac:dyDescent="0.3">
      <c r="C7577" s="3"/>
      <c r="D7577" s="3"/>
      <c r="E7577" s="3"/>
      <c r="F7577" s="3"/>
    </row>
    <row r="7578" spans="3:6" x14ac:dyDescent="0.3">
      <c r="C7578" s="3"/>
      <c r="D7578" s="3"/>
      <c r="E7578" s="3"/>
      <c r="F7578" s="3"/>
    </row>
    <row r="7579" spans="3:6" x14ac:dyDescent="0.3">
      <c r="C7579" s="3"/>
      <c r="D7579" s="3"/>
      <c r="E7579" s="3"/>
      <c r="F7579" s="3"/>
    </row>
    <row r="7580" spans="3:6" x14ac:dyDescent="0.3">
      <c r="C7580" s="3"/>
      <c r="D7580" s="3"/>
      <c r="E7580" s="3"/>
      <c r="F7580" s="3"/>
    </row>
    <row r="7581" spans="3:6" x14ac:dyDescent="0.3">
      <c r="C7581" s="3"/>
      <c r="D7581" s="3"/>
      <c r="E7581" s="3"/>
      <c r="F7581" s="3"/>
    </row>
    <row r="7582" spans="3:6" x14ac:dyDescent="0.3">
      <c r="C7582" s="3"/>
      <c r="D7582" s="3"/>
      <c r="E7582" s="3"/>
      <c r="F7582" s="3"/>
    </row>
    <row r="7583" spans="3:6" x14ac:dyDescent="0.3">
      <c r="C7583" s="3"/>
      <c r="D7583" s="3"/>
      <c r="E7583" s="3"/>
      <c r="F7583" s="3"/>
    </row>
    <row r="7584" spans="3:6" x14ac:dyDescent="0.3">
      <c r="C7584" s="3"/>
      <c r="D7584" s="3"/>
      <c r="E7584" s="3"/>
      <c r="F7584" s="3"/>
    </row>
    <row r="7585" spans="3:6" x14ac:dyDescent="0.3">
      <c r="C7585" s="3"/>
      <c r="D7585" s="3"/>
      <c r="E7585" s="3"/>
      <c r="F7585" s="3"/>
    </row>
    <row r="7586" spans="3:6" x14ac:dyDescent="0.3">
      <c r="C7586" s="3"/>
      <c r="D7586" s="3"/>
      <c r="E7586" s="3"/>
      <c r="F7586" s="3"/>
    </row>
    <row r="7587" spans="3:6" x14ac:dyDescent="0.3">
      <c r="C7587" s="3"/>
      <c r="D7587" s="3"/>
      <c r="E7587" s="3"/>
      <c r="F7587" s="3"/>
    </row>
    <row r="7588" spans="3:6" x14ac:dyDescent="0.3">
      <c r="C7588" s="3"/>
      <c r="D7588" s="3"/>
      <c r="E7588" s="3"/>
      <c r="F7588" s="3"/>
    </row>
    <row r="7589" spans="3:6" x14ac:dyDescent="0.3">
      <c r="C7589" s="3"/>
      <c r="D7589" s="3"/>
      <c r="E7589" s="3"/>
      <c r="F7589" s="3"/>
    </row>
    <row r="7590" spans="3:6" x14ac:dyDescent="0.3">
      <c r="C7590" s="3"/>
      <c r="D7590" s="3"/>
      <c r="E7590" s="3"/>
      <c r="F7590" s="3"/>
    </row>
    <row r="7591" spans="3:6" x14ac:dyDescent="0.3">
      <c r="C7591" s="3"/>
      <c r="D7591" s="3"/>
      <c r="E7591" s="3"/>
      <c r="F7591" s="3"/>
    </row>
    <row r="7592" spans="3:6" x14ac:dyDescent="0.3">
      <c r="C7592" s="3"/>
      <c r="D7592" s="3"/>
      <c r="E7592" s="3"/>
      <c r="F7592" s="3"/>
    </row>
    <row r="7593" spans="3:6" x14ac:dyDescent="0.3">
      <c r="C7593" s="3"/>
      <c r="D7593" s="3"/>
      <c r="E7593" s="3"/>
      <c r="F7593" s="3"/>
    </row>
    <row r="7594" spans="3:6" x14ac:dyDescent="0.3">
      <c r="C7594" s="3"/>
      <c r="D7594" s="3"/>
      <c r="E7594" s="3"/>
      <c r="F7594" s="3"/>
    </row>
    <row r="7595" spans="3:6" x14ac:dyDescent="0.3">
      <c r="C7595" s="3"/>
      <c r="D7595" s="3"/>
      <c r="E7595" s="3"/>
      <c r="F7595" s="3"/>
    </row>
    <row r="7596" spans="3:6" x14ac:dyDescent="0.3">
      <c r="C7596" s="3"/>
      <c r="D7596" s="3"/>
      <c r="E7596" s="3"/>
      <c r="F7596" s="3"/>
    </row>
    <row r="7597" spans="3:6" x14ac:dyDescent="0.3">
      <c r="C7597" s="3"/>
      <c r="D7597" s="3"/>
      <c r="E7597" s="3"/>
      <c r="F7597" s="3"/>
    </row>
    <row r="7598" spans="3:6" x14ac:dyDescent="0.3">
      <c r="C7598" s="3"/>
      <c r="D7598" s="3"/>
      <c r="E7598" s="3"/>
      <c r="F7598" s="3"/>
    </row>
    <row r="7599" spans="3:6" x14ac:dyDescent="0.3">
      <c r="C7599" s="3"/>
      <c r="D7599" s="3"/>
      <c r="E7599" s="3"/>
      <c r="F7599" s="3"/>
    </row>
    <row r="7600" spans="3:6" x14ac:dyDescent="0.3">
      <c r="C7600" s="3"/>
      <c r="D7600" s="3"/>
      <c r="E7600" s="3"/>
      <c r="F7600" s="3"/>
    </row>
    <row r="7601" spans="3:6" x14ac:dyDescent="0.3">
      <c r="C7601" s="3"/>
      <c r="D7601" s="3"/>
      <c r="E7601" s="3"/>
      <c r="F7601" s="3"/>
    </row>
    <row r="7602" spans="3:6" x14ac:dyDescent="0.3">
      <c r="C7602" s="3"/>
      <c r="D7602" s="3"/>
      <c r="E7602" s="3"/>
      <c r="F7602" s="3"/>
    </row>
    <row r="7603" spans="3:6" x14ac:dyDescent="0.3">
      <c r="C7603" s="3"/>
      <c r="D7603" s="3"/>
      <c r="E7603" s="3"/>
      <c r="F7603" s="3"/>
    </row>
    <row r="7604" spans="3:6" x14ac:dyDescent="0.3">
      <c r="C7604" s="3"/>
      <c r="D7604" s="3"/>
      <c r="E7604" s="3"/>
      <c r="F7604" s="3"/>
    </row>
    <row r="7605" spans="3:6" x14ac:dyDescent="0.3">
      <c r="C7605" s="3"/>
      <c r="D7605" s="3"/>
      <c r="E7605" s="3"/>
      <c r="F7605" s="3"/>
    </row>
    <row r="7606" spans="3:6" x14ac:dyDescent="0.3">
      <c r="C7606" s="3"/>
      <c r="D7606" s="3"/>
      <c r="E7606" s="3"/>
      <c r="F7606" s="3"/>
    </row>
    <row r="7607" spans="3:6" x14ac:dyDescent="0.3">
      <c r="C7607" s="3"/>
      <c r="D7607" s="3"/>
      <c r="E7607" s="3"/>
      <c r="F7607" s="3"/>
    </row>
    <row r="7608" spans="3:6" x14ac:dyDescent="0.3">
      <c r="C7608" s="3"/>
      <c r="D7608" s="3"/>
      <c r="E7608" s="3"/>
      <c r="F7608" s="3"/>
    </row>
    <row r="7609" spans="3:6" x14ac:dyDescent="0.3">
      <c r="C7609" s="3"/>
      <c r="D7609" s="3"/>
      <c r="E7609" s="3"/>
      <c r="F7609" s="3"/>
    </row>
    <row r="7610" spans="3:6" x14ac:dyDescent="0.3">
      <c r="C7610" s="3"/>
      <c r="D7610" s="3"/>
      <c r="E7610" s="3"/>
      <c r="F7610" s="3"/>
    </row>
    <row r="7611" spans="3:6" x14ac:dyDescent="0.3">
      <c r="C7611" s="3"/>
      <c r="D7611" s="3"/>
      <c r="E7611" s="3"/>
      <c r="F7611" s="3"/>
    </row>
    <row r="7612" spans="3:6" x14ac:dyDescent="0.3">
      <c r="C7612" s="3"/>
      <c r="D7612" s="3"/>
      <c r="E7612" s="3"/>
      <c r="F7612" s="3"/>
    </row>
    <row r="7613" spans="3:6" x14ac:dyDescent="0.3">
      <c r="C7613" s="3"/>
      <c r="D7613" s="3"/>
      <c r="E7613" s="3"/>
      <c r="F7613" s="3"/>
    </row>
    <row r="7614" spans="3:6" x14ac:dyDescent="0.3">
      <c r="C7614" s="3"/>
      <c r="D7614" s="3"/>
      <c r="E7614" s="3"/>
      <c r="F7614" s="3"/>
    </row>
    <row r="7615" spans="3:6" x14ac:dyDescent="0.3">
      <c r="C7615" s="3"/>
      <c r="D7615" s="3"/>
      <c r="E7615" s="3"/>
      <c r="F7615" s="3"/>
    </row>
    <row r="7616" spans="3:6" x14ac:dyDescent="0.3">
      <c r="C7616" s="3"/>
      <c r="D7616" s="3"/>
      <c r="E7616" s="3"/>
      <c r="F7616" s="3"/>
    </row>
    <row r="7617" spans="3:6" x14ac:dyDescent="0.3">
      <c r="C7617" s="3"/>
      <c r="D7617" s="3"/>
      <c r="E7617" s="3"/>
      <c r="F7617" s="3"/>
    </row>
    <row r="7618" spans="3:6" x14ac:dyDescent="0.3">
      <c r="C7618" s="3"/>
      <c r="D7618" s="3"/>
      <c r="E7618" s="3"/>
      <c r="F7618" s="3"/>
    </row>
    <row r="7619" spans="3:6" x14ac:dyDescent="0.3">
      <c r="C7619" s="3"/>
      <c r="D7619" s="3"/>
      <c r="E7619" s="3"/>
      <c r="F7619" s="3"/>
    </row>
    <row r="7620" spans="3:6" x14ac:dyDescent="0.3">
      <c r="C7620" s="3"/>
      <c r="D7620" s="3"/>
      <c r="E7620" s="3"/>
      <c r="F7620" s="3"/>
    </row>
    <row r="7621" spans="3:6" x14ac:dyDescent="0.3">
      <c r="C7621" s="3"/>
      <c r="D7621" s="3"/>
      <c r="E7621" s="3"/>
      <c r="F7621" s="3"/>
    </row>
    <row r="7622" spans="3:6" x14ac:dyDescent="0.3">
      <c r="C7622" s="3"/>
      <c r="D7622" s="3"/>
      <c r="E7622" s="3"/>
      <c r="F7622" s="3"/>
    </row>
    <row r="7623" spans="3:6" x14ac:dyDescent="0.3">
      <c r="C7623" s="3"/>
      <c r="D7623" s="3"/>
      <c r="E7623" s="3"/>
      <c r="F7623" s="3"/>
    </row>
    <row r="7624" spans="3:6" x14ac:dyDescent="0.3">
      <c r="C7624" s="3"/>
      <c r="D7624" s="3"/>
      <c r="E7624" s="3"/>
      <c r="F7624" s="3"/>
    </row>
    <row r="7625" spans="3:6" x14ac:dyDescent="0.3">
      <c r="C7625" s="3"/>
      <c r="D7625" s="3"/>
      <c r="E7625" s="3"/>
      <c r="F7625" s="3"/>
    </row>
    <row r="7626" spans="3:6" x14ac:dyDescent="0.3">
      <c r="C7626" s="3"/>
      <c r="D7626" s="3"/>
      <c r="E7626" s="3"/>
      <c r="F7626" s="3"/>
    </row>
    <row r="7627" spans="3:6" x14ac:dyDescent="0.3">
      <c r="C7627" s="3"/>
      <c r="D7627" s="3"/>
      <c r="E7627" s="3"/>
      <c r="F7627" s="3"/>
    </row>
    <row r="7628" spans="3:6" x14ac:dyDescent="0.3">
      <c r="C7628" s="3"/>
      <c r="D7628" s="3"/>
      <c r="E7628" s="3"/>
      <c r="F7628" s="3"/>
    </row>
    <row r="7629" spans="3:6" x14ac:dyDescent="0.3">
      <c r="C7629" s="3"/>
      <c r="D7629" s="3"/>
      <c r="E7629" s="3"/>
      <c r="F7629" s="3"/>
    </row>
    <row r="7630" spans="3:6" x14ac:dyDescent="0.3">
      <c r="C7630" s="3"/>
      <c r="D7630" s="3"/>
      <c r="E7630" s="3"/>
      <c r="F7630" s="3"/>
    </row>
    <row r="7631" spans="3:6" x14ac:dyDescent="0.3">
      <c r="C7631" s="3"/>
      <c r="D7631" s="3"/>
      <c r="E7631" s="3"/>
      <c r="F7631" s="3"/>
    </row>
    <row r="7632" spans="3:6" x14ac:dyDescent="0.3">
      <c r="C7632" s="3"/>
      <c r="D7632" s="3"/>
      <c r="E7632" s="3"/>
      <c r="F7632" s="3"/>
    </row>
    <row r="7633" spans="3:6" x14ac:dyDescent="0.3">
      <c r="C7633" s="3"/>
      <c r="D7633" s="3"/>
      <c r="E7633" s="3"/>
      <c r="F7633" s="3"/>
    </row>
    <row r="7634" spans="3:6" x14ac:dyDescent="0.3">
      <c r="C7634" s="3"/>
      <c r="D7634" s="3"/>
      <c r="E7634" s="3"/>
      <c r="F7634" s="3"/>
    </row>
    <row r="7635" spans="3:6" x14ac:dyDescent="0.3">
      <c r="C7635" s="3"/>
      <c r="D7635" s="3"/>
      <c r="E7635" s="3"/>
      <c r="F7635" s="3"/>
    </row>
    <row r="7636" spans="3:6" x14ac:dyDescent="0.3">
      <c r="C7636" s="3"/>
      <c r="D7636" s="3"/>
      <c r="E7636" s="3"/>
      <c r="F7636" s="3"/>
    </row>
    <row r="7637" spans="3:6" x14ac:dyDescent="0.3">
      <c r="C7637" s="3"/>
      <c r="D7637" s="3"/>
      <c r="E7637" s="3"/>
      <c r="F7637" s="3"/>
    </row>
    <row r="7638" spans="3:6" x14ac:dyDescent="0.3">
      <c r="C7638" s="3"/>
      <c r="D7638" s="3"/>
      <c r="E7638" s="3"/>
      <c r="F7638" s="3"/>
    </row>
    <row r="7639" spans="3:6" x14ac:dyDescent="0.3">
      <c r="C7639" s="3"/>
      <c r="D7639" s="3"/>
      <c r="E7639" s="3"/>
      <c r="F7639" s="3"/>
    </row>
    <row r="7640" spans="3:6" x14ac:dyDescent="0.3">
      <c r="C7640" s="3"/>
      <c r="D7640" s="3"/>
      <c r="E7640" s="3"/>
      <c r="F7640" s="3"/>
    </row>
    <row r="7641" spans="3:6" x14ac:dyDescent="0.3">
      <c r="C7641" s="3"/>
      <c r="D7641" s="3"/>
      <c r="E7641" s="3"/>
      <c r="F7641" s="3"/>
    </row>
    <row r="7642" spans="3:6" x14ac:dyDescent="0.3">
      <c r="C7642" s="3"/>
      <c r="D7642" s="3"/>
      <c r="E7642" s="3"/>
      <c r="F7642" s="3"/>
    </row>
    <row r="7643" spans="3:6" x14ac:dyDescent="0.3">
      <c r="C7643" s="3"/>
      <c r="D7643" s="3"/>
      <c r="E7643" s="3"/>
      <c r="F7643" s="3"/>
    </row>
    <row r="7644" spans="3:6" x14ac:dyDescent="0.3">
      <c r="C7644" s="3"/>
      <c r="D7644" s="3"/>
      <c r="E7644" s="3"/>
      <c r="F7644" s="3"/>
    </row>
    <row r="7645" spans="3:6" x14ac:dyDescent="0.3">
      <c r="C7645" s="3"/>
      <c r="D7645" s="3"/>
      <c r="E7645" s="3"/>
      <c r="F7645" s="3"/>
    </row>
    <row r="7646" spans="3:6" x14ac:dyDescent="0.3">
      <c r="C7646" s="3"/>
      <c r="D7646" s="3"/>
      <c r="E7646" s="3"/>
      <c r="F7646" s="3"/>
    </row>
    <row r="7647" spans="3:6" x14ac:dyDescent="0.3">
      <c r="C7647" s="3"/>
      <c r="D7647" s="3"/>
      <c r="E7647" s="3"/>
      <c r="F7647" s="3"/>
    </row>
    <row r="7648" spans="3:6" x14ac:dyDescent="0.3">
      <c r="C7648" s="3"/>
      <c r="D7648" s="3"/>
      <c r="E7648" s="3"/>
      <c r="F7648" s="3"/>
    </row>
    <row r="7649" spans="3:6" x14ac:dyDescent="0.3">
      <c r="C7649" s="3"/>
      <c r="D7649" s="3"/>
      <c r="E7649" s="3"/>
      <c r="F7649" s="3"/>
    </row>
    <row r="7650" spans="3:6" x14ac:dyDescent="0.3">
      <c r="C7650" s="3"/>
      <c r="D7650" s="3"/>
      <c r="E7650" s="3"/>
      <c r="F7650" s="3"/>
    </row>
    <row r="7651" spans="3:6" x14ac:dyDescent="0.3">
      <c r="C7651" s="3"/>
      <c r="D7651" s="3"/>
      <c r="E7651" s="3"/>
      <c r="F7651" s="3"/>
    </row>
    <row r="7652" spans="3:6" x14ac:dyDescent="0.3">
      <c r="C7652" s="3"/>
      <c r="D7652" s="3"/>
      <c r="E7652" s="3"/>
      <c r="F7652" s="3"/>
    </row>
    <row r="7653" spans="3:6" x14ac:dyDescent="0.3">
      <c r="C7653" s="3"/>
      <c r="D7653" s="3"/>
      <c r="E7653" s="3"/>
      <c r="F7653" s="3"/>
    </row>
    <row r="7654" spans="3:6" x14ac:dyDescent="0.3">
      <c r="C7654" s="3"/>
      <c r="D7654" s="3"/>
      <c r="E7654" s="3"/>
      <c r="F7654" s="3"/>
    </row>
    <row r="7655" spans="3:6" x14ac:dyDescent="0.3">
      <c r="C7655" s="3"/>
      <c r="D7655" s="3"/>
      <c r="E7655" s="3"/>
      <c r="F7655" s="3"/>
    </row>
    <row r="7656" spans="3:6" x14ac:dyDescent="0.3">
      <c r="C7656" s="3"/>
      <c r="D7656" s="3"/>
      <c r="E7656" s="3"/>
      <c r="F7656" s="3"/>
    </row>
    <row r="7657" spans="3:6" x14ac:dyDescent="0.3">
      <c r="C7657" s="3"/>
      <c r="D7657" s="3"/>
      <c r="E7657" s="3"/>
      <c r="F7657" s="3"/>
    </row>
    <row r="7658" spans="3:6" x14ac:dyDescent="0.3">
      <c r="C7658" s="3"/>
      <c r="D7658" s="3"/>
      <c r="E7658" s="3"/>
      <c r="F7658" s="3"/>
    </row>
    <row r="7659" spans="3:6" x14ac:dyDescent="0.3">
      <c r="C7659" s="3"/>
      <c r="D7659" s="3"/>
      <c r="E7659" s="3"/>
      <c r="F7659" s="3"/>
    </row>
    <row r="7660" spans="3:6" x14ac:dyDescent="0.3">
      <c r="C7660" s="3"/>
      <c r="D7660" s="3"/>
      <c r="E7660" s="3"/>
      <c r="F7660" s="3"/>
    </row>
    <row r="7661" spans="3:6" x14ac:dyDescent="0.3">
      <c r="C7661" s="3"/>
      <c r="D7661" s="3"/>
      <c r="E7661" s="3"/>
      <c r="F7661" s="3"/>
    </row>
    <row r="7662" spans="3:6" x14ac:dyDescent="0.3">
      <c r="C7662" s="3"/>
      <c r="D7662" s="3"/>
      <c r="E7662" s="3"/>
      <c r="F7662" s="3"/>
    </row>
    <row r="7663" spans="3:6" x14ac:dyDescent="0.3">
      <c r="C7663" s="3"/>
      <c r="D7663" s="3"/>
      <c r="E7663" s="3"/>
      <c r="F7663" s="3"/>
    </row>
    <row r="7664" spans="3:6" x14ac:dyDescent="0.3">
      <c r="C7664" s="3"/>
      <c r="D7664" s="3"/>
      <c r="E7664" s="3"/>
      <c r="F7664" s="3"/>
    </row>
    <row r="7665" spans="3:6" x14ac:dyDescent="0.3">
      <c r="C7665" s="3"/>
      <c r="D7665" s="3"/>
      <c r="E7665" s="3"/>
      <c r="F7665" s="3"/>
    </row>
    <row r="7666" spans="3:6" x14ac:dyDescent="0.3">
      <c r="C7666" s="3"/>
      <c r="D7666" s="3"/>
      <c r="E7666" s="3"/>
      <c r="F7666" s="3"/>
    </row>
    <row r="7667" spans="3:6" x14ac:dyDescent="0.3">
      <c r="C7667" s="3"/>
      <c r="D7667" s="3"/>
      <c r="E7667" s="3"/>
      <c r="F7667" s="3"/>
    </row>
    <row r="7668" spans="3:6" x14ac:dyDescent="0.3">
      <c r="C7668" s="3"/>
      <c r="D7668" s="3"/>
      <c r="E7668" s="3"/>
      <c r="F7668" s="3"/>
    </row>
    <row r="7669" spans="3:6" x14ac:dyDescent="0.3">
      <c r="C7669" s="3"/>
      <c r="D7669" s="3"/>
      <c r="E7669" s="3"/>
      <c r="F7669" s="3"/>
    </row>
    <row r="7670" spans="3:6" x14ac:dyDescent="0.3">
      <c r="C7670" s="3"/>
      <c r="D7670" s="3"/>
      <c r="E7670" s="3"/>
      <c r="F7670" s="3"/>
    </row>
    <row r="7671" spans="3:6" x14ac:dyDescent="0.3">
      <c r="C7671" s="3"/>
      <c r="D7671" s="3"/>
      <c r="E7671" s="3"/>
      <c r="F7671" s="3"/>
    </row>
    <row r="7672" spans="3:6" x14ac:dyDescent="0.3">
      <c r="C7672" s="3"/>
      <c r="D7672" s="3"/>
      <c r="E7672" s="3"/>
      <c r="F7672" s="3"/>
    </row>
    <row r="7673" spans="3:6" x14ac:dyDescent="0.3">
      <c r="C7673" s="3"/>
      <c r="D7673" s="3"/>
      <c r="E7673" s="3"/>
      <c r="F7673" s="3"/>
    </row>
    <row r="7674" spans="3:6" x14ac:dyDescent="0.3">
      <c r="C7674" s="3"/>
      <c r="D7674" s="3"/>
      <c r="E7674" s="3"/>
      <c r="F7674" s="3"/>
    </row>
    <row r="7675" spans="3:6" x14ac:dyDescent="0.3">
      <c r="C7675" s="3"/>
      <c r="D7675" s="3"/>
      <c r="E7675" s="3"/>
      <c r="F7675" s="3"/>
    </row>
    <row r="7676" spans="3:6" x14ac:dyDescent="0.3">
      <c r="C7676" s="3"/>
      <c r="D7676" s="3"/>
      <c r="E7676" s="3"/>
      <c r="F7676" s="3"/>
    </row>
    <row r="7677" spans="3:6" x14ac:dyDescent="0.3">
      <c r="C7677" s="3"/>
      <c r="D7677" s="3"/>
      <c r="E7677" s="3"/>
      <c r="F7677" s="3"/>
    </row>
    <row r="7678" spans="3:6" x14ac:dyDescent="0.3">
      <c r="C7678" s="3"/>
      <c r="D7678" s="3"/>
      <c r="E7678" s="3"/>
      <c r="F7678" s="3"/>
    </row>
    <row r="7679" spans="3:6" x14ac:dyDescent="0.3">
      <c r="C7679" s="3"/>
      <c r="D7679" s="3"/>
      <c r="E7679" s="3"/>
      <c r="F7679" s="3"/>
    </row>
    <row r="7680" spans="3:6" x14ac:dyDescent="0.3">
      <c r="C7680" s="3"/>
      <c r="D7680" s="3"/>
      <c r="E7680" s="3"/>
      <c r="F7680" s="3"/>
    </row>
    <row r="7681" spans="3:6" x14ac:dyDescent="0.3">
      <c r="C7681" s="3"/>
      <c r="D7681" s="3"/>
      <c r="E7681" s="3"/>
      <c r="F7681" s="3"/>
    </row>
    <row r="7682" spans="3:6" x14ac:dyDescent="0.3">
      <c r="C7682" s="3"/>
      <c r="D7682" s="3"/>
      <c r="E7682" s="3"/>
      <c r="F7682" s="3"/>
    </row>
    <row r="7683" spans="3:6" x14ac:dyDescent="0.3">
      <c r="C7683" s="3"/>
      <c r="D7683" s="3"/>
      <c r="E7683" s="3"/>
      <c r="F7683" s="3"/>
    </row>
    <row r="7684" spans="3:6" x14ac:dyDescent="0.3">
      <c r="C7684" s="3"/>
      <c r="D7684" s="3"/>
      <c r="E7684" s="3"/>
      <c r="F7684" s="3"/>
    </row>
    <row r="7685" spans="3:6" x14ac:dyDescent="0.3">
      <c r="C7685" s="3"/>
      <c r="D7685" s="3"/>
      <c r="E7685" s="3"/>
      <c r="F7685" s="3"/>
    </row>
    <row r="7686" spans="3:6" x14ac:dyDescent="0.3">
      <c r="C7686" s="3"/>
      <c r="D7686" s="3"/>
      <c r="E7686" s="3"/>
      <c r="F7686" s="3"/>
    </row>
    <row r="7687" spans="3:6" x14ac:dyDescent="0.3">
      <c r="C7687" s="3"/>
      <c r="D7687" s="3"/>
      <c r="E7687" s="3"/>
      <c r="F7687" s="3"/>
    </row>
    <row r="7688" spans="3:6" x14ac:dyDescent="0.3">
      <c r="C7688" s="3"/>
      <c r="D7688" s="3"/>
      <c r="E7688" s="3"/>
      <c r="F7688" s="3"/>
    </row>
    <row r="7689" spans="3:6" x14ac:dyDescent="0.3">
      <c r="C7689" s="3"/>
      <c r="D7689" s="3"/>
      <c r="E7689" s="3"/>
      <c r="F7689" s="3"/>
    </row>
    <row r="7690" spans="3:6" x14ac:dyDescent="0.3">
      <c r="C7690" s="3"/>
      <c r="D7690" s="3"/>
      <c r="E7690" s="3"/>
      <c r="F7690" s="3"/>
    </row>
    <row r="7691" spans="3:6" x14ac:dyDescent="0.3">
      <c r="C7691" s="3"/>
      <c r="D7691" s="3"/>
      <c r="E7691" s="3"/>
      <c r="F7691" s="3"/>
    </row>
    <row r="7692" spans="3:6" x14ac:dyDescent="0.3">
      <c r="C7692" s="3"/>
      <c r="D7692" s="3"/>
      <c r="E7692" s="3"/>
      <c r="F7692" s="3"/>
    </row>
    <row r="7693" spans="3:6" x14ac:dyDescent="0.3">
      <c r="C7693" s="3"/>
      <c r="D7693" s="3"/>
      <c r="E7693" s="3"/>
      <c r="F7693" s="3"/>
    </row>
    <row r="7694" spans="3:6" x14ac:dyDescent="0.3">
      <c r="C7694" s="3"/>
      <c r="D7694" s="3"/>
      <c r="E7694" s="3"/>
      <c r="F7694" s="3"/>
    </row>
    <row r="7695" spans="3:6" x14ac:dyDescent="0.3">
      <c r="C7695" s="3"/>
      <c r="D7695" s="3"/>
      <c r="E7695" s="3"/>
      <c r="F7695" s="3"/>
    </row>
    <row r="7696" spans="3:6" x14ac:dyDescent="0.3">
      <c r="C7696" s="3"/>
      <c r="D7696" s="3"/>
      <c r="E7696" s="3"/>
      <c r="F7696" s="3"/>
    </row>
    <row r="7697" spans="3:6" x14ac:dyDescent="0.3">
      <c r="C7697" s="3"/>
      <c r="D7697" s="3"/>
      <c r="E7697" s="3"/>
      <c r="F7697" s="3"/>
    </row>
    <row r="7698" spans="3:6" x14ac:dyDescent="0.3">
      <c r="C7698" s="3"/>
      <c r="D7698" s="3"/>
      <c r="E7698" s="3"/>
      <c r="F7698" s="3"/>
    </row>
    <row r="7699" spans="3:6" x14ac:dyDescent="0.3">
      <c r="C7699" s="3"/>
      <c r="D7699" s="3"/>
      <c r="E7699" s="3"/>
      <c r="F7699" s="3"/>
    </row>
    <row r="7700" spans="3:6" x14ac:dyDescent="0.3">
      <c r="C7700" s="3"/>
      <c r="D7700" s="3"/>
      <c r="E7700" s="3"/>
      <c r="F7700" s="3"/>
    </row>
    <row r="7701" spans="3:6" x14ac:dyDescent="0.3">
      <c r="C7701" s="3"/>
      <c r="D7701" s="3"/>
      <c r="E7701" s="3"/>
      <c r="F7701" s="3"/>
    </row>
    <row r="7702" spans="3:6" x14ac:dyDescent="0.3">
      <c r="C7702" s="3"/>
      <c r="D7702" s="3"/>
      <c r="E7702" s="3"/>
      <c r="F7702" s="3"/>
    </row>
    <row r="7703" spans="3:6" x14ac:dyDescent="0.3">
      <c r="C7703" s="3"/>
      <c r="D7703" s="3"/>
      <c r="E7703" s="3"/>
      <c r="F7703" s="3"/>
    </row>
    <row r="7704" spans="3:6" x14ac:dyDescent="0.3">
      <c r="C7704" s="3"/>
      <c r="D7704" s="3"/>
      <c r="E7704" s="3"/>
      <c r="F7704" s="3"/>
    </row>
    <row r="7705" spans="3:6" x14ac:dyDescent="0.3">
      <c r="C7705" s="3"/>
      <c r="D7705" s="3"/>
      <c r="E7705" s="3"/>
      <c r="F7705" s="3"/>
    </row>
    <row r="7706" spans="3:6" x14ac:dyDescent="0.3">
      <c r="C7706" s="3"/>
      <c r="D7706" s="3"/>
      <c r="E7706" s="3"/>
      <c r="F7706" s="3"/>
    </row>
    <row r="7707" spans="3:6" x14ac:dyDescent="0.3">
      <c r="C7707" s="3"/>
      <c r="D7707" s="3"/>
      <c r="E7707" s="3"/>
      <c r="F7707" s="3"/>
    </row>
    <row r="7708" spans="3:6" x14ac:dyDescent="0.3">
      <c r="C7708" s="3"/>
      <c r="D7708" s="3"/>
      <c r="E7708" s="3"/>
      <c r="F7708" s="3"/>
    </row>
    <row r="7709" spans="3:6" x14ac:dyDescent="0.3">
      <c r="C7709" s="3"/>
      <c r="D7709" s="3"/>
      <c r="E7709" s="3"/>
      <c r="F7709" s="3"/>
    </row>
    <row r="7710" spans="3:6" x14ac:dyDescent="0.3">
      <c r="C7710" s="3"/>
      <c r="D7710" s="3"/>
      <c r="E7710" s="3"/>
      <c r="F7710" s="3"/>
    </row>
    <row r="7711" spans="3:6" x14ac:dyDescent="0.3">
      <c r="C7711" s="3"/>
      <c r="D7711" s="3"/>
      <c r="E7711" s="3"/>
      <c r="F7711" s="3"/>
    </row>
    <row r="7712" spans="3:6" x14ac:dyDescent="0.3">
      <c r="C7712" s="3"/>
      <c r="D7712" s="3"/>
      <c r="E7712" s="3"/>
      <c r="F7712" s="3"/>
    </row>
    <row r="7713" spans="3:6" x14ac:dyDescent="0.3">
      <c r="C7713" s="3"/>
      <c r="D7713" s="3"/>
      <c r="E7713" s="3"/>
      <c r="F7713" s="3"/>
    </row>
    <row r="7714" spans="3:6" x14ac:dyDescent="0.3">
      <c r="C7714" s="3"/>
      <c r="D7714" s="3"/>
      <c r="E7714" s="3"/>
      <c r="F7714" s="3"/>
    </row>
    <row r="7715" spans="3:6" x14ac:dyDescent="0.3">
      <c r="C7715" s="3"/>
      <c r="D7715" s="3"/>
      <c r="E7715" s="3"/>
      <c r="F7715" s="3"/>
    </row>
    <row r="7716" spans="3:6" x14ac:dyDescent="0.3">
      <c r="C7716" s="3"/>
      <c r="D7716" s="3"/>
      <c r="E7716" s="3"/>
      <c r="F7716" s="3"/>
    </row>
    <row r="7717" spans="3:6" x14ac:dyDescent="0.3">
      <c r="C7717" s="3"/>
      <c r="D7717" s="3"/>
      <c r="E7717" s="3"/>
      <c r="F7717" s="3"/>
    </row>
    <row r="7718" spans="3:6" x14ac:dyDescent="0.3">
      <c r="C7718" s="3"/>
      <c r="D7718" s="3"/>
      <c r="E7718" s="3"/>
      <c r="F7718" s="3"/>
    </row>
    <row r="7719" spans="3:6" x14ac:dyDescent="0.3">
      <c r="C7719" s="3"/>
      <c r="D7719" s="3"/>
      <c r="E7719" s="3"/>
      <c r="F7719" s="3"/>
    </row>
    <row r="7720" spans="3:6" x14ac:dyDescent="0.3">
      <c r="C7720" s="3"/>
      <c r="D7720" s="3"/>
      <c r="E7720" s="3"/>
      <c r="F7720" s="3"/>
    </row>
    <row r="7721" spans="3:6" x14ac:dyDescent="0.3">
      <c r="C7721" s="3"/>
      <c r="D7721" s="3"/>
      <c r="E7721" s="3"/>
      <c r="F7721" s="3"/>
    </row>
    <row r="7722" spans="3:6" x14ac:dyDescent="0.3">
      <c r="C7722" s="3"/>
      <c r="D7722" s="3"/>
      <c r="E7722" s="3"/>
      <c r="F7722" s="3"/>
    </row>
    <row r="7723" spans="3:6" x14ac:dyDescent="0.3">
      <c r="C7723" s="3"/>
      <c r="D7723" s="3"/>
      <c r="E7723" s="3"/>
      <c r="F7723" s="3"/>
    </row>
    <row r="7724" spans="3:6" x14ac:dyDescent="0.3">
      <c r="C7724" s="3"/>
      <c r="D7724" s="3"/>
      <c r="E7724" s="3"/>
      <c r="F7724" s="3"/>
    </row>
    <row r="7725" spans="3:6" x14ac:dyDescent="0.3">
      <c r="C7725" s="3"/>
      <c r="D7725" s="3"/>
      <c r="E7725" s="3"/>
      <c r="F7725" s="3"/>
    </row>
    <row r="7726" spans="3:6" x14ac:dyDescent="0.3">
      <c r="C7726" s="3"/>
      <c r="D7726" s="3"/>
      <c r="E7726" s="3"/>
      <c r="F7726" s="3"/>
    </row>
    <row r="7727" spans="3:6" x14ac:dyDescent="0.3">
      <c r="C7727" s="3"/>
      <c r="D7727" s="3"/>
      <c r="E7727" s="3"/>
      <c r="F7727" s="3"/>
    </row>
    <row r="7728" spans="3:6" x14ac:dyDescent="0.3">
      <c r="C7728" s="3"/>
      <c r="D7728" s="3"/>
      <c r="E7728" s="3"/>
      <c r="F7728" s="3"/>
    </row>
    <row r="7729" spans="3:6" x14ac:dyDescent="0.3">
      <c r="C7729" s="3"/>
      <c r="D7729" s="3"/>
      <c r="E7729" s="3"/>
      <c r="F7729" s="3"/>
    </row>
    <row r="7730" spans="3:6" x14ac:dyDescent="0.3">
      <c r="C7730" s="3"/>
      <c r="D7730" s="3"/>
      <c r="E7730" s="3"/>
      <c r="F7730" s="3"/>
    </row>
    <row r="7731" spans="3:6" x14ac:dyDescent="0.3">
      <c r="C7731" s="3"/>
      <c r="D7731" s="3"/>
      <c r="E7731" s="3"/>
      <c r="F7731" s="3"/>
    </row>
    <row r="7732" spans="3:6" x14ac:dyDescent="0.3">
      <c r="C7732" s="3"/>
      <c r="D7732" s="3"/>
      <c r="E7732" s="3"/>
      <c r="F7732" s="3"/>
    </row>
    <row r="7733" spans="3:6" x14ac:dyDescent="0.3">
      <c r="C7733" s="3"/>
      <c r="D7733" s="3"/>
      <c r="E7733" s="3"/>
      <c r="F7733" s="3"/>
    </row>
    <row r="7734" spans="3:6" x14ac:dyDescent="0.3">
      <c r="C7734" s="3"/>
      <c r="D7734" s="3"/>
      <c r="E7734" s="3"/>
      <c r="F7734" s="3"/>
    </row>
    <row r="7735" spans="3:6" x14ac:dyDescent="0.3">
      <c r="C7735" s="3"/>
      <c r="D7735" s="3"/>
      <c r="E7735" s="3"/>
      <c r="F7735" s="3"/>
    </row>
    <row r="7736" spans="3:6" x14ac:dyDescent="0.3">
      <c r="C7736" s="3"/>
      <c r="D7736" s="3"/>
      <c r="E7736" s="3"/>
      <c r="F7736" s="3"/>
    </row>
    <row r="7737" spans="3:6" x14ac:dyDescent="0.3">
      <c r="C7737" s="3"/>
      <c r="D7737" s="3"/>
      <c r="E7737" s="3"/>
      <c r="F7737" s="3"/>
    </row>
    <row r="7738" spans="3:6" x14ac:dyDescent="0.3">
      <c r="C7738" s="3"/>
      <c r="D7738" s="3"/>
      <c r="E7738" s="3"/>
      <c r="F7738" s="3"/>
    </row>
    <row r="7739" spans="3:6" x14ac:dyDescent="0.3">
      <c r="C7739" s="3"/>
      <c r="D7739" s="3"/>
      <c r="E7739" s="3"/>
      <c r="F7739" s="3"/>
    </row>
    <row r="7740" spans="3:6" x14ac:dyDescent="0.3">
      <c r="C7740" s="3"/>
      <c r="D7740" s="3"/>
      <c r="E7740" s="3"/>
      <c r="F7740" s="3"/>
    </row>
    <row r="7741" spans="3:6" x14ac:dyDescent="0.3">
      <c r="C7741" s="3"/>
      <c r="D7741" s="3"/>
      <c r="E7741" s="3"/>
      <c r="F7741" s="3"/>
    </row>
    <row r="7742" spans="3:6" x14ac:dyDescent="0.3">
      <c r="C7742" s="3"/>
      <c r="D7742" s="3"/>
      <c r="E7742" s="3"/>
      <c r="F7742" s="3"/>
    </row>
    <row r="7743" spans="3:6" x14ac:dyDescent="0.3">
      <c r="C7743" s="3"/>
      <c r="D7743" s="3"/>
      <c r="E7743" s="3"/>
      <c r="F7743" s="3"/>
    </row>
    <row r="7744" spans="3:6" x14ac:dyDescent="0.3">
      <c r="C7744" s="3"/>
      <c r="D7744" s="3"/>
      <c r="E7744" s="3"/>
      <c r="F7744" s="3"/>
    </row>
    <row r="7745" spans="3:6" x14ac:dyDescent="0.3">
      <c r="C7745" s="3"/>
      <c r="D7745" s="3"/>
      <c r="E7745" s="3"/>
      <c r="F7745" s="3"/>
    </row>
    <row r="7746" spans="3:6" x14ac:dyDescent="0.3">
      <c r="C7746" s="3"/>
      <c r="D7746" s="3"/>
      <c r="E7746" s="3"/>
      <c r="F7746" s="3"/>
    </row>
    <row r="7747" spans="3:6" x14ac:dyDescent="0.3">
      <c r="C7747" s="3"/>
      <c r="D7747" s="3"/>
      <c r="E7747" s="3"/>
      <c r="F7747" s="3"/>
    </row>
    <row r="7748" spans="3:6" x14ac:dyDescent="0.3">
      <c r="C7748" s="3"/>
      <c r="D7748" s="3"/>
      <c r="E7748" s="3"/>
      <c r="F7748" s="3"/>
    </row>
    <row r="7749" spans="3:6" x14ac:dyDescent="0.3">
      <c r="C7749" s="3"/>
      <c r="D7749" s="3"/>
      <c r="E7749" s="3"/>
      <c r="F7749" s="3"/>
    </row>
    <row r="7750" spans="3:6" x14ac:dyDescent="0.3">
      <c r="C7750" s="3"/>
      <c r="D7750" s="3"/>
      <c r="E7750" s="3"/>
      <c r="F7750" s="3"/>
    </row>
    <row r="7751" spans="3:6" x14ac:dyDescent="0.3">
      <c r="C7751" s="3"/>
      <c r="D7751" s="3"/>
      <c r="E7751" s="3"/>
      <c r="F7751" s="3"/>
    </row>
    <row r="7752" spans="3:6" x14ac:dyDescent="0.3">
      <c r="C7752" s="3"/>
      <c r="D7752" s="3"/>
      <c r="E7752" s="3"/>
      <c r="F7752" s="3"/>
    </row>
    <row r="7753" spans="3:6" x14ac:dyDescent="0.3">
      <c r="C7753" s="3"/>
      <c r="D7753" s="3"/>
      <c r="E7753" s="3"/>
      <c r="F7753" s="3"/>
    </row>
    <row r="7754" spans="3:6" x14ac:dyDescent="0.3">
      <c r="C7754" s="3"/>
      <c r="D7754" s="3"/>
      <c r="E7754" s="3"/>
      <c r="F7754" s="3"/>
    </row>
    <row r="7755" spans="3:6" x14ac:dyDescent="0.3">
      <c r="C7755" s="3"/>
      <c r="D7755" s="3"/>
      <c r="E7755" s="3"/>
      <c r="F7755" s="3"/>
    </row>
    <row r="7756" spans="3:6" x14ac:dyDescent="0.3">
      <c r="C7756" s="3"/>
      <c r="D7756" s="3"/>
      <c r="E7756" s="3"/>
      <c r="F7756" s="3"/>
    </row>
    <row r="7757" spans="3:6" x14ac:dyDescent="0.3">
      <c r="C7757" s="3"/>
      <c r="D7757" s="3"/>
      <c r="E7757" s="3"/>
      <c r="F7757" s="3"/>
    </row>
    <row r="7758" spans="3:6" x14ac:dyDescent="0.3">
      <c r="C7758" s="3"/>
      <c r="D7758" s="3"/>
      <c r="E7758" s="3"/>
      <c r="F7758" s="3"/>
    </row>
    <row r="7759" spans="3:6" x14ac:dyDescent="0.3">
      <c r="C7759" s="3"/>
      <c r="D7759" s="3"/>
      <c r="E7759" s="3"/>
      <c r="F7759" s="3"/>
    </row>
    <row r="7760" spans="3:6" x14ac:dyDescent="0.3">
      <c r="C7760" s="3"/>
      <c r="D7760" s="3"/>
      <c r="E7760" s="3"/>
      <c r="F7760" s="3"/>
    </row>
    <row r="7761" spans="3:6" x14ac:dyDescent="0.3">
      <c r="C7761" s="3"/>
      <c r="D7761" s="3"/>
      <c r="E7761" s="3"/>
      <c r="F7761" s="3"/>
    </row>
    <row r="7762" spans="3:6" x14ac:dyDescent="0.3">
      <c r="C7762" s="3"/>
      <c r="D7762" s="3"/>
      <c r="E7762" s="3"/>
      <c r="F7762" s="3"/>
    </row>
    <row r="7763" spans="3:6" x14ac:dyDescent="0.3">
      <c r="C7763" s="3"/>
      <c r="D7763" s="3"/>
      <c r="E7763" s="3"/>
      <c r="F7763" s="3"/>
    </row>
    <row r="7764" spans="3:6" x14ac:dyDescent="0.3">
      <c r="C7764" s="3"/>
      <c r="D7764" s="3"/>
      <c r="E7764" s="3"/>
      <c r="F7764" s="3"/>
    </row>
    <row r="7765" spans="3:6" x14ac:dyDescent="0.3">
      <c r="C7765" s="3"/>
      <c r="D7765" s="3"/>
      <c r="E7765" s="3"/>
      <c r="F7765" s="3"/>
    </row>
    <row r="7766" spans="3:6" x14ac:dyDescent="0.3">
      <c r="C7766" s="3"/>
      <c r="D7766" s="3"/>
      <c r="E7766" s="3"/>
      <c r="F7766" s="3"/>
    </row>
    <row r="7767" spans="3:6" x14ac:dyDescent="0.3">
      <c r="C7767" s="3"/>
      <c r="D7767" s="3"/>
      <c r="E7767" s="3"/>
      <c r="F7767" s="3"/>
    </row>
    <row r="7768" spans="3:6" x14ac:dyDescent="0.3">
      <c r="C7768" s="3"/>
      <c r="D7768" s="3"/>
      <c r="E7768" s="3"/>
      <c r="F7768" s="3"/>
    </row>
    <row r="7769" spans="3:6" x14ac:dyDescent="0.3">
      <c r="C7769" s="3"/>
      <c r="D7769" s="3"/>
      <c r="E7769" s="3"/>
      <c r="F7769" s="3"/>
    </row>
    <row r="7770" spans="3:6" x14ac:dyDescent="0.3">
      <c r="C7770" s="3"/>
      <c r="D7770" s="3"/>
      <c r="E7770" s="3"/>
      <c r="F7770" s="3"/>
    </row>
    <row r="7771" spans="3:6" x14ac:dyDescent="0.3">
      <c r="C7771" s="3"/>
      <c r="D7771" s="3"/>
      <c r="E7771" s="3"/>
      <c r="F7771" s="3"/>
    </row>
    <row r="7772" spans="3:6" x14ac:dyDescent="0.3">
      <c r="C7772" s="3"/>
      <c r="D7772" s="3"/>
      <c r="E7772" s="3"/>
      <c r="F7772" s="3"/>
    </row>
    <row r="7773" spans="3:6" x14ac:dyDescent="0.3">
      <c r="C7773" s="3"/>
      <c r="D7773" s="3"/>
      <c r="E7773" s="3"/>
      <c r="F7773" s="3"/>
    </row>
    <row r="7774" spans="3:6" x14ac:dyDescent="0.3">
      <c r="C7774" s="3"/>
      <c r="D7774" s="3"/>
      <c r="E7774" s="3"/>
      <c r="F7774" s="3"/>
    </row>
    <row r="7775" spans="3:6" x14ac:dyDescent="0.3">
      <c r="C7775" s="3"/>
      <c r="D7775" s="3"/>
      <c r="E7775" s="3"/>
      <c r="F7775" s="3"/>
    </row>
    <row r="7776" spans="3:6" x14ac:dyDescent="0.3">
      <c r="C7776" s="3"/>
      <c r="D7776" s="3"/>
      <c r="E7776" s="3"/>
      <c r="F7776" s="3"/>
    </row>
    <row r="7777" spans="3:6" x14ac:dyDescent="0.3">
      <c r="C7777" s="3"/>
      <c r="D7777" s="3"/>
      <c r="E7777" s="3"/>
      <c r="F7777" s="3"/>
    </row>
    <row r="7778" spans="3:6" x14ac:dyDescent="0.3">
      <c r="C7778" s="3"/>
      <c r="D7778" s="3"/>
      <c r="E7778" s="3"/>
      <c r="F7778" s="3"/>
    </row>
    <row r="7779" spans="3:6" x14ac:dyDescent="0.3">
      <c r="C7779" s="3"/>
      <c r="D7779" s="3"/>
      <c r="E7779" s="3"/>
      <c r="F7779" s="3"/>
    </row>
    <row r="7780" spans="3:6" x14ac:dyDescent="0.3">
      <c r="C7780" s="3"/>
      <c r="D7780" s="3"/>
      <c r="E7780" s="3"/>
      <c r="F7780" s="3"/>
    </row>
    <row r="7781" spans="3:6" x14ac:dyDescent="0.3">
      <c r="C7781" s="3"/>
      <c r="D7781" s="3"/>
      <c r="E7781" s="3"/>
      <c r="F7781" s="3"/>
    </row>
    <row r="7782" spans="3:6" x14ac:dyDescent="0.3">
      <c r="C7782" s="3"/>
      <c r="D7782" s="3"/>
      <c r="E7782" s="3"/>
      <c r="F7782" s="3"/>
    </row>
    <row r="7783" spans="3:6" x14ac:dyDescent="0.3">
      <c r="C7783" s="3"/>
      <c r="D7783" s="3"/>
      <c r="E7783" s="3"/>
      <c r="F7783" s="3"/>
    </row>
    <row r="7784" spans="3:6" x14ac:dyDescent="0.3">
      <c r="C7784" s="3"/>
      <c r="D7784" s="3"/>
      <c r="E7784" s="3"/>
      <c r="F7784" s="3"/>
    </row>
    <row r="7785" spans="3:6" x14ac:dyDescent="0.3">
      <c r="C7785" s="3"/>
      <c r="D7785" s="3"/>
      <c r="E7785" s="3"/>
      <c r="F7785" s="3"/>
    </row>
    <row r="7786" spans="3:6" x14ac:dyDescent="0.3">
      <c r="C7786" s="3"/>
      <c r="D7786" s="3"/>
      <c r="E7786" s="3"/>
      <c r="F7786" s="3"/>
    </row>
    <row r="7787" spans="3:6" x14ac:dyDescent="0.3">
      <c r="C7787" s="3"/>
      <c r="D7787" s="3"/>
      <c r="E7787" s="3"/>
      <c r="F7787" s="3"/>
    </row>
    <row r="7788" spans="3:6" x14ac:dyDescent="0.3">
      <c r="C7788" s="3"/>
      <c r="D7788" s="3"/>
      <c r="E7788" s="3"/>
      <c r="F7788" s="3"/>
    </row>
    <row r="7789" spans="3:6" x14ac:dyDescent="0.3">
      <c r="C7789" s="3"/>
      <c r="D7789" s="3"/>
      <c r="E7789" s="3"/>
      <c r="F7789" s="3"/>
    </row>
    <row r="7790" spans="3:6" x14ac:dyDescent="0.3">
      <c r="C7790" s="3"/>
      <c r="D7790" s="3"/>
      <c r="E7790" s="3"/>
      <c r="F7790" s="3"/>
    </row>
    <row r="7791" spans="3:6" x14ac:dyDescent="0.3">
      <c r="C7791" s="3"/>
      <c r="D7791" s="3"/>
      <c r="E7791" s="3"/>
      <c r="F7791" s="3"/>
    </row>
    <row r="7792" spans="3:6" x14ac:dyDescent="0.3">
      <c r="C7792" s="3"/>
      <c r="D7792" s="3"/>
      <c r="E7792" s="3"/>
      <c r="F7792" s="3"/>
    </row>
    <row r="7793" spans="3:6" x14ac:dyDescent="0.3">
      <c r="C7793" s="3"/>
      <c r="D7793" s="3"/>
      <c r="E7793" s="3"/>
      <c r="F7793" s="3"/>
    </row>
    <row r="7794" spans="3:6" x14ac:dyDescent="0.3">
      <c r="C7794" s="3"/>
      <c r="D7794" s="3"/>
      <c r="E7794" s="3"/>
      <c r="F7794" s="3"/>
    </row>
    <row r="7795" spans="3:6" x14ac:dyDescent="0.3">
      <c r="C7795" s="3"/>
      <c r="D7795" s="3"/>
      <c r="E7795" s="3"/>
      <c r="F7795" s="3"/>
    </row>
    <row r="7796" spans="3:6" x14ac:dyDescent="0.3">
      <c r="C7796" s="3"/>
      <c r="D7796" s="3"/>
      <c r="E7796" s="3"/>
      <c r="F7796" s="3"/>
    </row>
    <row r="7797" spans="3:6" x14ac:dyDescent="0.3">
      <c r="C7797" s="3"/>
      <c r="D7797" s="3"/>
      <c r="E7797" s="3"/>
      <c r="F7797" s="3"/>
    </row>
    <row r="7798" spans="3:6" x14ac:dyDescent="0.3">
      <c r="C7798" s="3"/>
      <c r="D7798" s="3"/>
      <c r="E7798" s="3"/>
      <c r="F7798" s="3"/>
    </row>
    <row r="7799" spans="3:6" x14ac:dyDescent="0.3">
      <c r="C7799" s="3"/>
      <c r="D7799" s="3"/>
      <c r="E7799" s="3"/>
      <c r="F7799" s="3"/>
    </row>
    <row r="7800" spans="3:6" x14ac:dyDescent="0.3">
      <c r="C7800" s="3"/>
      <c r="D7800" s="3"/>
      <c r="E7800" s="3"/>
      <c r="F7800" s="3"/>
    </row>
    <row r="7801" spans="3:6" x14ac:dyDescent="0.3">
      <c r="C7801" s="3"/>
      <c r="D7801" s="3"/>
      <c r="E7801" s="3"/>
      <c r="F7801" s="3"/>
    </row>
    <row r="7802" spans="3:6" x14ac:dyDescent="0.3">
      <c r="C7802" s="3"/>
      <c r="D7802" s="3"/>
      <c r="E7802" s="3"/>
      <c r="F7802" s="3"/>
    </row>
    <row r="7803" spans="3:6" x14ac:dyDescent="0.3">
      <c r="C7803" s="3"/>
      <c r="D7803" s="3"/>
      <c r="E7803" s="3"/>
      <c r="F7803" s="3"/>
    </row>
    <row r="7804" spans="3:6" x14ac:dyDescent="0.3">
      <c r="C7804" s="3"/>
      <c r="D7804" s="3"/>
      <c r="E7804" s="3"/>
      <c r="F7804" s="3"/>
    </row>
    <row r="7805" spans="3:6" x14ac:dyDescent="0.3">
      <c r="C7805" s="3"/>
      <c r="D7805" s="3"/>
      <c r="E7805" s="3"/>
      <c r="F7805" s="3"/>
    </row>
    <row r="7806" spans="3:6" x14ac:dyDescent="0.3">
      <c r="C7806" s="3"/>
      <c r="D7806" s="3"/>
      <c r="E7806" s="3"/>
      <c r="F7806" s="3"/>
    </row>
    <row r="7807" spans="3:6" x14ac:dyDescent="0.3">
      <c r="C7807" s="3"/>
      <c r="D7807" s="3"/>
      <c r="E7807" s="3"/>
      <c r="F7807" s="3"/>
    </row>
    <row r="7808" spans="3:6" x14ac:dyDescent="0.3">
      <c r="C7808" s="3"/>
      <c r="D7808" s="3"/>
      <c r="E7808" s="3"/>
      <c r="F7808" s="3"/>
    </row>
    <row r="7809" spans="3:6" x14ac:dyDescent="0.3">
      <c r="C7809" s="3"/>
      <c r="D7809" s="3"/>
      <c r="E7809" s="3"/>
      <c r="F7809" s="3"/>
    </row>
    <row r="7810" spans="3:6" x14ac:dyDescent="0.3">
      <c r="C7810" s="3"/>
      <c r="D7810" s="3"/>
      <c r="E7810" s="3"/>
      <c r="F7810" s="3"/>
    </row>
    <row r="7811" spans="3:6" x14ac:dyDescent="0.3">
      <c r="C7811" s="3"/>
      <c r="D7811" s="3"/>
      <c r="E7811" s="3"/>
      <c r="F7811" s="3"/>
    </row>
    <row r="7812" spans="3:6" x14ac:dyDescent="0.3">
      <c r="C7812" s="3"/>
      <c r="D7812" s="3"/>
      <c r="E7812" s="3"/>
      <c r="F7812" s="3"/>
    </row>
    <row r="7813" spans="3:6" x14ac:dyDescent="0.3">
      <c r="C7813" s="3"/>
      <c r="D7813" s="3"/>
      <c r="E7813" s="3"/>
      <c r="F7813" s="3"/>
    </row>
    <row r="7814" spans="3:6" x14ac:dyDescent="0.3">
      <c r="C7814" s="3"/>
      <c r="D7814" s="3"/>
      <c r="E7814" s="3"/>
      <c r="F7814" s="3"/>
    </row>
    <row r="7815" spans="3:6" x14ac:dyDescent="0.3">
      <c r="C7815" s="3"/>
      <c r="D7815" s="3"/>
      <c r="E7815" s="3"/>
      <c r="F7815" s="3"/>
    </row>
    <row r="7816" spans="3:6" x14ac:dyDescent="0.3">
      <c r="C7816" s="3"/>
      <c r="D7816" s="3"/>
      <c r="E7816" s="3"/>
      <c r="F7816" s="3"/>
    </row>
    <row r="7817" spans="3:6" x14ac:dyDescent="0.3">
      <c r="C7817" s="3"/>
      <c r="D7817" s="3"/>
      <c r="E7817" s="3"/>
      <c r="F7817" s="3"/>
    </row>
    <row r="7818" spans="3:6" x14ac:dyDescent="0.3">
      <c r="C7818" s="3"/>
      <c r="D7818" s="3"/>
      <c r="E7818" s="3"/>
      <c r="F7818" s="3"/>
    </row>
    <row r="7819" spans="3:6" x14ac:dyDescent="0.3">
      <c r="C7819" s="3"/>
      <c r="D7819" s="3"/>
      <c r="E7819" s="3"/>
      <c r="F7819" s="3"/>
    </row>
    <row r="7820" spans="3:6" x14ac:dyDescent="0.3">
      <c r="C7820" s="3"/>
      <c r="D7820" s="3"/>
      <c r="E7820" s="3"/>
      <c r="F7820" s="3"/>
    </row>
    <row r="7821" spans="3:6" x14ac:dyDescent="0.3">
      <c r="C7821" s="3"/>
      <c r="D7821" s="3"/>
      <c r="E7821" s="3"/>
      <c r="F7821" s="3"/>
    </row>
    <row r="7822" spans="3:6" x14ac:dyDescent="0.3">
      <c r="C7822" s="3"/>
      <c r="D7822" s="3"/>
      <c r="E7822" s="3"/>
      <c r="F7822" s="3"/>
    </row>
    <row r="7823" spans="3:6" x14ac:dyDescent="0.3">
      <c r="C7823" s="3"/>
      <c r="D7823" s="3"/>
      <c r="E7823" s="3"/>
      <c r="F7823" s="3"/>
    </row>
    <row r="7824" spans="3:6" x14ac:dyDescent="0.3">
      <c r="C7824" s="3"/>
      <c r="D7824" s="3"/>
      <c r="E7824" s="3"/>
      <c r="F7824" s="3"/>
    </row>
    <row r="7825" spans="3:6" x14ac:dyDescent="0.3">
      <c r="C7825" s="3"/>
      <c r="D7825" s="3"/>
      <c r="E7825" s="3"/>
      <c r="F7825" s="3"/>
    </row>
    <row r="7826" spans="3:6" x14ac:dyDescent="0.3">
      <c r="C7826" s="3"/>
      <c r="D7826" s="3"/>
      <c r="E7826" s="3"/>
      <c r="F7826" s="3"/>
    </row>
    <row r="7827" spans="3:6" x14ac:dyDescent="0.3">
      <c r="C7827" s="3"/>
      <c r="D7827" s="3"/>
      <c r="E7827" s="3"/>
      <c r="F7827" s="3"/>
    </row>
    <row r="7828" spans="3:6" x14ac:dyDescent="0.3">
      <c r="C7828" s="3"/>
      <c r="D7828" s="3"/>
      <c r="E7828" s="3"/>
      <c r="F7828" s="3"/>
    </row>
    <row r="7829" spans="3:6" x14ac:dyDescent="0.3">
      <c r="C7829" s="3"/>
      <c r="D7829" s="3"/>
      <c r="E7829" s="3"/>
      <c r="F7829" s="3"/>
    </row>
    <row r="7830" spans="3:6" x14ac:dyDescent="0.3">
      <c r="C7830" s="3"/>
      <c r="D7830" s="3"/>
      <c r="E7830" s="3"/>
      <c r="F7830" s="3"/>
    </row>
    <row r="7831" spans="3:6" x14ac:dyDescent="0.3">
      <c r="C7831" s="3"/>
      <c r="D7831" s="3"/>
      <c r="E7831" s="3"/>
      <c r="F7831" s="3"/>
    </row>
    <row r="7832" spans="3:6" x14ac:dyDescent="0.3">
      <c r="C7832" s="3"/>
      <c r="D7832" s="3"/>
      <c r="E7832" s="3"/>
      <c r="F7832" s="3"/>
    </row>
    <row r="7833" spans="3:6" x14ac:dyDescent="0.3">
      <c r="C7833" s="3"/>
      <c r="D7833" s="3"/>
      <c r="E7833" s="3"/>
      <c r="F7833" s="3"/>
    </row>
    <row r="7834" spans="3:6" x14ac:dyDescent="0.3">
      <c r="C7834" s="3"/>
      <c r="D7834" s="3"/>
      <c r="E7834" s="3"/>
      <c r="F7834" s="3"/>
    </row>
    <row r="7835" spans="3:6" x14ac:dyDescent="0.3">
      <c r="C7835" s="3"/>
      <c r="D7835" s="3"/>
      <c r="E7835" s="3"/>
      <c r="F7835" s="3"/>
    </row>
    <row r="7836" spans="3:6" x14ac:dyDescent="0.3">
      <c r="C7836" s="3"/>
      <c r="D7836" s="3"/>
      <c r="E7836" s="3"/>
      <c r="F7836" s="3"/>
    </row>
    <row r="7837" spans="3:6" x14ac:dyDescent="0.3">
      <c r="C7837" s="3"/>
      <c r="D7837" s="3"/>
      <c r="E7837" s="3"/>
      <c r="F7837" s="3"/>
    </row>
    <row r="7838" spans="3:6" x14ac:dyDescent="0.3">
      <c r="C7838" s="3"/>
      <c r="D7838" s="3"/>
      <c r="E7838" s="3"/>
      <c r="F7838" s="3"/>
    </row>
    <row r="7839" spans="3:6" x14ac:dyDescent="0.3">
      <c r="C7839" s="3"/>
      <c r="D7839" s="3"/>
      <c r="E7839" s="3"/>
      <c r="F7839" s="3"/>
    </row>
    <row r="7840" spans="3:6" x14ac:dyDescent="0.3">
      <c r="C7840" s="3"/>
      <c r="D7840" s="3"/>
      <c r="E7840" s="3"/>
      <c r="F7840" s="3"/>
    </row>
    <row r="7841" spans="3:6" x14ac:dyDescent="0.3">
      <c r="C7841" s="3"/>
      <c r="D7841" s="3"/>
      <c r="E7841" s="3"/>
      <c r="F7841" s="3"/>
    </row>
    <row r="7842" spans="3:6" x14ac:dyDescent="0.3">
      <c r="C7842" s="3"/>
      <c r="D7842" s="3"/>
      <c r="E7842" s="3"/>
      <c r="F7842" s="3"/>
    </row>
    <row r="7843" spans="3:6" x14ac:dyDescent="0.3">
      <c r="C7843" s="3"/>
      <c r="D7843" s="3"/>
      <c r="E7843" s="3"/>
      <c r="F7843" s="3"/>
    </row>
    <row r="7844" spans="3:6" x14ac:dyDescent="0.3">
      <c r="C7844" s="3"/>
      <c r="D7844" s="3"/>
      <c r="E7844" s="3"/>
      <c r="F7844" s="3"/>
    </row>
    <row r="7845" spans="3:6" x14ac:dyDescent="0.3">
      <c r="C7845" s="3"/>
      <c r="D7845" s="3"/>
      <c r="E7845" s="3"/>
      <c r="F7845" s="3"/>
    </row>
    <row r="7846" spans="3:6" x14ac:dyDescent="0.3">
      <c r="C7846" s="3"/>
      <c r="D7846" s="3"/>
      <c r="E7846" s="3"/>
      <c r="F7846" s="3"/>
    </row>
    <row r="7847" spans="3:6" x14ac:dyDescent="0.3">
      <c r="C7847" s="3"/>
      <c r="D7847" s="3"/>
      <c r="E7847" s="3"/>
      <c r="F7847" s="3"/>
    </row>
    <row r="7848" spans="3:6" x14ac:dyDescent="0.3">
      <c r="C7848" s="3"/>
      <c r="D7848" s="3"/>
      <c r="E7848" s="3"/>
      <c r="F7848" s="3"/>
    </row>
    <row r="7849" spans="3:6" x14ac:dyDescent="0.3">
      <c r="C7849" s="3"/>
      <c r="D7849" s="3"/>
      <c r="E7849" s="3"/>
      <c r="F7849" s="3"/>
    </row>
    <row r="7850" spans="3:6" x14ac:dyDescent="0.3">
      <c r="C7850" s="3"/>
      <c r="D7850" s="3"/>
      <c r="E7850" s="3"/>
      <c r="F7850" s="3"/>
    </row>
    <row r="7851" spans="3:6" x14ac:dyDescent="0.3">
      <c r="C7851" s="3"/>
      <c r="D7851" s="3"/>
      <c r="E7851" s="3"/>
      <c r="F7851" s="3"/>
    </row>
    <row r="7852" spans="3:6" x14ac:dyDescent="0.3">
      <c r="C7852" s="3"/>
      <c r="D7852" s="3"/>
      <c r="E7852" s="3"/>
      <c r="F7852" s="3"/>
    </row>
    <row r="7853" spans="3:6" x14ac:dyDescent="0.3">
      <c r="C7853" s="3"/>
      <c r="D7853" s="3"/>
      <c r="E7853" s="3"/>
      <c r="F7853" s="3"/>
    </row>
    <row r="7854" spans="3:6" x14ac:dyDescent="0.3">
      <c r="C7854" s="3"/>
      <c r="D7854" s="3"/>
      <c r="E7854" s="3"/>
      <c r="F7854" s="3"/>
    </row>
    <row r="7855" spans="3:6" x14ac:dyDescent="0.3">
      <c r="C7855" s="3"/>
      <c r="D7855" s="3"/>
      <c r="E7855" s="3"/>
      <c r="F7855" s="3"/>
    </row>
    <row r="7856" spans="3:6" x14ac:dyDescent="0.3">
      <c r="C7856" s="3"/>
      <c r="D7856" s="3"/>
      <c r="E7856" s="3"/>
      <c r="F7856" s="3"/>
    </row>
    <row r="7857" spans="3:6" x14ac:dyDescent="0.3">
      <c r="C7857" s="3"/>
      <c r="D7857" s="3"/>
      <c r="E7857" s="3"/>
      <c r="F7857" s="3"/>
    </row>
    <row r="7858" spans="3:6" x14ac:dyDescent="0.3">
      <c r="C7858" s="3"/>
      <c r="D7858" s="3"/>
      <c r="E7858" s="3"/>
      <c r="F7858" s="3"/>
    </row>
    <row r="7859" spans="3:6" x14ac:dyDescent="0.3">
      <c r="C7859" s="3"/>
      <c r="D7859" s="3"/>
      <c r="E7859" s="3"/>
      <c r="F7859" s="3"/>
    </row>
    <row r="7860" spans="3:6" x14ac:dyDescent="0.3">
      <c r="C7860" s="3"/>
      <c r="D7860" s="3"/>
      <c r="E7860" s="3"/>
      <c r="F7860" s="3"/>
    </row>
    <row r="7861" spans="3:6" x14ac:dyDescent="0.3">
      <c r="C7861" s="3"/>
      <c r="D7861" s="3"/>
      <c r="E7861" s="3"/>
      <c r="F7861" s="3"/>
    </row>
    <row r="7862" spans="3:6" x14ac:dyDescent="0.3">
      <c r="C7862" s="3"/>
      <c r="D7862" s="3"/>
      <c r="E7862" s="3"/>
      <c r="F7862" s="3"/>
    </row>
    <row r="7863" spans="3:6" x14ac:dyDescent="0.3">
      <c r="C7863" s="3"/>
      <c r="D7863" s="3"/>
      <c r="E7863" s="3"/>
      <c r="F7863" s="3"/>
    </row>
    <row r="7864" spans="3:6" x14ac:dyDescent="0.3">
      <c r="C7864" s="3"/>
      <c r="D7864" s="3"/>
      <c r="E7864" s="3"/>
      <c r="F7864" s="3"/>
    </row>
    <row r="7865" spans="3:6" x14ac:dyDescent="0.3">
      <c r="C7865" s="3"/>
      <c r="D7865" s="3"/>
      <c r="E7865" s="3"/>
      <c r="F7865" s="3"/>
    </row>
    <row r="7866" spans="3:6" x14ac:dyDescent="0.3">
      <c r="C7866" s="3"/>
      <c r="D7866" s="3"/>
      <c r="E7866" s="3"/>
      <c r="F7866" s="3"/>
    </row>
    <row r="7867" spans="3:6" x14ac:dyDescent="0.3">
      <c r="C7867" s="3"/>
      <c r="D7867" s="3"/>
      <c r="E7867" s="3"/>
      <c r="F7867" s="3"/>
    </row>
    <row r="7868" spans="3:6" x14ac:dyDescent="0.3">
      <c r="C7868" s="3"/>
      <c r="D7868" s="3"/>
      <c r="E7868" s="3"/>
      <c r="F7868" s="3"/>
    </row>
    <row r="7869" spans="3:6" x14ac:dyDescent="0.3">
      <c r="C7869" s="3"/>
      <c r="D7869" s="3"/>
      <c r="E7869" s="3"/>
      <c r="F7869" s="3"/>
    </row>
    <row r="7870" spans="3:6" x14ac:dyDescent="0.3">
      <c r="C7870" s="3"/>
      <c r="D7870" s="3"/>
      <c r="E7870" s="3"/>
      <c r="F7870" s="3"/>
    </row>
    <row r="7871" spans="3:6" x14ac:dyDescent="0.3">
      <c r="C7871" s="3"/>
      <c r="D7871" s="3"/>
      <c r="E7871" s="3"/>
      <c r="F7871" s="3"/>
    </row>
    <row r="7872" spans="3:6" x14ac:dyDescent="0.3">
      <c r="C7872" s="3"/>
      <c r="D7872" s="3"/>
      <c r="E7872" s="3"/>
      <c r="F7872" s="3"/>
    </row>
    <row r="7873" spans="3:6" x14ac:dyDescent="0.3">
      <c r="C7873" s="3"/>
      <c r="D7873" s="3"/>
      <c r="E7873" s="3"/>
      <c r="F7873" s="3"/>
    </row>
    <row r="7874" spans="3:6" x14ac:dyDescent="0.3">
      <c r="C7874" s="3"/>
      <c r="D7874" s="3"/>
      <c r="E7874" s="3"/>
      <c r="F7874" s="3"/>
    </row>
    <row r="7875" spans="3:6" x14ac:dyDescent="0.3">
      <c r="C7875" s="3"/>
      <c r="D7875" s="3"/>
      <c r="E7875" s="3"/>
      <c r="F7875" s="3"/>
    </row>
    <row r="7876" spans="3:6" x14ac:dyDescent="0.3">
      <c r="C7876" s="3"/>
      <c r="D7876" s="3"/>
      <c r="E7876" s="3"/>
      <c r="F7876" s="3"/>
    </row>
    <row r="7877" spans="3:6" x14ac:dyDescent="0.3">
      <c r="C7877" s="3"/>
      <c r="D7877" s="3"/>
      <c r="E7877" s="3"/>
      <c r="F7877" s="3"/>
    </row>
    <row r="7878" spans="3:6" x14ac:dyDescent="0.3">
      <c r="C7878" s="3"/>
      <c r="D7878" s="3"/>
      <c r="E7878" s="3"/>
      <c r="F7878" s="3"/>
    </row>
    <row r="7879" spans="3:6" x14ac:dyDescent="0.3">
      <c r="C7879" s="3"/>
      <c r="D7879" s="3"/>
      <c r="E7879" s="3"/>
      <c r="F7879" s="3"/>
    </row>
    <row r="7880" spans="3:6" x14ac:dyDescent="0.3">
      <c r="C7880" s="3"/>
      <c r="D7880" s="3"/>
      <c r="E7880" s="3"/>
      <c r="F7880" s="3"/>
    </row>
    <row r="7881" spans="3:6" x14ac:dyDescent="0.3">
      <c r="C7881" s="3"/>
      <c r="D7881" s="3"/>
      <c r="E7881" s="3"/>
      <c r="F7881" s="3"/>
    </row>
    <row r="7882" spans="3:6" x14ac:dyDescent="0.3">
      <c r="C7882" s="3"/>
      <c r="D7882" s="3"/>
      <c r="E7882" s="3"/>
      <c r="F7882" s="3"/>
    </row>
    <row r="7883" spans="3:6" x14ac:dyDescent="0.3">
      <c r="C7883" s="3"/>
      <c r="D7883" s="3"/>
      <c r="E7883" s="3"/>
      <c r="F7883" s="3"/>
    </row>
    <row r="7884" spans="3:6" x14ac:dyDescent="0.3">
      <c r="C7884" s="3"/>
      <c r="D7884" s="3"/>
      <c r="E7884" s="3"/>
      <c r="F7884" s="3"/>
    </row>
    <row r="7885" spans="3:6" x14ac:dyDescent="0.3">
      <c r="C7885" s="3"/>
      <c r="D7885" s="3"/>
      <c r="E7885" s="3"/>
      <c r="F7885" s="3"/>
    </row>
    <row r="7886" spans="3:6" x14ac:dyDescent="0.3">
      <c r="C7886" s="3"/>
      <c r="D7886" s="3"/>
      <c r="E7886" s="3"/>
      <c r="F7886" s="3"/>
    </row>
    <row r="7887" spans="3:6" x14ac:dyDescent="0.3">
      <c r="C7887" s="3"/>
      <c r="D7887" s="3"/>
      <c r="E7887" s="3"/>
      <c r="F7887" s="3"/>
    </row>
    <row r="7888" spans="3:6" x14ac:dyDescent="0.3">
      <c r="C7888" s="3"/>
      <c r="D7888" s="3"/>
      <c r="E7888" s="3"/>
      <c r="F7888" s="3"/>
    </row>
    <row r="7889" spans="3:6" x14ac:dyDescent="0.3">
      <c r="C7889" s="3"/>
      <c r="D7889" s="3"/>
      <c r="E7889" s="3"/>
      <c r="F7889" s="3"/>
    </row>
    <row r="7890" spans="3:6" x14ac:dyDescent="0.3">
      <c r="C7890" s="3"/>
      <c r="D7890" s="3"/>
      <c r="E7890" s="3"/>
      <c r="F7890" s="3"/>
    </row>
    <row r="7891" spans="3:6" x14ac:dyDescent="0.3">
      <c r="C7891" s="3"/>
      <c r="D7891" s="3"/>
      <c r="E7891" s="3"/>
      <c r="F7891" s="3"/>
    </row>
    <row r="7892" spans="3:6" x14ac:dyDescent="0.3">
      <c r="C7892" s="3"/>
      <c r="D7892" s="3"/>
      <c r="E7892" s="3"/>
      <c r="F7892" s="3"/>
    </row>
    <row r="7893" spans="3:6" x14ac:dyDescent="0.3">
      <c r="C7893" s="3"/>
      <c r="D7893" s="3"/>
      <c r="E7893" s="3"/>
      <c r="F7893" s="3"/>
    </row>
    <row r="7894" spans="3:6" x14ac:dyDescent="0.3">
      <c r="C7894" s="3"/>
      <c r="D7894" s="3"/>
      <c r="E7894" s="3"/>
      <c r="F7894" s="3"/>
    </row>
    <row r="7895" spans="3:6" x14ac:dyDescent="0.3">
      <c r="C7895" s="3"/>
      <c r="D7895" s="3"/>
      <c r="E7895" s="3"/>
      <c r="F7895" s="3"/>
    </row>
    <row r="7896" spans="3:6" x14ac:dyDescent="0.3">
      <c r="C7896" s="3"/>
      <c r="D7896" s="3"/>
      <c r="E7896" s="3"/>
      <c r="F7896" s="3"/>
    </row>
    <row r="7897" spans="3:6" x14ac:dyDescent="0.3">
      <c r="C7897" s="3"/>
      <c r="D7897" s="3"/>
      <c r="E7897" s="3"/>
      <c r="F7897" s="3"/>
    </row>
    <row r="7898" spans="3:6" x14ac:dyDescent="0.3">
      <c r="C7898" s="3"/>
      <c r="D7898" s="3"/>
      <c r="E7898" s="3"/>
      <c r="F7898" s="3"/>
    </row>
    <row r="7899" spans="3:6" x14ac:dyDescent="0.3">
      <c r="C7899" s="3"/>
      <c r="D7899" s="3"/>
      <c r="E7899" s="3"/>
      <c r="F7899" s="3"/>
    </row>
    <row r="7900" spans="3:6" x14ac:dyDescent="0.3">
      <c r="C7900" s="3"/>
      <c r="D7900" s="3"/>
      <c r="E7900" s="3"/>
      <c r="F7900" s="3"/>
    </row>
    <row r="7901" spans="3:6" x14ac:dyDescent="0.3">
      <c r="C7901" s="3"/>
      <c r="D7901" s="3"/>
      <c r="E7901" s="3"/>
      <c r="F7901" s="3"/>
    </row>
    <row r="7902" spans="3:6" x14ac:dyDescent="0.3">
      <c r="C7902" s="3"/>
      <c r="D7902" s="3"/>
      <c r="E7902" s="3"/>
      <c r="F7902" s="3"/>
    </row>
    <row r="7903" spans="3:6" x14ac:dyDescent="0.3">
      <c r="C7903" s="3"/>
      <c r="D7903" s="3"/>
      <c r="E7903" s="3"/>
      <c r="F7903" s="3"/>
    </row>
    <row r="7904" spans="3:6" x14ac:dyDescent="0.3">
      <c r="C7904" s="3"/>
      <c r="D7904" s="3"/>
      <c r="E7904" s="3"/>
      <c r="F7904" s="3"/>
    </row>
    <row r="7905" spans="3:6" x14ac:dyDescent="0.3">
      <c r="C7905" s="3"/>
      <c r="D7905" s="3"/>
      <c r="E7905" s="3"/>
      <c r="F7905" s="3"/>
    </row>
    <row r="7906" spans="3:6" x14ac:dyDescent="0.3">
      <c r="C7906" s="3"/>
      <c r="D7906" s="3"/>
      <c r="E7906" s="3"/>
      <c r="F7906" s="3"/>
    </row>
    <row r="7907" spans="3:6" x14ac:dyDescent="0.3">
      <c r="C7907" s="3"/>
      <c r="D7907" s="3"/>
      <c r="E7907" s="3"/>
      <c r="F7907" s="3"/>
    </row>
    <row r="7908" spans="3:6" x14ac:dyDescent="0.3">
      <c r="C7908" s="3"/>
      <c r="D7908" s="3"/>
      <c r="E7908" s="3"/>
      <c r="F7908" s="3"/>
    </row>
    <row r="7909" spans="3:6" x14ac:dyDescent="0.3">
      <c r="C7909" s="3"/>
      <c r="D7909" s="3"/>
      <c r="E7909" s="3"/>
      <c r="F7909" s="3"/>
    </row>
    <row r="7910" spans="3:6" x14ac:dyDescent="0.3">
      <c r="C7910" s="3"/>
      <c r="D7910" s="3"/>
      <c r="E7910" s="3"/>
      <c r="F7910" s="3"/>
    </row>
    <row r="7911" spans="3:6" x14ac:dyDescent="0.3">
      <c r="C7911" s="3"/>
      <c r="D7911" s="3"/>
      <c r="E7911" s="3"/>
      <c r="F7911" s="3"/>
    </row>
    <row r="7912" spans="3:6" x14ac:dyDescent="0.3">
      <c r="C7912" s="3"/>
      <c r="D7912" s="3"/>
      <c r="E7912" s="3"/>
      <c r="F7912" s="3"/>
    </row>
    <row r="7913" spans="3:6" x14ac:dyDescent="0.3">
      <c r="C7913" s="3"/>
      <c r="D7913" s="3"/>
      <c r="E7913" s="3"/>
      <c r="F7913" s="3"/>
    </row>
    <row r="7914" spans="3:6" x14ac:dyDescent="0.3">
      <c r="C7914" s="3"/>
      <c r="D7914" s="3"/>
      <c r="E7914" s="3"/>
      <c r="F7914" s="3"/>
    </row>
    <row r="7915" spans="3:6" x14ac:dyDescent="0.3">
      <c r="C7915" s="3"/>
      <c r="D7915" s="3"/>
      <c r="E7915" s="3"/>
      <c r="F7915" s="3"/>
    </row>
    <row r="7916" spans="3:6" x14ac:dyDescent="0.3">
      <c r="C7916" s="3"/>
      <c r="D7916" s="3"/>
      <c r="E7916" s="3"/>
      <c r="F7916" s="3"/>
    </row>
    <row r="7917" spans="3:6" x14ac:dyDescent="0.3">
      <c r="C7917" s="3"/>
      <c r="D7917" s="3"/>
      <c r="E7917" s="3"/>
      <c r="F7917" s="3"/>
    </row>
    <row r="7918" spans="3:6" x14ac:dyDescent="0.3">
      <c r="C7918" s="3"/>
      <c r="D7918" s="3"/>
      <c r="E7918" s="3"/>
      <c r="F7918" s="3"/>
    </row>
    <row r="7919" spans="3:6" x14ac:dyDescent="0.3">
      <c r="C7919" s="3"/>
      <c r="D7919" s="3"/>
      <c r="E7919" s="3"/>
      <c r="F7919" s="3"/>
    </row>
    <row r="7920" spans="3:6" x14ac:dyDescent="0.3">
      <c r="C7920" s="3"/>
      <c r="D7920" s="3"/>
      <c r="E7920" s="3"/>
      <c r="F7920" s="3"/>
    </row>
    <row r="7921" spans="3:6" x14ac:dyDescent="0.3">
      <c r="C7921" s="3"/>
      <c r="D7921" s="3"/>
      <c r="E7921" s="3"/>
      <c r="F7921" s="3"/>
    </row>
    <row r="7922" spans="3:6" x14ac:dyDescent="0.3">
      <c r="C7922" s="3"/>
      <c r="D7922" s="3"/>
      <c r="E7922" s="3"/>
      <c r="F7922" s="3"/>
    </row>
    <row r="7923" spans="3:6" x14ac:dyDescent="0.3">
      <c r="C7923" s="3"/>
      <c r="D7923" s="3"/>
      <c r="E7923" s="3"/>
      <c r="F7923" s="3"/>
    </row>
    <row r="7924" spans="3:6" x14ac:dyDescent="0.3">
      <c r="C7924" s="3"/>
      <c r="D7924" s="3"/>
      <c r="E7924" s="3"/>
      <c r="F7924" s="3"/>
    </row>
    <row r="7925" spans="3:6" x14ac:dyDescent="0.3">
      <c r="C7925" s="3"/>
      <c r="D7925" s="3"/>
      <c r="E7925" s="3"/>
      <c r="F7925" s="3"/>
    </row>
    <row r="7926" spans="3:6" x14ac:dyDescent="0.3">
      <c r="C7926" s="3"/>
      <c r="D7926" s="3"/>
      <c r="E7926" s="3"/>
      <c r="F7926" s="3"/>
    </row>
    <row r="7927" spans="3:6" x14ac:dyDescent="0.3">
      <c r="C7927" s="3"/>
      <c r="D7927" s="3"/>
      <c r="E7927" s="3"/>
      <c r="F7927" s="3"/>
    </row>
    <row r="7928" spans="3:6" x14ac:dyDescent="0.3">
      <c r="C7928" s="3"/>
      <c r="D7928" s="3"/>
      <c r="E7928" s="3"/>
      <c r="F7928" s="3"/>
    </row>
    <row r="7929" spans="3:6" x14ac:dyDescent="0.3">
      <c r="C7929" s="3"/>
      <c r="D7929" s="3"/>
      <c r="E7929" s="3"/>
      <c r="F7929" s="3"/>
    </row>
    <row r="7930" spans="3:6" x14ac:dyDescent="0.3">
      <c r="C7930" s="3"/>
      <c r="D7930" s="3"/>
      <c r="E7930" s="3"/>
      <c r="F7930" s="3"/>
    </row>
    <row r="7931" spans="3:6" x14ac:dyDescent="0.3">
      <c r="C7931" s="3"/>
      <c r="D7931" s="3"/>
      <c r="E7931" s="3"/>
      <c r="F7931" s="3"/>
    </row>
    <row r="7932" spans="3:6" x14ac:dyDescent="0.3">
      <c r="C7932" s="3"/>
      <c r="D7932" s="3"/>
      <c r="E7932" s="3"/>
      <c r="F7932" s="3"/>
    </row>
    <row r="7933" spans="3:6" x14ac:dyDescent="0.3">
      <c r="C7933" s="3"/>
      <c r="D7933" s="3"/>
      <c r="E7933" s="3"/>
      <c r="F7933" s="3"/>
    </row>
    <row r="7934" spans="3:6" x14ac:dyDescent="0.3">
      <c r="C7934" s="3"/>
      <c r="D7934" s="3"/>
      <c r="E7934" s="3"/>
      <c r="F7934" s="3"/>
    </row>
    <row r="7935" spans="3:6" x14ac:dyDescent="0.3">
      <c r="C7935" s="3"/>
      <c r="D7935" s="3"/>
      <c r="E7935" s="3"/>
      <c r="F7935" s="3"/>
    </row>
    <row r="7936" spans="3:6" x14ac:dyDescent="0.3">
      <c r="C7936" s="3"/>
      <c r="D7936" s="3"/>
      <c r="E7936" s="3"/>
      <c r="F7936" s="3"/>
    </row>
    <row r="7937" spans="3:6" x14ac:dyDescent="0.3">
      <c r="C7937" s="3"/>
      <c r="D7937" s="3"/>
      <c r="E7937" s="3"/>
      <c r="F7937" s="3"/>
    </row>
    <row r="7938" spans="3:6" x14ac:dyDescent="0.3">
      <c r="C7938" s="3"/>
      <c r="D7938" s="3"/>
      <c r="E7938" s="3"/>
      <c r="F7938" s="3"/>
    </row>
    <row r="7939" spans="3:6" x14ac:dyDescent="0.3">
      <c r="C7939" s="3"/>
      <c r="D7939" s="3"/>
      <c r="E7939" s="3"/>
      <c r="F7939" s="3"/>
    </row>
    <row r="7940" spans="3:6" x14ac:dyDescent="0.3">
      <c r="C7940" s="3"/>
      <c r="D7940" s="3"/>
      <c r="E7940" s="3"/>
      <c r="F7940" s="3"/>
    </row>
    <row r="7941" spans="3:6" x14ac:dyDescent="0.3">
      <c r="C7941" s="3"/>
      <c r="D7941" s="3"/>
      <c r="E7941" s="3"/>
      <c r="F7941" s="3"/>
    </row>
    <row r="7942" spans="3:6" x14ac:dyDescent="0.3">
      <c r="C7942" s="3"/>
      <c r="D7942" s="3"/>
      <c r="E7942" s="3"/>
      <c r="F7942" s="3"/>
    </row>
    <row r="7943" spans="3:6" x14ac:dyDescent="0.3">
      <c r="C7943" s="3"/>
      <c r="D7943" s="3"/>
      <c r="E7943" s="3"/>
      <c r="F7943" s="3"/>
    </row>
    <row r="7944" spans="3:6" x14ac:dyDescent="0.3">
      <c r="C7944" s="3"/>
      <c r="D7944" s="3"/>
      <c r="E7944" s="3"/>
      <c r="F7944" s="3"/>
    </row>
    <row r="7945" spans="3:6" x14ac:dyDescent="0.3">
      <c r="C7945" s="3"/>
      <c r="D7945" s="3"/>
      <c r="E7945" s="3"/>
      <c r="F7945" s="3"/>
    </row>
    <row r="7946" spans="3:6" x14ac:dyDescent="0.3">
      <c r="C7946" s="3"/>
      <c r="D7946" s="3"/>
      <c r="E7946" s="3"/>
      <c r="F7946" s="3"/>
    </row>
    <row r="7947" spans="3:6" x14ac:dyDescent="0.3">
      <c r="C7947" s="3"/>
      <c r="D7947" s="3"/>
      <c r="E7947" s="3"/>
      <c r="F7947" s="3"/>
    </row>
    <row r="7948" spans="3:6" x14ac:dyDescent="0.3">
      <c r="C7948" s="3"/>
      <c r="D7948" s="3"/>
      <c r="E7948" s="3"/>
      <c r="F7948" s="3"/>
    </row>
    <row r="7949" spans="3:6" x14ac:dyDescent="0.3">
      <c r="C7949" s="3"/>
      <c r="D7949" s="3"/>
      <c r="E7949" s="3"/>
      <c r="F7949" s="3"/>
    </row>
    <row r="7950" spans="3:6" x14ac:dyDescent="0.3">
      <c r="C7950" s="3"/>
      <c r="D7950" s="3"/>
      <c r="E7950" s="3"/>
      <c r="F7950" s="3"/>
    </row>
    <row r="7951" spans="3:6" x14ac:dyDescent="0.3">
      <c r="C7951" s="3"/>
      <c r="D7951" s="3"/>
      <c r="E7951" s="3"/>
      <c r="F7951" s="3"/>
    </row>
    <row r="7952" spans="3:6" x14ac:dyDescent="0.3">
      <c r="C7952" s="3"/>
      <c r="D7952" s="3"/>
      <c r="E7952" s="3"/>
      <c r="F7952" s="3"/>
    </row>
    <row r="7953" spans="3:6" x14ac:dyDescent="0.3">
      <c r="C7953" s="3"/>
      <c r="D7953" s="3"/>
      <c r="E7953" s="3"/>
      <c r="F7953" s="3"/>
    </row>
    <row r="7954" spans="3:6" x14ac:dyDescent="0.3">
      <c r="C7954" s="3"/>
      <c r="D7954" s="3"/>
      <c r="E7954" s="3"/>
      <c r="F7954" s="3"/>
    </row>
    <row r="7955" spans="3:6" x14ac:dyDescent="0.3">
      <c r="C7955" s="3"/>
      <c r="D7955" s="3"/>
      <c r="E7955" s="3"/>
      <c r="F7955" s="3"/>
    </row>
    <row r="7956" spans="3:6" x14ac:dyDescent="0.3">
      <c r="C7956" s="3"/>
      <c r="D7956" s="3"/>
      <c r="E7956" s="3"/>
      <c r="F7956" s="3"/>
    </row>
    <row r="7957" spans="3:6" x14ac:dyDescent="0.3">
      <c r="C7957" s="3"/>
      <c r="D7957" s="3"/>
      <c r="E7957" s="3"/>
      <c r="F7957" s="3"/>
    </row>
    <row r="7958" spans="3:6" x14ac:dyDescent="0.3">
      <c r="C7958" s="3"/>
      <c r="D7958" s="3"/>
      <c r="E7958" s="3"/>
      <c r="F7958" s="3"/>
    </row>
    <row r="7959" spans="3:6" x14ac:dyDescent="0.3">
      <c r="C7959" s="3"/>
      <c r="D7959" s="3"/>
      <c r="E7959" s="3"/>
      <c r="F7959" s="3"/>
    </row>
    <row r="7960" spans="3:6" x14ac:dyDescent="0.3">
      <c r="C7960" s="3"/>
      <c r="D7960" s="3"/>
      <c r="E7960" s="3"/>
      <c r="F7960" s="3"/>
    </row>
    <row r="7961" spans="3:6" x14ac:dyDescent="0.3">
      <c r="C7961" s="3"/>
      <c r="D7961" s="3"/>
      <c r="E7961" s="3"/>
      <c r="F7961" s="3"/>
    </row>
    <row r="7962" spans="3:6" x14ac:dyDescent="0.3">
      <c r="C7962" s="3"/>
      <c r="D7962" s="3"/>
      <c r="E7962" s="3"/>
      <c r="F7962" s="3"/>
    </row>
    <row r="7963" spans="3:6" x14ac:dyDescent="0.3">
      <c r="C7963" s="3"/>
      <c r="D7963" s="3"/>
      <c r="E7963" s="3"/>
      <c r="F7963" s="3"/>
    </row>
    <row r="7964" spans="3:6" x14ac:dyDescent="0.3">
      <c r="C7964" s="3"/>
      <c r="D7964" s="3"/>
      <c r="E7964" s="3"/>
      <c r="F7964" s="3"/>
    </row>
    <row r="7965" spans="3:6" x14ac:dyDescent="0.3">
      <c r="C7965" s="3"/>
      <c r="D7965" s="3"/>
      <c r="E7965" s="3"/>
      <c r="F7965" s="3"/>
    </row>
    <row r="7966" spans="3:6" x14ac:dyDescent="0.3">
      <c r="C7966" s="3"/>
      <c r="D7966" s="3"/>
      <c r="E7966" s="3"/>
      <c r="F7966" s="3"/>
    </row>
    <row r="7967" spans="3:6" x14ac:dyDescent="0.3">
      <c r="C7967" s="3"/>
      <c r="D7967" s="3"/>
      <c r="E7967" s="3"/>
      <c r="F7967" s="3"/>
    </row>
    <row r="7968" spans="3:6" x14ac:dyDescent="0.3">
      <c r="C7968" s="3"/>
      <c r="D7968" s="3"/>
      <c r="E7968" s="3"/>
      <c r="F7968" s="3"/>
    </row>
    <row r="7969" spans="3:6" x14ac:dyDescent="0.3">
      <c r="C7969" s="3"/>
      <c r="D7969" s="3"/>
      <c r="E7969" s="3"/>
      <c r="F7969" s="3"/>
    </row>
    <row r="7970" spans="3:6" x14ac:dyDescent="0.3">
      <c r="C7970" s="3"/>
      <c r="D7970" s="3"/>
      <c r="E7970" s="3"/>
      <c r="F7970" s="3"/>
    </row>
    <row r="7971" spans="3:6" x14ac:dyDescent="0.3">
      <c r="C7971" s="3"/>
      <c r="D7971" s="3"/>
      <c r="E7971" s="3"/>
      <c r="F7971" s="3"/>
    </row>
    <row r="7972" spans="3:6" x14ac:dyDescent="0.3">
      <c r="C7972" s="3"/>
      <c r="D7972" s="3"/>
      <c r="E7972" s="3"/>
      <c r="F7972" s="3"/>
    </row>
    <row r="7973" spans="3:6" x14ac:dyDescent="0.3">
      <c r="C7973" s="3"/>
      <c r="D7973" s="3"/>
      <c r="E7973" s="3"/>
      <c r="F7973" s="3"/>
    </row>
    <row r="7974" spans="3:6" x14ac:dyDescent="0.3">
      <c r="C7974" s="3"/>
      <c r="D7974" s="3"/>
      <c r="E7974" s="3"/>
      <c r="F7974" s="3"/>
    </row>
    <row r="7975" spans="3:6" x14ac:dyDescent="0.3">
      <c r="C7975" s="3"/>
      <c r="D7975" s="3"/>
      <c r="E7975" s="3"/>
      <c r="F7975" s="3"/>
    </row>
    <row r="7976" spans="3:6" x14ac:dyDescent="0.3">
      <c r="C7976" s="3"/>
      <c r="D7976" s="3"/>
      <c r="E7976" s="3"/>
      <c r="F7976" s="3"/>
    </row>
    <row r="7977" spans="3:6" x14ac:dyDescent="0.3">
      <c r="C7977" s="3"/>
      <c r="D7977" s="3"/>
      <c r="E7977" s="3"/>
      <c r="F7977" s="3"/>
    </row>
    <row r="7978" spans="3:6" x14ac:dyDescent="0.3">
      <c r="C7978" s="3"/>
      <c r="D7978" s="3"/>
      <c r="E7978" s="3"/>
      <c r="F7978" s="3"/>
    </row>
    <row r="7979" spans="3:6" x14ac:dyDescent="0.3">
      <c r="C7979" s="3"/>
      <c r="D7979" s="3"/>
      <c r="E7979" s="3"/>
      <c r="F7979" s="3"/>
    </row>
    <row r="7980" spans="3:6" x14ac:dyDescent="0.3">
      <c r="C7980" s="3"/>
      <c r="D7980" s="3"/>
      <c r="E7980" s="3"/>
      <c r="F7980" s="3"/>
    </row>
    <row r="7981" spans="3:6" x14ac:dyDescent="0.3">
      <c r="C7981" s="3"/>
      <c r="D7981" s="3"/>
      <c r="E7981" s="3"/>
      <c r="F7981" s="3"/>
    </row>
    <row r="7982" spans="3:6" x14ac:dyDescent="0.3">
      <c r="C7982" s="3"/>
      <c r="D7982" s="3"/>
      <c r="E7982" s="3"/>
      <c r="F7982" s="3"/>
    </row>
    <row r="7983" spans="3:6" x14ac:dyDescent="0.3">
      <c r="C7983" s="3"/>
      <c r="D7983" s="3"/>
      <c r="E7983" s="3"/>
      <c r="F7983" s="3"/>
    </row>
    <row r="7984" spans="3:6" x14ac:dyDescent="0.3">
      <c r="C7984" s="3"/>
      <c r="D7984" s="3"/>
      <c r="E7984" s="3"/>
      <c r="F7984" s="3"/>
    </row>
    <row r="7985" spans="3:6" x14ac:dyDescent="0.3">
      <c r="C7985" s="3"/>
      <c r="D7985" s="3"/>
      <c r="E7985" s="3"/>
      <c r="F7985" s="3"/>
    </row>
    <row r="7986" spans="3:6" x14ac:dyDescent="0.3">
      <c r="C7986" s="3"/>
      <c r="D7986" s="3"/>
      <c r="E7986" s="3"/>
      <c r="F7986" s="3"/>
    </row>
    <row r="7987" spans="3:6" x14ac:dyDescent="0.3">
      <c r="C7987" s="3"/>
      <c r="D7987" s="3"/>
      <c r="E7987" s="3"/>
      <c r="F7987" s="3"/>
    </row>
    <row r="7988" spans="3:6" x14ac:dyDescent="0.3">
      <c r="C7988" s="3"/>
      <c r="D7988" s="3"/>
      <c r="E7988" s="3"/>
      <c r="F7988" s="3"/>
    </row>
    <row r="7989" spans="3:6" x14ac:dyDescent="0.3">
      <c r="C7989" s="3"/>
      <c r="D7989" s="3"/>
      <c r="E7989" s="3"/>
      <c r="F7989" s="3"/>
    </row>
    <row r="7990" spans="3:6" x14ac:dyDescent="0.3">
      <c r="C7990" s="3"/>
      <c r="D7990" s="3"/>
      <c r="E7990" s="3"/>
      <c r="F7990" s="3"/>
    </row>
    <row r="7991" spans="3:6" x14ac:dyDescent="0.3">
      <c r="C7991" s="3"/>
      <c r="D7991" s="3"/>
      <c r="E7991" s="3"/>
      <c r="F7991" s="3"/>
    </row>
    <row r="7992" spans="3:6" x14ac:dyDescent="0.3">
      <c r="C7992" s="3"/>
      <c r="D7992" s="3"/>
      <c r="E7992" s="3"/>
      <c r="F7992" s="3"/>
    </row>
    <row r="7993" spans="3:6" x14ac:dyDescent="0.3">
      <c r="C7993" s="3"/>
      <c r="D7993" s="3"/>
      <c r="E7993" s="3"/>
      <c r="F7993" s="3"/>
    </row>
    <row r="7994" spans="3:6" x14ac:dyDescent="0.3">
      <c r="C7994" s="3"/>
      <c r="D7994" s="3"/>
      <c r="E7994" s="3"/>
      <c r="F7994" s="3"/>
    </row>
    <row r="7995" spans="3:6" x14ac:dyDescent="0.3">
      <c r="C7995" s="3"/>
      <c r="D7995" s="3"/>
      <c r="E7995" s="3"/>
      <c r="F7995" s="3"/>
    </row>
    <row r="7996" spans="3:6" x14ac:dyDescent="0.3">
      <c r="C7996" s="3"/>
      <c r="D7996" s="3"/>
      <c r="E7996" s="3"/>
      <c r="F7996" s="3"/>
    </row>
    <row r="7997" spans="3:6" x14ac:dyDescent="0.3">
      <c r="C7997" s="3"/>
      <c r="D7997" s="3"/>
      <c r="E7997" s="3"/>
      <c r="F7997" s="3"/>
    </row>
    <row r="7998" spans="3:6" x14ac:dyDescent="0.3">
      <c r="C7998" s="3"/>
      <c r="D7998" s="3"/>
      <c r="E7998" s="3"/>
      <c r="F7998" s="3"/>
    </row>
    <row r="7999" spans="3:6" x14ac:dyDescent="0.3">
      <c r="C7999" s="3"/>
      <c r="D7999" s="3"/>
      <c r="E7999" s="3"/>
      <c r="F7999" s="3"/>
    </row>
    <row r="8000" spans="3:6" x14ac:dyDescent="0.3">
      <c r="C8000" s="3"/>
      <c r="D8000" s="3"/>
      <c r="E8000" s="3"/>
      <c r="F8000" s="3"/>
    </row>
    <row r="8001" spans="3:6" x14ac:dyDescent="0.3">
      <c r="C8001" s="3"/>
      <c r="D8001" s="3"/>
      <c r="E8001" s="3"/>
      <c r="F8001" s="3"/>
    </row>
    <row r="8002" spans="3:6" x14ac:dyDescent="0.3">
      <c r="C8002" s="3"/>
      <c r="D8002" s="3"/>
      <c r="E8002" s="3"/>
      <c r="F8002" s="3"/>
    </row>
    <row r="8003" spans="3:6" x14ac:dyDescent="0.3">
      <c r="C8003" s="3"/>
      <c r="D8003" s="3"/>
      <c r="E8003" s="3"/>
      <c r="F8003" s="3"/>
    </row>
    <row r="8004" spans="3:6" x14ac:dyDescent="0.3">
      <c r="C8004" s="3"/>
      <c r="D8004" s="3"/>
      <c r="E8004" s="3"/>
      <c r="F8004" s="3"/>
    </row>
    <row r="8005" spans="3:6" x14ac:dyDescent="0.3">
      <c r="C8005" s="3"/>
      <c r="D8005" s="3"/>
      <c r="E8005" s="3"/>
      <c r="F8005" s="3"/>
    </row>
    <row r="8006" spans="3:6" x14ac:dyDescent="0.3">
      <c r="C8006" s="3"/>
      <c r="D8006" s="3"/>
      <c r="E8006" s="3"/>
      <c r="F8006" s="3"/>
    </row>
    <row r="8007" spans="3:6" x14ac:dyDescent="0.3">
      <c r="C8007" s="3"/>
      <c r="D8007" s="3"/>
      <c r="E8007" s="3"/>
      <c r="F8007" s="3"/>
    </row>
    <row r="8008" spans="3:6" x14ac:dyDescent="0.3">
      <c r="C8008" s="3"/>
      <c r="D8008" s="3"/>
      <c r="E8008" s="3"/>
      <c r="F8008" s="3"/>
    </row>
    <row r="8009" spans="3:6" x14ac:dyDescent="0.3">
      <c r="C8009" s="3"/>
      <c r="D8009" s="3"/>
      <c r="E8009" s="3"/>
      <c r="F8009" s="3"/>
    </row>
    <row r="8010" spans="3:6" x14ac:dyDescent="0.3">
      <c r="C8010" s="3"/>
      <c r="D8010" s="3"/>
      <c r="E8010" s="3"/>
      <c r="F8010" s="3"/>
    </row>
    <row r="8011" spans="3:6" x14ac:dyDescent="0.3">
      <c r="C8011" s="3"/>
      <c r="D8011" s="3"/>
      <c r="E8011" s="3"/>
      <c r="F8011" s="3"/>
    </row>
    <row r="8012" spans="3:6" x14ac:dyDescent="0.3">
      <c r="C8012" s="3"/>
      <c r="D8012" s="3"/>
      <c r="E8012" s="3"/>
      <c r="F8012" s="3"/>
    </row>
    <row r="8013" spans="3:6" x14ac:dyDescent="0.3">
      <c r="C8013" s="3"/>
      <c r="D8013" s="3"/>
      <c r="E8013" s="3"/>
      <c r="F8013" s="3"/>
    </row>
    <row r="8014" spans="3:6" x14ac:dyDescent="0.3">
      <c r="C8014" s="3"/>
      <c r="D8014" s="3"/>
      <c r="E8014" s="3"/>
      <c r="F8014" s="3"/>
    </row>
    <row r="8015" spans="3:6" x14ac:dyDescent="0.3">
      <c r="C8015" s="3"/>
      <c r="D8015" s="3"/>
      <c r="E8015" s="3"/>
      <c r="F8015" s="3"/>
    </row>
    <row r="8016" spans="3:6" x14ac:dyDescent="0.3">
      <c r="C8016" s="3"/>
      <c r="D8016" s="3"/>
      <c r="E8016" s="3"/>
      <c r="F8016" s="3"/>
    </row>
    <row r="8017" spans="3:6" x14ac:dyDescent="0.3">
      <c r="C8017" s="3"/>
      <c r="D8017" s="3"/>
      <c r="E8017" s="3"/>
      <c r="F8017" s="3"/>
    </row>
    <row r="8018" spans="3:6" x14ac:dyDescent="0.3">
      <c r="C8018" s="3"/>
      <c r="D8018" s="3"/>
      <c r="E8018" s="3"/>
      <c r="F8018" s="3"/>
    </row>
    <row r="8019" spans="3:6" x14ac:dyDescent="0.3">
      <c r="C8019" s="3"/>
      <c r="D8019" s="3"/>
      <c r="E8019" s="3"/>
      <c r="F8019" s="3"/>
    </row>
    <row r="8020" spans="3:6" x14ac:dyDescent="0.3">
      <c r="C8020" s="3"/>
      <c r="D8020" s="3"/>
      <c r="E8020" s="3"/>
      <c r="F8020" s="3"/>
    </row>
    <row r="8021" spans="3:6" x14ac:dyDescent="0.3">
      <c r="C8021" s="3"/>
      <c r="D8021" s="3"/>
      <c r="E8021" s="3"/>
      <c r="F8021" s="3"/>
    </row>
    <row r="8022" spans="3:6" x14ac:dyDescent="0.3">
      <c r="C8022" s="3"/>
      <c r="D8022" s="3"/>
      <c r="E8022" s="3"/>
      <c r="F8022" s="3"/>
    </row>
    <row r="8023" spans="3:6" x14ac:dyDescent="0.3">
      <c r="C8023" s="3"/>
      <c r="D8023" s="3"/>
      <c r="E8023" s="3"/>
      <c r="F8023" s="3"/>
    </row>
    <row r="8024" spans="3:6" x14ac:dyDescent="0.3">
      <c r="C8024" s="3"/>
      <c r="D8024" s="3"/>
      <c r="E8024" s="3"/>
      <c r="F8024" s="3"/>
    </row>
    <row r="8025" spans="3:6" x14ac:dyDescent="0.3">
      <c r="C8025" s="3"/>
      <c r="D8025" s="3"/>
      <c r="E8025" s="3"/>
      <c r="F8025" s="3"/>
    </row>
    <row r="8026" spans="3:6" x14ac:dyDescent="0.3">
      <c r="C8026" s="3"/>
      <c r="D8026" s="3"/>
      <c r="E8026" s="3"/>
      <c r="F8026" s="3"/>
    </row>
    <row r="8027" spans="3:6" x14ac:dyDescent="0.3">
      <c r="C8027" s="3"/>
      <c r="D8027" s="3"/>
      <c r="E8027" s="3"/>
      <c r="F8027" s="3"/>
    </row>
    <row r="8028" spans="3:6" x14ac:dyDescent="0.3">
      <c r="C8028" s="3"/>
      <c r="D8028" s="3"/>
      <c r="E8028" s="3"/>
      <c r="F8028" s="3"/>
    </row>
    <row r="8029" spans="3:6" x14ac:dyDescent="0.3">
      <c r="C8029" s="3"/>
      <c r="D8029" s="3"/>
      <c r="E8029" s="3"/>
      <c r="F8029" s="3"/>
    </row>
    <row r="8030" spans="3:6" x14ac:dyDescent="0.3">
      <c r="C8030" s="3"/>
      <c r="D8030" s="3"/>
      <c r="E8030" s="3"/>
      <c r="F8030" s="3"/>
    </row>
    <row r="8031" spans="3:6" x14ac:dyDescent="0.3">
      <c r="C8031" s="3"/>
      <c r="D8031" s="3"/>
      <c r="E8031" s="3"/>
      <c r="F8031" s="3"/>
    </row>
    <row r="8032" spans="3:6" x14ac:dyDescent="0.3">
      <c r="C8032" s="3"/>
      <c r="D8032" s="3"/>
      <c r="E8032" s="3"/>
      <c r="F8032" s="3"/>
    </row>
    <row r="8033" spans="3:6" x14ac:dyDescent="0.3">
      <c r="C8033" s="3"/>
      <c r="D8033" s="3"/>
      <c r="E8033" s="3"/>
      <c r="F8033" s="3"/>
    </row>
    <row r="8034" spans="3:6" x14ac:dyDescent="0.3">
      <c r="C8034" s="3"/>
      <c r="D8034" s="3"/>
      <c r="E8034" s="3"/>
      <c r="F8034" s="3"/>
    </row>
    <row r="8035" spans="3:6" x14ac:dyDescent="0.3">
      <c r="C8035" s="3"/>
      <c r="D8035" s="3"/>
      <c r="E8035" s="3"/>
      <c r="F8035" s="3"/>
    </row>
    <row r="8036" spans="3:6" x14ac:dyDescent="0.3">
      <c r="C8036" s="3"/>
      <c r="D8036" s="3"/>
      <c r="E8036" s="3"/>
      <c r="F8036" s="3"/>
    </row>
    <row r="8037" spans="3:6" x14ac:dyDescent="0.3">
      <c r="C8037" s="3"/>
      <c r="D8037" s="3"/>
      <c r="E8037" s="3"/>
      <c r="F8037" s="3"/>
    </row>
    <row r="8038" spans="3:6" x14ac:dyDescent="0.3">
      <c r="C8038" s="3"/>
      <c r="D8038" s="3"/>
      <c r="E8038" s="3"/>
      <c r="F8038" s="3"/>
    </row>
    <row r="8039" spans="3:6" x14ac:dyDescent="0.3">
      <c r="C8039" s="3"/>
      <c r="D8039" s="3"/>
      <c r="E8039" s="3"/>
      <c r="F8039" s="3"/>
    </row>
    <row r="8040" spans="3:6" x14ac:dyDescent="0.3">
      <c r="C8040" s="3"/>
      <c r="D8040" s="3"/>
      <c r="E8040" s="3"/>
      <c r="F8040" s="3"/>
    </row>
    <row r="8041" spans="3:6" x14ac:dyDescent="0.3">
      <c r="C8041" s="3"/>
      <c r="D8041" s="3"/>
      <c r="E8041" s="3"/>
      <c r="F8041" s="3"/>
    </row>
    <row r="8042" spans="3:6" x14ac:dyDescent="0.3">
      <c r="C8042" s="3"/>
      <c r="D8042" s="3"/>
      <c r="E8042" s="3"/>
      <c r="F8042" s="3"/>
    </row>
    <row r="8043" spans="3:6" x14ac:dyDescent="0.3">
      <c r="C8043" s="3"/>
      <c r="D8043" s="3"/>
      <c r="E8043" s="3"/>
      <c r="F8043" s="3"/>
    </row>
    <row r="8044" spans="3:6" x14ac:dyDescent="0.3">
      <c r="C8044" s="3"/>
      <c r="D8044" s="3"/>
      <c r="E8044" s="3"/>
      <c r="F8044" s="3"/>
    </row>
    <row r="8045" spans="3:6" x14ac:dyDescent="0.3">
      <c r="C8045" s="3"/>
      <c r="D8045" s="3"/>
      <c r="E8045" s="3"/>
      <c r="F8045" s="3"/>
    </row>
    <row r="8046" spans="3:6" x14ac:dyDescent="0.3">
      <c r="C8046" s="3"/>
      <c r="D8046" s="3"/>
      <c r="E8046" s="3"/>
      <c r="F8046" s="3"/>
    </row>
    <row r="8047" spans="3:6" x14ac:dyDescent="0.3">
      <c r="C8047" s="3"/>
      <c r="D8047" s="3"/>
      <c r="E8047" s="3"/>
      <c r="F8047" s="3"/>
    </row>
    <row r="8048" spans="3:6" x14ac:dyDescent="0.3">
      <c r="C8048" s="3"/>
      <c r="D8048" s="3"/>
      <c r="E8048" s="3"/>
      <c r="F8048" s="3"/>
    </row>
    <row r="8049" spans="3:6" x14ac:dyDescent="0.3">
      <c r="C8049" s="3"/>
      <c r="D8049" s="3"/>
      <c r="E8049" s="3"/>
      <c r="F8049" s="3"/>
    </row>
    <row r="8050" spans="3:6" x14ac:dyDescent="0.3">
      <c r="C8050" s="3"/>
      <c r="D8050" s="3"/>
      <c r="E8050" s="3"/>
      <c r="F8050" s="3"/>
    </row>
    <row r="8051" spans="3:6" x14ac:dyDescent="0.3">
      <c r="C8051" s="3"/>
      <c r="D8051" s="3"/>
      <c r="E8051" s="3"/>
      <c r="F8051" s="3"/>
    </row>
    <row r="8052" spans="3:6" x14ac:dyDescent="0.3">
      <c r="C8052" s="3"/>
      <c r="D8052" s="3"/>
      <c r="E8052" s="3"/>
      <c r="F8052" s="3"/>
    </row>
    <row r="8053" spans="3:6" x14ac:dyDescent="0.3">
      <c r="C8053" s="3"/>
      <c r="D8053" s="3"/>
      <c r="E8053" s="3"/>
      <c r="F8053" s="3"/>
    </row>
    <row r="8054" spans="3:6" x14ac:dyDescent="0.3">
      <c r="C8054" s="3"/>
      <c r="D8054" s="3"/>
      <c r="E8054" s="3"/>
      <c r="F8054" s="3"/>
    </row>
    <row r="8055" spans="3:6" x14ac:dyDescent="0.3">
      <c r="C8055" s="3"/>
      <c r="D8055" s="3"/>
      <c r="E8055" s="3"/>
      <c r="F8055" s="3"/>
    </row>
    <row r="8056" spans="3:6" x14ac:dyDescent="0.3">
      <c r="C8056" s="3"/>
      <c r="D8056" s="3"/>
      <c r="E8056" s="3"/>
      <c r="F8056" s="3"/>
    </row>
    <row r="8057" spans="3:6" x14ac:dyDescent="0.3">
      <c r="C8057" s="3"/>
      <c r="D8057" s="3"/>
      <c r="E8057" s="3"/>
      <c r="F8057" s="3"/>
    </row>
    <row r="8058" spans="3:6" x14ac:dyDescent="0.3">
      <c r="C8058" s="3"/>
      <c r="D8058" s="3"/>
      <c r="E8058" s="3"/>
      <c r="F8058" s="3"/>
    </row>
    <row r="8059" spans="3:6" x14ac:dyDescent="0.3">
      <c r="C8059" s="3"/>
      <c r="D8059" s="3"/>
      <c r="E8059" s="3"/>
      <c r="F8059" s="3"/>
    </row>
    <row r="8060" spans="3:6" x14ac:dyDescent="0.3">
      <c r="C8060" s="3"/>
      <c r="D8060" s="3"/>
      <c r="E8060" s="3"/>
      <c r="F8060" s="3"/>
    </row>
    <row r="8061" spans="3:6" x14ac:dyDescent="0.3">
      <c r="C8061" s="3"/>
      <c r="D8061" s="3"/>
      <c r="E8061" s="3"/>
      <c r="F8061" s="3"/>
    </row>
    <row r="8062" spans="3:6" x14ac:dyDescent="0.3">
      <c r="C8062" s="3"/>
      <c r="D8062" s="3"/>
      <c r="E8062" s="3"/>
      <c r="F8062" s="3"/>
    </row>
    <row r="8063" spans="3:6" x14ac:dyDescent="0.3">
      <c r="C8063" s="3"/>
      <c r="D8063" s="3"/>
      <c r="E8063" s="3"/>
      <c r="F8063" s="3"/>
    </row>
    <row r="8064" spans="3:6" x14ac:dyDescent="0.3">
      <c r="C8064" s="3"/>
      <c r="D8064" s="3"/>
      <c r="E8064" s="3"/>
      <c r="F8064" s="3"/>
    </row>
    <row r="8065" spans="3:6" x14ac:dyDescent="0.3">
      <c r="C8065" s="3"/>
      <c r="D8065" s="3"/>
      <c r="E8065" s="3"/>
      <c r="F8065" s="3"/>
    </row>
    <row r="8066" spans="3:6" x14ac:dyDescent="0.3">
      <c r="C8066" s="3"/>
      <c r="D8066" s="3"/>
      <c r="E8066" s="3"/>
      <c r="F8066" s="3"/>
    </row>
    <row r="8067" spans="3:6" x14ac:dyDescent="0.3">
      <c r="C8067" s="3"/>
      <c r="D8067" s="3"/>
      <c r="E8067" s="3"/>
      <c r="F8067" s="3"/>
    </row>
    <row r="8068" spans="3:6" x14ac:dyDescent="0.3">
      <c r="C8068" s="3"/>
      <c r="D8068" s="3"/>
      <c r="E8068" s="3"/>
      <c r="F8068" s="3"/>
    </row>
    <row r="8069" spans="3:6" x14ac:dyDescent="0.3">
      <c r="C8069" s="3"/>
      <c r="D8069" s="3"/>
      <c r="E8069" s="3"/>
      <c r="F8069" s="3"/>
    </row>
    <row r="8070" spans="3:6" x14ac:dyDescent="0.3">
      <c r="C8070" s="3"/>
      <c r="D8070" s="3"/>
      <c r="E8070" s="3"/>
      <c r="F8070" s="3"/>
    </row>
    <row r="8071" spans="3:6" x14ac:dyDescent="0.3">
      <c r="C8071" s="3"/>
      <c r="D8071" s="3"/>
      <c r="E8071" s="3"/>
      <c r="F8071" s="3"/>
    </row>
    <row r="8072" spans="3:6" x14ac:dyDescent="0.3">
      <c r="C8072" s="3"/>
      <c r="D8072" s="3"/>
      <c r="E8072" s="3"/>
      <c r="F8072" s="3"/>
    </row>
    <row r="8073" spans="3:6" x14ac:dyDescent="0.3">
      <c r="C8073" s="3"/>
      <c r="D8073" s="3"/>
      <c r="E8073" s="3"/>
      <c r="F8073" s="3"/>
    </row>
    <row r="8074" spans="3:6" x14ac:dyDescent="0.3">
      <c r="C8074" s="3"/>
      <c r="D8074" s="3"/>
      <c r="E8074" s="3"/>
      <c r="F8074" s="3"/>
    </row>
    <row r="8075" spans="3:6" x14ac:dyDescent="0.3">
      <c r="C8075" s="3"/>
      <c r="D8075" s="3"/>
      <c r="E8075" s="3"/>
      <c r="F8075" s="3"/>
    </row>
    <row r="8076" spans="3:6" x14ac:dyDescent="0.3">
      <c r="C8076" s="3"/>
      <c r="D8076" s="3"/>
      <c r="E8076" s="3"/>
      <c r="F8076" s="3"/>
    </row>
    <row r="8077" spans="3:6" x14ac:dyDescent="0.3">
      <c r="C8077" s="3"/>
      <c r="D8077" s="3"/>
      <c r="E8077" s="3"/>
      <c r="F8077" s="3"/>
    </row>
    <row r="8078" spans="3:6" x14ac:dyDescent="0.3">
      <c r="C8078" s="3"/>
      <c r="D8078" s="3"/>
      <c r="E8078" s="3"/>
      <c r="F8078" s="3"/>
    </row>
    <row r="8079" spans="3:6" x14ac:dyDescent="0.3">
      <c r="C8079" s="3"/>
      <c r="D8079" s="3"/>
      <c r="E8079" s="3"/>
      <c r="F8079" s="3"/>
    </row>
    <row r="8080" spans="3:6" x14ac:dyDescent="0.3">
      <c r="C8080" s="3"/>
      <c r="D8080" s="3"/>
      <c r="E8080" s="3"/>
      <c r="F8080" s="3"/>
    </row>
    <row r="8081" spans="3:6" x14ac:dyDescent="0.3">
      <c r="C8081" s="3"/>
      <c r="D8081" s="3"/>
      <c r="E8081" s="3"/>
      <c r="F8081" s="3"/>
    </row>
    <row r="8082" spans="3:6" x14ac:dyDescent="0.3">
      <c r="C8082" s="3"/>
      <c r="D8082" s="3"/>
      <c r="E8082" s="3"/>
      <c r="F8082" s="3"/>
    </row>
    <row r="8083" spans="3:6" x14ac:dyDescent="0.3">
      <c r="C8083" s="3"/>
      <c r="D8083" s="3"/>
      <c r="E8083" s="3"/>
      <c r="F8083" s="3"/>
    </row>
    <row r="8084" spans="3:6" x14ac:dyDescent="0.3">
      <c r="C8084" s="3"/>
      <c r="D8084" s="3"/>
      <c r="E8084" s="3"/>
      <c r="F8084" s="3"/>
    </row>
    <row r="8085" spans="3:6" x14ac:dyDescent="0.3">
      <c r="C8085" s="3"/>
      <c r="D8085" s="3"/>
      <c r="E8085" s="3"/>
      <c r="F8085" s="3"/>
    </row>
    <row r="8086" spans="3:6" x14ac:dyDescent="0.3">
      <c r="C8086" s="3"/>
      <c r="D8086" s="3"/>
      <c r="E8086" s="3"/>
      <c r="F8086" s="3"/>
    </row>
    <row r="8087" spans="3:6" x14ac:dyDescent="0.3">
      <c r="C8087" s="3"/>
      <c r="D8087" s="3"/>
      <c r="E8087" s="3"/>
      <c r="F8087" s="3"/>
    </row>
    <row r="8088" spans="3:6" x14ac:dyDescent="0.3">
      <c r="C8088" s="3"/>
      <c r="D8088" s="3"/>
      <c r="E8088" s="3"/>
      <c r="F8088" s="3"/>
    </row>
    <row r="8089" spans="3:6" x14ac:dyDescent="0.3">
      <c r="C8089" s="3"/>
      <c r="D8089" s="3"/>
      <c r="E8089" s="3"/>
      <c r="F8089" s="3"/>
    </row>
    <row r="8090" spans="3:6" x14ac:dyDescent="0.3">
      <c r="C8090" s="3"/>
      <c r="D8090" s="3"/>
      <c r="E8090" s="3"/>
      <c r="F8090" s="3"/>
    </row>
    <row r="8091" spans="3:6" x14ac:dyDescent="0.3">
      <c r="C8091" s="3"/>
      <c r="D8091" s="3"/>
      <c r="E8091" s="3"/>
      <c r="F8091" s="3"/>
    </row>
    <row r="8092" spans="3:6" x14ac:dyDescent="0.3">
      <c r="C8092" s="3"/>
      <c r="D8092" s="3"/>
      <c r="E8092" s="3"/>
      <c r="F8092" s="3"/>
    </row>
    <row r="8093" spans="3:6" x14ac:dyDescent="0.3">
      <c r="C8093" s="3"/>
      <c r="D8093" s="3"/>
      <c r="E8093" s="3"/>
      <c r="F8093" s="3"/>
    </row>
    <row r="8094" spans="3:6" x14ac:dyDescent="0.3">
      <c r="C8094" s="3"/>
      <c r="D8094" s="3"/>
      <c r="E8094" s="3"/>
      <c r="F8094" s="3"/>
    </row>
    <row r="8095" spans="3:6" x14ac:dyDescent="0.3">
      <c r="C8095" s="3"/>
      <c r="D8095" s="3"/>
      <c r="E8095" s="3"/>
      <c r="F8095" s="3"/>
    </row>
    <row r="8096" spans="3:6" x14ac:dyDescent="0.3">
      <c r="C8096" s="3"/>
      <c r="D8096" s="3"/>
      <c r="E8096" s="3"/>
      <c r="F8096" s="3"/>
    </row>
    <row r="8097" spans="3:6" x14ac:dyDescent="0.3">
      <c r="C8097" s="3"/>
      <c r="D8097" s="3"/>
      <c r="E8097" s="3"/>
      <c r="F8097" s="3"/>
    </row>
    <row r="8098" spans="3:6" x14ac:dyDescent="0.3">
      <c r="C8098" s="3"/>
      <c r="D8098" s="3"/>
      <c r="E8098" s="3"/>
      <c r="F8098" s="3"/>
    </row>
    <row r="8099" spans="3:6" x14ac:dyDescent="0.3">
      <c r="C8099" s="3"/>
      <c r="D8099" s="3"/>
      <c r="E8099" s="3"/>
      <c r="F8099" s="3"/>
    </row>
    <row r="8100" spans="3:6" x14ac:dyDescent="0.3">
      <c r="C8100" s="3"/>
      <c r="D8100" s="3"/>
      <c r="E8100" s="3"/>
      <c r="F8100" s="3"/>
    </row>
    <row r="8101" spans="3:6" x14ac:dyDescent="0.3">
      <c r="C8101" s="3"/>
      <c r="D8101" s="3"/>
      <c r="E8101" s="3"/>
      <c r="F8101" s="3"/>
    </row>
    <row r="8102" spans="3:6" x14ac:dyDescent="0.3">
      <c r="C8102" s="3"/>
      <c r="D8102" s="3"/>
      <c r="E8102" s="3"/>
      <c r="F8102" s="3"/>
    </row>
    <row r="8103" spans="3:6" x14ac:dyDescent="0.3">
      <c r="C8103" s="3"/>
      <c r="D8103" s="3"/>
      <c r="E8103" s="3"/>
      <c r="F8103" s="3"/>
    </row>
    <row r="8104" spans="3:6" x14ac:dyDescent="0.3">
      <c r="C8104" s="3"/>
      <c r="D8104" s="3"/>
      <c r="E8104" s="3"/>
      <c r="F8104" s="3"/>
    </row>
    <row r="8105" spans="3:6" x14ac:dyDescent="0.3">
      <c r="C8105" s="3"/>
      <c r="D8105" s="3"/>
      <c r="E8105" s="3"/>
      <c r="F8105" s="3"/>
    </row>
    <row r="8106" spans="3:6" x14ac:dyDescent="0.3">
      <c r="C8106" s="3"/>
      <c r="D8106" s="3"/>
      <c r="E8106" s="3"/>
      <c r="F8106" s="3"/>
    </row>
    <row r="8107" spans="3:6" x14ac:dyDescent="0.3">
      <c r="C8107" s="3"/>
      <c r="D8107" s="3"/>
      <c r="E8107" s="3"/>
      <c r="F8107" s="3"/>
    </row>
    <row r="8108" spans="3:6" x14ac:dyDescent="0.3">
      <c r="C8108" s="3"/>
      <c r="D8108" s="3"/>
      <c r="E8108" s="3"/>
      <c r="F8108" s="3"/>
    </row>
    <row r="8109" spans="3:6" x14ac:dyDescent="0.3">
      <c r="C8109" s="3"/>
      <c r="D8109" s="3"/>
      <c r="E8109" s="3"/>
      <c r="F8109" s="3"/>
    </row>
    <row r="8110" spans="3:6" x14ac:dyDescent="0.3">
      <c r="C8110" s="3"/>
      <c r="D8110" s="3"/>
      <c r="E8110" s="3"/>
      <c r="F8110" s="3"/>
    </row>
    <row r="8111" spans="3:6" x14ac:dyDescent="0.3">
      <c r="C8111" s="3"/>
      <c r="D8111" s="3"/>
      <c r="E8111" s="3"/>
      <c r="F8111" s="3"/>
    </row>
    <row r="8112" spans="3:6" x14ac:dyDescent="0.3">
      <c r="C8112" s="3"/>
      <c r="D8112" s="3"/>
      <c r="E8112" s="3"/>
      <c r="F8112" s="3"/>
    </row>
    <row r="8113" spans="3:6" x14ac:dyDescent="0.3">
      <c r="C8113" s="3"/>
      <c r="D8113" s="3"/>
      <c r="E8113" s="3"/>
      <c r="F8113" s="3"/>
    </row>
    <row r="8114" spans="3:6" x14ac:dyDescent="0.3">
      <c r="C8114" s="3"/>
      <c r="D8114" s="3"/>
      <c r="E8114" s="3"/>
      <c r="F8114" s="3"/>
    </row>
    <row r="8115" spans="3:6" x14ac:dyDescent="0.3">
      <c r="C8115" s="3"/>
      <c r="D8115" s="3"/>
      <c r="E8115" s="3"/>
      <c r="F8115" s="3"/>
    </row>
    <row r="8116" spans="3:6" x14ac:dyDescent="0.3">
      <c r="C8116" s="3"/>
      <c r="D8116" s="3"/>
      <c r="E8116" s="3"/>
      <c r="F8116" s="3"/>
    </row>
    <row r="8117" spans="3:6" x14ac:dyDescent="0.3">
      <c r="C8117" s="3"/>
      <c r="D8117" s="3"/>
      <c r="E8117" s="3"/>
      <c r="F8117" s="3"/>
    </row>
    <row r="8118" spans="3:6" x14ac:dyDescent="0.3">
      <c r="C8118" s="3"/>
      <c r="D8118" s="3"/>
      <c r="E8118" s="3"/>
      <c r="F8118" s="3"/>
    </row>
    <row r="8119" spans="3:6" x14ac:dyDescent="0.3">
      <c r="C8119" s="3"/>
      <c r="D8119" s="3"/>
      <c r="E8119" s="3"/>
      <c r="F8119" s="3"/>
    </row>
    <row r="8120" spans="3:6" x14ac:dyDescent="0.3">
      <c r="C8120" s="3"/>
      <c r="D8120" s="3"/>
      <c r="E8120" s="3"/>
      <c r="F8120" s="3"/>
    </row>
    <row r="8121" spans="3:6" x14ac:dyDescent="0.3">
      <c r="C8121" s="3"/>
      <c r="D8121" s="3"/>
      <c r="E8121" s="3"/>
      <c r="F8121" s="3"/>
    </row>
    <row r="8122" spans="3:6" x14ac:dyDescent="0.3">
      <c r="C8122" s="3"/>
      <c r="D8122" s="3"/>
      <c r="E8122" s="3"/>
      <c r="F8122" s="3"/>
    </row>
    <row r="8123" spans="3:6" x14ac:dyDescent="0.3">
      <c r="C8123" s="3"/>
      <c r="D8123" s="3"/>
      <c r="E8123" s="3"/>
      <c r="F8123" s="3"/>
    </row>
    <row r="8124" spans="3:6" x14ac:dyDescent="0.3">
      <c r="C8124" s="3"/>
      <c r="D8124" s="3"/>
      <c r="E8124" s="3"/>
      <c r="F8124" s="3"/>
    </row>
    <row r="8125" spans="3:6" x14ac:dyDescent="0.3">
      <c r="C8125" s="3"/>
      <c r="D8125" s="3"/>
      <c r="E8125" s="3"/>
      <c r="F8125" s="3"/>
    </row>
    <row r="8126" spans="3:6" x14ac:dyDescent="0.3">
      <c r="C8126" s="3"/>
      <c r="D8126" s="3"/>
      <c r="E8126" s="3"/>
      <c r="F8126" s="3"/>
    </row>
    <row r="8127" spans="3:6" x14ac:dyDescent="0.3">
      <c r="C8127" s="3"/>
      <c r="D8127" s="3"/>
      <c r="E8127" s="3"/>
      <c r="F8127" s="3"/>
    </row>
    <row r="8128" spans="3:6" x14ac:dyDescent="0.3">
      <c r="C8128" s="3"/>
      <c r="D8128" s="3"/>
      <c r="E8128" s="3"/>
      <c r="F8128" s="3"/>
    </row>
    <row r="8129" spans="3:6" x14ac:dyDescent="0.3">
      <c r="C8129" s="3"/>
      <c r="D8129" s="3"/>
      <c r="E8129" s="3"/>
      <c r="F8129" s="3"/>
    </row>
    <row r="8130" spans="3:6" x14ac:dyDescent="0.3">
      <c r="C8130" s="3"/>
      <c r="D8130" s="3"/>
      <c r="E8130" s="3"/>
      <c r="F8130" s="3"/>
    </row>
    <row r="8131" spans="3:6" x14ac:dyDescent="0.3">
      <c r="C8131" s="3"/>
      <c r="D8131" s="3"/>
      <c r="E8131" s="3"/>
      <c r="F8131" s="3"/>
    </row>
    <row r="8132" spans="3:6" x14ac:dyDescent="0.3">
      <c r="C8132" s="3"/>
      <c r="D8132" s="3"/>
      <c r="E8132" s="3"/>
      <c r="F8132" s="3"/>
    </row>
    <row r="8133" spans="3:6" x14ac:dyDescent="0.3">
      <c r="C8133" s="3"/>
      <c r="D8133" s="3"/>
      <c r="E8133" s="3"/>
      <c r="F8133" s="3"/>
    </row>
    <row r="8134" spans="3:6" x14ac:dyDescent="0.3">
      <c r="C8134" s="3"/>
      <c r="D8134" s="3"/>
      <c r="E8134" s="3"/>
      <c r="F8134" s="3"/>
    </row>
    <row r="8135" spans="3:6" x14ac:dyDescent="0.3">
      <c r="C8135" s="3"/>
      <c r="D8135" s="3"/>
      <c r="E8135" s="3"/>
      <c r="F8135" s="3"/>
    </row>
    <row r="8136" spans="3:6" x14ac:dyDescent="0.3">
      <c r="C8136" s="3"/>
      <c r="D8136" s="3"/>
      <c r="E8136" s="3"/>
      <c r="F8136" s="3"/>
    </row>
    <row r="8137" spans="3:6" x14ac:dyDescent="0.3">
      <c r="C8137" s="3"/>
      <c r="D8137" s="3"/>
      <c r="E8137" s="3"/>
      <c r="F8137" s="3"/>
    </row>
    <row r="8138" spans="3:6" x14ac:dyDescent="0.3">
      <c r="C8138" s="3"/>
      <c r="D8138" s="3"/>
      <c r="E8138" s="3"/>
      <c r="F8138" s="3"/>
    </row>
    <row r="8139" spans="3:6" x14ac:dyDescent="0.3">
      <c r="C8139" s="3"/>
      <c r="D8139" s="3"/>
      <c r="E8139" s="3"/>
      <c r="F8139" s="3"/>
    </row>
    <row r="8140" spans="3:6" x14ac:dyDescent="0.3">
      <c r="C8140" s="3"/>
      <c r="D8140" s="3"/>
      <c r="E8140" s="3"/>
      <c r="F8140" s="3"/>
    </row>
    <row r="8141" spans="3:6" x14ac:dyDescent="0.3">
      <c r="C8141" s="3"/>
      <c r="D8141" s="3"/>
      <c r="E8141" s="3"/>
      <c r="F8141" s="3"/>
    </row>
    <row r="8142" spans="3:6" x14ac:dyDescent="0.3">
      <c r="C8142" s="3"/>
      <c r="D8142" s="3"/>
      <c r="E8142" s="3"/>
      <c r="F8142" s="3"/>
    </row>
    <row r="8143" spans="3:6" x14ac:dyDescent="0.3">
      <c r="C8143" s="3"/>
      <c r="D8143" s="3"/>
      <c r="E8143" s="3"/>
      <c r="F8143" s="3"/>
    </row>
    <row r="8144" spans="3:6" x14ac:dyDescent="0.3">
      <c r="C8144" s="3"/>
      <c r="D8144" s="3"/>
      <c r="E8144" s="3"/>
      <c r="F8144" s="3"/>
    </row>
    <row r="8145" spans="3:6" x14ac:dyDescent="0.3">
      <c r="C8145" s="3"/>
      <c r="D8145" s="3"/>
      <c r="E8145" s="3"/>
      <c r="F8145" s="3"/>
    </row>
    <row r="8146" spans="3:6" x14ac:dyDescent="0.3">
      <c r="C8146" s="3"/>
      <c r="D8146" s="3"/>
      <c r="E8146" s="3"/>
      <c r="F8146" s="3"/>
    </row>
    <row r="8147" spans="3:6" x14ac:dyDescent="0.3">
      <c r="C8147" s="3"/>
      <c r="D8147" s="3"/>
      <c r="E8147" s="3"/>
      <c r="F8147" s="3"/>
    </row>
    <row r="8148" spans="3:6" x14ac:dyDescent="0.3">
      <c r="C8148" s="3"/>
      <c r="D8148" s="3"/>
      <c r="E8148" s="3"/>
      <c r="F8148" s="3"/>
    </row>
    <row r="8149" spans="3:6" x14ac:dyDescent="0.3">
      <c r="C8149" s="3"/>
      <c r="D8149" s="3"/>
      <c r="E8149" s="3"/>
      <c r="F8149" s="3"/>
    </row>
    <row r="8150" spans="3:6" x14ac:dyDescent="0.3">
      <c r="C8150" s="3"/>
      <c r="D8150" s="3"/>
      <c r="E8150" s="3"/>
      <c r="F8150" s="3"/>
    </row>
    <row r="8151" spans="3:6" x14ac:dyDescent="0.3">
      <c r="C8151" s="3"/>
      <c r="D8151" s="3"/>
      <c r="E8151" s="3"/>
      <c r="F8151" s="3"/>
    </row>
    <row r="8152" spans="3:6" x14ac:dyDescent="0.3">
      <c r="C8152" s="3"/>
      <c r="D8152" s="3"/>
      <c r="E8152" s="3"/>
      <c r="F8152" s="3"/>
    </row>
    <row r="8153" spans="3:6" x14ac:dyDescent="0.3">
      <c r="C8153" s="3"/>
      <c r="D8153" s="3"/>
      <c r="E8153" s="3"/>
      <c r="F8153" s="3"/>
    </row>
    <row r="8154" spans="3:6" x14ac:dyDescent="0.3">
      <c r="C8154" s="3"/>
      <c r="D8154" s="3"/>
      <c r="E8154" s="3"/>
      <c r="F8154" s="3"/>
    </row>
    <row r="8155" spans="3:6" x14ac:dyDescent="0.3">
      <c r="C8155" s="3"/>
      <c r="D8155" s="3"/>
      <c r="E8155" s="3"/>
      <c r="F8155" s="3"/>
    </row>
    <row r="8156" spans="3:6" x14ac:dyDescent="0.3">
      <c r="C8156" s="3"/>
      <c r="D8156" s="3"/>
      <c r="E8156" s="3"/>
      <c r="F8156" s="3"/>
    </row>
    <row r="8157" spans="3:6" x14ac:dyDescent="0.3">
      <c r="C8157" s="3"/>
      <c r="D8157" s="3"/>
      <c r="E8157" s="3"/>
      <c r="F8157" s="3"/>
    </row>
    <row r="8158" spans="3:6" x14ac:dyDescent="0.3">
      <c r="C8158" s="3"/>
      <c r="D8158" s="3"/>
      <c r="E8158" s="3"/>
      <c r="F8158" s="3"/>
    </row>
    <row r="8159" spans="3:6" x14ac:dyDescent="0.3">
      <c r="C8159" s="3"/>
      <c r="D8159" s="3"/>
      <c r="E8159" s="3"/>
      <c r="F8159" s="3"/>
    </row>
    <row r="8160" spans="3:6" x14ac:dyDescent="0.3">
      <c r="C8160" s="3"/>
      <c r="D8160" s="3"/>
      <c r="E8160" s="3"/>
      <c r="F8160" s="3"/>
    </row>
    <row r="8161" spans="3:6" x14ac:dyDescent="0.3">
      <c r="C8161" s="3"/>
      <c r="D8161" s="3"/>
      <c r="E8161" s="3"/>
      <c r="F8161" s="3"/>
    </row>
    <row r="8162" spans="3:6" x14ac:dyDescent="0.3">
      <c r="C8162" s="3"/>
      <c r="D8162" s="3"/>
      <c r="E8162" s="3"/>
      <c r="F8162" s="3"/>
    </row>
    <row r="8163" spans="3:6" x14ac:dyDescent="0.3">
      <c r="C8163" s="3"/>
      <c r="D8163" s="3"/>
      <c r="E8163" s="3"/>
      <c r="F8163" s="3"/>
    </row>
    <row r="8164" spans="3:6" x14ac:dyDescent="0.3">
      <c r="C8164" s="3"/>
      <c r="D8164" s="3"/>
      <c r="E8164" s="3"/>
      <c r="F8164" s="3"/>
    </row>
    <row r="8165" spans="3:6" x14ac:dyDescent="0.3">
      <c r="C8165" s="3"/>
      <c r="D8165" s="3"/>
      <c r="E8165" s="3"/>
      <c r="F8165" s="3"/>
    </row>
    <row r="8166" spans="3:6" x14ac:dyDescent="0.3">
      <c r="C8166" s="3"/>
      <c r="D8166" s="3"/>
      <c r="E8166" s="3"/>
      <c r="F8166" s="3"/>
    </row>
    <row r="8167" spans="3:6" x14ac:dyDescent="0.3">
      <c r="C8167" s="3"/>
      <c r="D8167" s="3"/>
      <c r="E8167" s="3"/>
      <c r="F8167" s="3"/>
    </row>
    <row r="8168" spans="3:6" x14ac:dyDescent="0.3">
      <c r="C8168" s="3"/>
      <c r="D8168" s="3"/>
      <c r="E8168" s="3"/>
      <c r="F8168" s="3"/>
    </row>
    <row r="8169" spans="3:6" x14ac:dyDescent="0.3">
      <c r="C8169" s="3"/>
      <c r="D8169" s="3"/>
      <c r="E8169" s="3"/>
      <c r="F8169" s="3"/>
    </row>
    <row r="8170" spans="3:6" x14ac:dyDescent="0.3">
      <c r="C8170" s="3"/>
      <c r="D8170" s="3"/>
      <c r="E8170" s="3"/>
      <c r="F8170" s="3"/>
    </row>
    <row r="8171" spans="3:6" x14ac:dyDescent="0.3">
      <c r="C8171" s="3"/>
      <c r="D8171" s="3"/>
      <c r="E8171" s="3"/>
      <c r="F8171" s="3"/>
    </row>
    <row r="8172" spans="3:6" x14ac:dyDescent="0.3">
      <c r="C8172" s="3"/>
      <c r="D8172" s="3"/>
      <c r="E8172" s="3"/>
      <c r="F8172" s="3"/>
    </row>
    <row r="8173" spans="3:6" x14ac:dyDescent="0.3">
      <c r="C8173" s="3"/>
      <c r="D8173" s="3"/>
      <c r="E8173" s="3"/>
      <c r="F8173" s="3"/>
    </row>
    <row r="8174" spans="3:6" x14ac:dyDescent="0.3">
      <c r="C8174" s="3"/>
      <c r="D8174" s="3"/>
      <c r="E8174" s="3"/>
      <c r="F8174" s="3"/>
    </row>
    <row r="8175" spans="3:6" x14ac:dyDescent="0.3">
      <c r="C8175" s="3"/>
      <c r="D8175" s="3"/>
      <c r="E8175" s="3"/>
      <c r="F8175" s="3"/>
    </row>
    <row r="8176" spans="3:6" x14ac:dyDescent="0.3">
      <c r="C8176" s="3"/>
      <c r="D8176" s="3"/>
      <c r="E8176" s="3"/>
      <c r="F8176" s="3"/>
    </row>
    <row r="8177" spans="3:6" x14ac:dyDescent="0.3">
      <c r="C8177" s="3"/>
      <c r="D8177" s="3"/>
      <c r="E8177" s="3"/>
      <c r="F8177" s="3"/>
    </row>
    <row r="8178" spans="3:6" x14ac:dyDescent="0.3">
      <c r="C8178" s="3"/>
      <c r="D8178" s="3"/>
      <c r="E8178" s="3"/>
      <c r="F8178" s="3"/>
    </row>
    <row r="8179" spans="3:6" x14ac:dyDescent="0.3">
      <c r="C8179" s="3"/>
      <c r="D8179" s="3"/>
      <c r="E8179" s="3"/>
      <c r="F8179" s="3"/>
    </row>
    <row r="8180" spans="3:6" x14ac:dyDescent="0.3">
      <c r="C8180" s="3"/>
      <c r="D8180" s="3"/>
      <c r="E8180" s="3"/>
      <c r="F8180" s="3"/>
    </row>
    <row r="8181" spans="3:6" x14ac:dyDescent="0.3">
      <c r="C8181" s="3"/>
      <c r="D8181" s="3"/>
      <c r="E8181" s="3"/>
      <c r="F8181" s="3"/>
    </row>
    <row r="8182" spans="3:6" x14ac:dyDescent="0.3">
      <c r="C8182" s="3"/>
      <c r="D8182" s="3"/>
      <c r="E8182" s="3"/>
      <c r="F8182" s="3"/>
    </row>
    <row r="8183" spans="3:6" x14ac:dyDescent="0.3">
      <c r="C8183" s="3"/>
      <c r="D8183" s="3"/>
      <c r="E8183" s="3"/>
      <c r="F8183" s="3"/>
    </row>
    <row r="8184" spans="3:6" x14ac:dyDescent="0.3">
      <c r="C8184" s="3"/>
      <c r="D8184" s="3"/>
      <c r="E8184" s="3"/>
      <c r="F8184" s="3"/>
    </row>
    <row r="8185" spans="3:6" x14ac:dyDescent="0.3">
      <c r="C8185" s="3"/>
      <c r="D8185" s="3"/>
      <c r="E8185" s="3"/>
      <c r="F8185" s="3"/>
    </row>
    <row r="8186" spans="3:6" x14ac:dyDescent="0.3">
      <c r="C8186" s="3"/>
      <c r="D8186" s="3"/>
      <c r="E8186" s="3"/>
      <c r="F8186" s="3"/>
    </row>
    <row r="8187" spans="3:6" x14ac:dyDescent="0.3">
      <c r="C8187" s="3"/>
      <c r="D8187" s="3"/>
      <c r="E8187" s="3"/>
      <c r="F8187" s="3"/>
    </row>
    <row r="8188" spans="3:6" x14ac:dyDescent="0.3">
      <c r="C8188" s="3"/>
      <c r="D8188" s="3"/>
      <c r="E8188" s="3"/>
      <c r="F8188" s="3"/>
    </row>
    <row r="8189" spans="3:6" x14ac:dyDescent="0.3">
      <c r="C8189" s="3"/>
      <c r="D8189" s="3"/>
      <c r="E8189" s="3"/>
      <c r="F8189" s="3"/>
    </row>
    <row r="8190" spans="3:6" x14ac:dyDescent="0.3">
      <c r="C8190" s="3"/>
      <c r="D8190" s="3"/>
      <c r="E8190" s="3"/>
      <c r="F8190" s="3"/>
    </row>
    <row r="8191" spans="3:6" x14ac:dyDescent="0.3">
      <c r="C8191" s="3"/>
      <c r="D8191" s="3"/>
      <c r="E8191" s="3"/>
      <c r="F8191" s="3"/>
    </row>
    <row r="8192" spans="3:6" x14ac:dyDescent="0.3">
      <c r="C8192" s="3"/>
      <c r="D8192" s="3"/>
      <c r="E8192" s="3"/>
      <c r="F8192" s="3"/>
    </row>
    <row r="8193" spans="3:6" x14ac:dyDescent="0.3">
      <c r="C8193" s="3"/>
      <c r="D8193" s="3"/>
      <c r="E8193" s="3"/>
      <c r="F8193" s="3"/>
    </row>
    <row r="8194" spans="3:6" x14ac:dyDescent="0.3">
      <c r="C8194" s="3"/>
      <c r="D8194" s="3"/>
      <c r="E8194" s="3"/>
      <c r="F8194" s="3"/>
    </row>
    <row r="8195" spans="3:6" x14ac:dyDescent="0.3">
      <c r="C8195" s="3"/>
      <c r="D8195" s="3"/>
      <c r="E8195" s="3"/>
      <c r="F8195" s="3"/>
    </row>
    <row r="8196" spans="3:6" x14ac:dyDescent="0.3">
      <c r="C8196" s="3"/>
      <c r="D8196" s="3"/>
      <c r="E8196" s="3"/>
      <c r="F8196" s="3"/>
    </row>
    <row r="8197" spans="3:6" x14ac:dyDescent="0.3">
      <c r="C8197" s="3"/>
      <c r="D8197" s="3"/>
      <c r="E8197" s="3"/>
      <c r="F8197" s="3"/>
    </row>
    <row r="8198" spans="3:6" x14ac:dyDescent="0.3">
      <c r="C8198" s="3"/>
      <c r="D8198" s="3"/>
      <c r="E8198" s="3"/>
      <c r="F8198" s="3"/>
    </row>
    <row r="8199" spans="3:6" x14ac:dyDescent="0.3">
      <c r="C8199" s="3"/>
      <c r="D8199" s="3"/>
      <c r="E8199" s="3"/>
      <c r="F8199" s="3"/>
    </row>
    <row r="8200" spans="3:6" x14ac:dyDescent="0.3">
      <c r="C8200" s="3"/>
      <c r="D8200" s="3"/>
      <c r="E8200" s="3"/>
      <c r="F8200" s="3"/>
    </row>
    <row r="8201" spans="3:6" x14ac:dyDescent="0.3">
      <c r="C8201" s="3"/>
      <c r="D8201" s="3"/>
      <c r="E8201" s="3"/>
      <c r="F8201" s="3"/>
    </row>
    <row r="8202" spans="3:6" x14ac:dyDescent="0.3">
      <c r="C8202" s="3"/>
      <c r="D8202" s="3"/>
      <c r="E8202" s="3"/>
      <c r="F8202" s="3"/>
    </row>
    <row r="8203" spans="3:6" x14ac:dyDescent="0.3">
      <c r="C8203" s="3"/>
      <c r="D8203" s="3"/>
      <c r="E8203" s="3"/>
      <c r="F8203" s="3"/>
    </row>
    <row r="8204" spans="3:6" x14ac:dyDescent="0.3">
      <c r="C8204" s="3"/>
      <c r="D8204" s="3"/>
      <c r="E8204" s="3"/>
      <c r="F8204" s="3"/>
    </row>
    <row r="8205" spans="3:6" x14ac:dyDescent="0.3">
      <c r="C8205" s="3"/>
      <c r="D8205" s="3"/>
      <c r="E8205" s="3"/>
      <c r="F8205" s="3"/>
    </row>
    <row r="8206" spans="3:6" x14ac:dyDescent="0.3">
      <c r="C8206" s="3"/>
      <c r="D8206" s="3"/>
      <c r="E8206" s="3"/>
      <c r="F8206" s="3"/>
    </row>
    <row r="8207" spans="3:6" x14ac:dyDescent="0.3">
      <c r="C8207" s="3"/>
      <c r="D8207" s="3"/>
      <c r="E8207" s="3"/>
      <c r="F8207" s="3"/>
    </row>
    <row r="8208" spans="3:6" x14ac:dyDescent="0.3">
      <c r="C8208" s="3"/>
      <c r="D8208" s="3"/>
      <c r="E8208" s="3"/>
      <c r="F8208" s="3"/>
    </row>
    <row r="8209" spans="3:6" x14ac:dyDescent="0.3">
      <c r="C8209" s="3"/>
      <c r="D8209" s="3"/>
      <c r="E8209" s="3"/>
      <c r="F8209" s="3"/>
    </row>
    <row r="8210" spans="3:6" x14ac:dyDescent="0.3">
      <c r="C8210" s="3"/>
      <c r="D8210" s="3"/>
      <c r="E8210" s="3"/>
      <c r="F8210" s="3"/>
    </row>
    <row r="8211" spans="3:6" x14ac:dyDescent="0.3">
      <c r="C8211" s="3"/>
      <c r="D8211" s="3"/>
      <c r="E8211" s="3"/>
      <c r="F8211" s="3"/>
    </row>
    <row r="8212" spans="3:6" x14ac:dyDescent="0.3">
      <c r="C8212" s="3"/>
      <c r="D8212" s="3"/>
      <c r="E8212" s="3"/>
      <c r="F8212" s="3"/>
    </row>
    <row r="8213" spans="3:6" x14ac:dyDescent="0.3">
      <c r="C8213" s="3"/>
      <c r="D8213" s="3"/>
      <c r="E8213" s="3"/>
      <c r="F8213" s="3"/>
    </row>
    <row r="8214" spans="3:6" x14ac:dyDescent="0.3">
      <c r="C8214" s="3"/>
      <c r="D8214" s="3"/>
      <c r="E8214" s="3"/>
      <c r="F8214" s="3"/>
    </row>
    <row r="8215" spans="3:6" x14ac:dyDescent="0.3">
      <c r="C8215" s="3"/>
      <c r="D8215" s="3"/>
      <c r="E8215" s="3"/>
      <c r="F8215" s="3"/>
    </row>
    <row r="8216" spans="3:6" x14ac:dyDescent="0.3">
      <c r="C8216" s="3"/>
      <c r="D8216" s="3"/>
      <c r="E8216" s="3"/>
      <c r="F8216" s="3"/>
    </row>
    <row r="8217" spans="3:6" x14ac:dyDescent="0.3">
      <c r="C8217" s="3"/>
      <c r="D8217" s="3"/>
      <c r="E8217" s="3"/>
      <c r="F8217" s="3"/>
    </row>
    <row r="8218" spans="3:6" x14ac:dyDescent="0.3">
      <c r="C8218" s="3"/>
      <c r="D8218" s="3"/>
      <c r="E8218" s="3"/>
      <c r="F8218" s="3"/>
    </row>
    <row r="8219" spans="3:6" x14ac:dyDescent="0.3">
      <c r="C8219" s="3"/>
      <c r="D8219" s="3"/>
      <c r="E8219" s="3"/>
      <c r="F8219" s="3"/>
    </row>
    <row r="8220" spans="3:6" x14ac:dyDescent="0.3">
      <c r="C8220" s="3"/>
      <c r="D8220" s="3"/>
      <c r="E8220" s="3"/>
      <c r="F8220" s="3"/>
    </row>
    <row r="8221" spans="3:6" x14ac:dyDescent="0.3">
      <c r="C8221" s="3"/>
      <c r="D8221" s="3"/>
      <c r="E8221" s="3"/>
      <c r="F8221" s="3"/>
    </row>
    <row r="8222" spans="3:6" x14ac:dyDescent="0.3">
      <c r="C8222" s="3"/>
      <c r="D8222" s="3"/>
      <c r="E8222" s="3"/>
      <c r="F8222" s="3"/>
    </row>
    <row r="8223" spans="3:6" x14ac:dyDescent="0.3">
      <c r="C8223" s="3"/>
      <c r="D8223" s="3"/>
      <c r="E8223" s="3"/>
      <c r="F8223" s="3"/>
    </row>
    <row r="8224" spans="3:6" x14ac:dyDescent="0.3">
      <c r="C8224" s="3"/>
      <c r="D8224" s="3"/>
      <c r="E8224" s="3"/>
      <c r="F8224" s="3"/>
    </row>
    <row r="8225" spans="3:6" x14ac:dyDescent="0.3">
      <c r="C8225" s="3"/>
      <c r="D8225" s="3"/>
      <c r="E8225" s="3"/>
      <c r="F8225" s="3"/>
    </row>
    <row r="8226" spans="3:6" x14ac:dyDescent="0.3">
      <c r="C8226" s="3"/>
      <c r="D8226" s="3"/>
      <c r="E8226" s="3"/>
      <c r="F8226" s="3"/>
    </row>
    <row r="8227" spans="3:6" x14ac:dyDescent="0.3">
      <c r="C8227" s="3"/>
      <c r="D8227" s="3"/>
      <c r="E8227" s="3"/>
      <c r="F8227" s="3"/>
    </row>
    <row r="8228" spans="3:6" x14ac:dyDescent="0.3">
      <c r="C8228" s="3"/>
      <c r="D8228" s="3"/>
      <c r="E8228" s="3"/>
      <c r="F8228" s="3"/>
    </row>
    <row r="8229" spans="3:6" x14ac:dyDescent="0.3">
      <c r="C8229" s="3"/>
      <c r="D8229" s="3"/>
      <c r="E8229" s="3"/>
      <c r="F8229" s="3"/>
    </row>
    <row r="8230" spans="3:6" x14ac:dyDescent="0.3">
      <c r="C8230" s="3"/>
      <c r="D8230" s="3"/>
      <c r="E8230" s="3"/>
      <c r="F8230" s="3"/>
    </row>
    <row r="8231" spans="3:6" x14ac:dyDescent="0.3">
      <c r="C8231" s="3"/>
      <c r="D8231" s="3"/>
      <c r="E8231" s="3"/>
      <c r="F8231" s="3"/>
    </row>
    <row r="8232" spans="3:6" x14ac:dyDescent="0.3">
      <c r="C8232" s="3"/>
      <c r="D8232" s="3"/>
      <c r="E8232" s="3"/>
      <c r="F8232" s="3"/>
    </row>
    <row r="8233" spans="3:6" x14ac:dyDescent="0.3">
      <c r="C8233" s="3"/>
      <c r="D8233" s="3"/>
      <c r="E8233" s="3"/>
      <c r="F8233" s="3"/>
    </row>
    <row r="8234" spans="3:6" x14ac:dyDescent="0.3">
      <c r="C8234" s="3"/>
      <c r="D8234" s="3"/>
      <c r="E8234" s="3"/>
      <c r="F8234" s="3"/>
    </row>
    <row r="8235" spans="3:6" x14ac:dyDescent="0.3">
      <c r="C8235" s="3"/>
      <c r="D8235" s="3"/>
      <c r="E8235" s="3"/>
      <c r="F8235" s="3"/>
    </row>
    <row r="8236" spans="3:6" x14ac:dyDescent="0.3">
      <c r="C8236" s="3"/>
      <c r="D8236" s="3"/>
      <c r="E8236" s="3"/>
      <c r="F8236" s="3"/>
    </row>
    <row r="8237" spans="3:6" x14ac:dyDescent="0.3">
      <c r="C8237" s="3"/>
      <c r="D8237" s="3"/>
      <c r="E8237" s="3"/>
      <c r="F8237" s="3"/>
    </row>
    <row r="8238" spans="3:6" x14ac:dyDescent="0.3">
      <c r="C8238" s="3"/>
      <c r="D8238" s="3"/>
      <c r="E8238" s="3"/>
      <c r="F8238" s="3"/>
    </row>
    <row r="8239" spans="3:6" x14ac:dyDescent="0.3">
      <c r="C8239" s="3"/>
      <c r="D8239" s="3"/>
      <c r="E8239" s="3"/>
      <c r="F8239" s="3"/>
    </row>
    <row r="8240" spans="3:6" x14ac:dyDescent="0.3">
      <c r="C8240" s="3"/>
      <c r="D8240" s="3"/>
      <c r="E8240" s="3"/>
      <c r="F8240" s="3"/>
    </row>
    <row r="8241" spans="3:6" x14ac:dyDescent="0.3">
      <c r="C8241" s="3"/>
      <c r="D8241" s="3"/>
      <c r="E8241" s="3"/>
      <c r="F8241" s="3"/>
    </row>
    <row r="8242" spans="3:6" x14ac:dyDescent="0.3">
      <c r="C8242" s="3"/>
      <c r="D8242" s="3"/>
      <c r="E8242" s="3"/>
      <c r="F8242" s="3"/>
    </row>
    <row r="8243" spans="3:6" x14ac:dyDescent="0.3">
      <c r="C8243" s="3"/>
      <c r="D8243" s="3"/>
      <c r="E8243" s="3"/>
      <c r="F8243" s="3"/>
    </row>
    <row r="8244" spans="3:6" x14ac:dyDescent="0.3">
      <c r="C8244" s="3"/>
      <c r="D8244" s="3"/>
      <c r="E8244" s="3"/>
      <c r="F8244" s="3"/>
    </row>
    <row r="8245" spans="3:6" x14ac:dyDescent="0.3">
      <c r="C8245" s="3"/>
      <c r="D8245" s="3"/>
      <c r="E8245" s="3"/>
      <c r="F8245" s="3"/>
    </row>
    <row r="8246" spans="3:6" x14ac:dyDescent="0.3">
      <c r="C8246" s="3"/>
      <c r="D8246" s="3"/>
      <c r="E8246" s="3"/>
      <c r="F8246" s="3"/>
    </row>
    <row r="8247" spans="3:6" x14ac:dyDescent="0.3">
      <c r="C8247" s="3"/>
      <c r="D8247" s="3"/>
      <c r="E8247" s="3"/>
      <c r="F8247" s="3"/>
    </row>
    <row r="8248" spans="3:6" x14ac:dyDescent="0.3">
      <c r="C8248" s="3"/>
      <c r="D8248" s="3"/>
      <c r="E8248" s="3"/>
      <c r="F8248" s="3"/>
    </row>
    <row r="8249" spans="3:6" x14ac:dyDescent="0.3">
      <c r="C8249" s="3"/>
      <c r="D8249" s="3"/>
      <c r="E8249" s="3"/>
      <c r="F8249" s="3"/>
    </row>
    <row r="8250" spans="3:6" x14ac:dyDescent="0.3">
      <c r="C8250" s="3"/>
      <c r="D8250" s="3"/>
      <c r="E8250" s="3"/>
      <c r="F8250" s="3"/>
    </row>
    <row r="8251" spans="3:6" x14ac:dyDescent="0.3">
      <c r="C8251" s="3"/>
      <c r="D8251" s="3"/>
      <c r="E8251" s="3"/>
      <c r="F8251" s="3"/>
    </row>
    <row r="8252" spans="3:6" x14ac:dyDescent="0.3">
      <c r="C8252" s="3"/>
      <c r="D8252" s="3"/>
      <c r="E8252" s="3"/>
      <c r="F8252" s="3"/>
    </row>
    <row r="8253" spans="3:6" x14ac:dyDescent="0.3">
      <c r="C8253" s="3"/>
      <c r="D8253" s="3"/>
      <c r="E8253" s="3"/>
      <c r="F8253" s="3"/>
    </row>
    <row r="8254" spans="3:6" x14ac:dyDescent="0.3">
      <c r="C8254" s="3"/>
      <c r="D8254" s="3"/>
      <c r="E8254" s="3"/>
      <c r="F8254" s="3"/>
    </row>
    <row r="8255" spans="3:6" x14ac:dyDescent="0.3">
      <c r="C8255" s="3"/>
      <c r="D8255" s="3"/>
      <c r="E8255" s="3"/>
      <c r="F8255" s="3"/>
    </row>
    <row r="8256" spans="3:6" x14ac:dyDescent="0.3">
      <c r="C8256" s="3"/>
      <c r="D8256" s="3"/>
      <c r="E8256" s="3"/>
      <c r="F8256" s="3"/>
    </row>
    <row r="8257" spans="3:6" x14ac:dyDescent="0.3">
      <c r="C8257" s="3"/>
      <c r="D8257" s="3"/>
      <c r="E8257" s="3"/>
      <c r="F8257" s="3"/>
    </row>
    <row r="8258" spans="3:6" x14ac:dyDescent="0.3">
      <c r="C8258" s="3"/>
      <c r="D8258" s="3"/>
      <c r="E8258" s="3"/>
      <c r="F8258" s="3"/>
    </row>
    <row r="8259" spans="3:6" x14ac:dyDescent="0.3">
      <c r="C8259" s="3"/>
      <c r="D8259" s="3"/>
      <c r="E8259" s="3"/>
      <c r="F8259" s="3"/>
    </row>
    <row r="8260" spans="3:6" x14ac:dyDescent="0.3">
      <c r="C8260" s="3"/>
      <c r="D8260" s="3"/>
      <c r="E8260" s="3"/>
      <c r="F8260" s="3"/>
    </row>
    <row r="8261" spans="3:6" x14ac:dyDescent="0.3">
      <c r="C8261" s="3"/>
      <c r="D8261" s="3"/>
      <c r="E8261" s="3"/>
      <c r="F8261" s="3"/>
    </row>
    <row r="8262" spans="3:6" x14ac:dyDescent="0.3">
      <c r="C8262" s="3"/>
      <c r="D8262" s="3"/>
      <c r="E8262" s="3"/>
      <c r="F8262" s="3"/>
    </row>
    <row r="8263" spans="3:6" x14ac:dyDescent="0.3">
      <c r="C8263" s="3"/>
      <c r="D8263" s="3"/>
      <c r="E8263" s="3"/>
      <c r="F8263" s="3"/>
    </row>
    <row r="8264" spans="3:6" x14ac:dyDescent="0.3">
      <c r="C8264" s="3"/>
      <c r="D8264" s="3"/>
      <c r="E8264" s="3"/>
      <c r="F8264" s="3"/>
    </row>
    <row r="8265" spans="3:6" x14ac:dyDescent="0.3">
      <c r="C8265" s="3"/>
      <c r="D8265" s="3"/>
      <c r="E8265" s="3"/>
      <c r="F8265" s="3"/>
    </row>
    <row r="8266" spans="3:6" x14ac:dyDescent="0.3">
      <c r="C8266" s="3"/>
      <c r="D8266" s="3"/>
      <c r="E8266" s="3"/>
      <c r="F8266" s="3"/>
    </row>
    <row r="8267" spans="3:6" x14ac:dyDescent="0.3">
      <c r="C8267" s="3"/>
      <c r="D8267" s="3"/>
      <c r="E8267" s="3"/>
      <c r="F8267" s="3"/>
    </row>
    <row r="8268" spans="3:6" x14ac:dyDescent="0.3">
      <c r="C8268" s="3"/>
      <c r="D8268" s="3"/>
      <c r="E8268" s="3"/>
      <c r="F8268" s="3"/>
    </row>
    <row r="8269" spans="3:6" x14ac:dyDescent="0.3">
      <c r="C8269" s="3"/>
      <c r="D8269" s="3"/>
      <c r="E8269" s="3"/>
      <c r="F8269" s="3"/>
    </row>
    <row r="8270" spans="3:6" x14ac:dyDescent="0.3">
      <c r="C8270" s="3"/>
      <c r="D8270" s="3"/>
      <c r="E8270" s="3"/>
      <c r="F8270" s="3"/>
    </row>
    <row r="8271" spans="3:6" x14ac:dyDescent="0.3">
      <c r="C8271" s="3"/>
      <c r="D8271" s="3"/>
      <c r="E8271" s="3"/>
      <c r="F8271" s="3"/>
    </row>
    <row r="8272" spans="3:6" x14ac:dyDescent="0.3">
      <c r="C8272" s="3"/>
      <c r="D8272" s="3"/>
      <c r="E8272" s="3"/>
      <c r="F8272" s="3"/>
    </row>
    <row r="8273" spans="3:6" x14ac:dyDescent="0.3">
      <c r="C8273" s="3"/>
      <c r="D8273" s="3"/>
      <c r="E8273" s="3"/>
      <c r="F8273" s="3"/>
    </row>
    <row r="8274" spans="3:6" x14ac:dyDescent="0.3">
      <c r="C8274" s="3"/>
      <c r="D8274" s="3"/>
      <c r="E8274" s="3"/>
      <c r="F8274" s="3"/>
    </row>
    <row r="8275" spans="3:6" x14ac:dyDescent="0.3">
      <c r="C8275" s="3"/>
      <c r="D8275" s="3"/>
      <c r="E8275" s="3"/>
      <c r="F8275" s="3"/>
    </row>
    <row r="8276" spans="3:6" x14ac:dyDescent="0.3">
      <c r="C8276" s="3"/>
      <c r="D8276" s="3"/>
      <c r="E8276" s="3"/>
      <c r="F8276" s="3"/>
    </row>
    <row r="8277" spans="3:6" x14ac:dyDescent="0.3">
      <c r="C8277" s="3"/>
      <c r="D8277" s="3"/>
      <c r="E8277" s="3"/>
      <c r="F8277" s="3"/>
    </row>
    <row r="8278" spans="3:6" x14ac:dyDescent="0.3">
      <c r="C8278" s="3"/>
      <c r="D8278" s="3"/>
      <c r="E8278" s="3"/>
      <c r="F8278" s="3"/>
    </row>
    <row r="8279" spans="3:6" x14ac:dyDescent="0.3">
      <c r="C8279" s="3"/>
      <c r="D8279" s="3"/>
      <c r="E8279" s="3"/>
      <c r="F8279" s="3"/>
    </row>
    <row r="8280" spans="3:6" x14ac:dyDescent="0.3">
      <c r="C8280" s="3"/>
      <c r="D8280" s="3"/>
      <c r="E8280" s="3"/>
      <c r="F8280" s="3"/>
    </row>
    <row r="8281" spans="3:6" x14ac:dyDescent="0.3">
      <c r="C8281" s="3"/>
      <c r="D8281" s="3"/>
      <c r="E8281" s="3"/>
      <c r="F8281" s="3"/>
    </row>
    <row r="8282" spans="3:6" x14ac:dyDescent="0.3">
      <c r="C8282" s="3"/>
      <c r="D8282" s="3"/>
      <c r="E8282" s="3"/>
      <c r="F8282" s="3"/>
    </row>
    <row r="8283" spans="3:6" x14ac:dyDescent="0.3">
      <c r="C8283" s="3"/>
      <c r="D8283" s="3"/>
      <c r="E8283" s="3"/>
      <c r="F8283" s="3"/>
    </row>
    <row r="8284" spans="3:6" x14ac:dyDescent="0.3">
      <c r="C8284" s="3"/>
      <c r="D8284" s="3"/>
      <c r="E8284" s="3"/>
      <c r="F8284" s="3"/>
    </row>
    <row r="8285" spans="3:6" x14ac:dyDescent="0.3">
      <c r="C8285" s="3"/>
      <c r="D8285" s="3"/>
      <c r="E8285" s="3"/>
      <c r="F8285" s="3"/>
    </row>
    <row r="8286" spans="3:6" x14ac:dyDescent="0.3">
      <c r="C8286" s="3"/>
      <c r="D8286" s="3"/>
      <c r="E8286" s="3"/>
      <c r="F8286" s="3"/>
    </row>
    <row r="8287" spans="3:6" x14ac:dyDescent="0.3">
      <c r="C8287" s="3"/>
      <c r="D8287" s="3"/>
      <c r="E8287" s="3"/>
      <c r="F8287" s="3"/>
    </row>
    <row r="8288" spans="3:6" x14ac:dyDescent="0.3">
      <c r="C8288" s="3"/>
      <c r="D8288" s="3"/>
      <c r="E8288" s="3"/>
      <c r="F8288" s="3"/>
    </row>
    <row r="8289" spans="3:6" x14ac:dyDescent="0.3">
      <c r="C8289" s="3"/>
      <c r="D8289" s="3"/>
      <c r="E8289" s="3"/>
      <c r="F8289" s="3"/>
    </row>
    <row r="8290" spans="3:6" x14ac:dyDescent="0.3">
      <c r="C8290" s="3"/>
      <c r="D8290" s="3"/>
      <c r="E8290" s="3"/>
      <c r="F8290" s="3"/>
    </row>
    <row r="8291" spans="3:6" x14ac:dyDescent="0.3">
      <c r="C8291" s="3"/>
      <c r="D8291" s="3"/>
      <c r="E8291" s="3"/>
      <c r="F8291" s="3"/>
    </row>
    <row r="8292" spans="3:6" x14ac:dyDescent="0.3">
      <c r="C8292" s="3"/>
      <c r="D8292" s="3"/>
      <c r="E8292" s="3"/>
      <c r="F8292" s="3"/>
    </row>
    <row r="8293" spans="3:6" x14ac:dyDescent="0.3">
      <c r="C8293" s="3"/>
      <c r="D8293" s="3"/>
      <c r="E8293" s="3"/>
      <c r="F8293" s="3"/>
    </row>
    <row r="8294" spans="3:6" x14ac:dyDescent="0.3">
      <c r="C8294" s="3"/>
      <c r="D8294" s="3"/>
      <c r="E8294" s="3"/>
      <c r="F8294" s="3"/>
    </row>
    <row r="8295" spans="3:6" x14ac:dyDescent="0.3">
      <c r="C8295" s="3"/>
      <c r="D8295" s="3"/>
      <c r="E8295" s="3"/>
      <c r="F8295" s="3"/>
    </row>
    <row r="8296" spans="3:6" x14ac:dyDescent="0.3">
      <c r="C8296" s="3"/>
      <c r="D8296" s="3"/>
      <c r="E8296" s="3"/>
      <c r="F8296" s="3"/>
    </row>
    <row r="8297" spans="3:6" x14ac:dyDescent="0.3">
      <c r="C8297" s="3"/>
      <c r="D8297" s="3"/>
      <c r="E8297" s="3"/>
      <c r="F8297" s="3"/>
    </row>
    <row r="8298" spans="3:6" x14ac:dyDescent="0.3">
      <c r="C8298" s="3"/>
      <c r="D8298" s="3"/>
      <c r="E8298" s="3"/>
      <c r="F8298" s="3"/>
    </row>
    <row r="8299" spans="3:6" x14ac:dyDescent="0.3">
      <c r="C8299" s="3"/>
      <c r="D8299" s="3"/>
      <c r="E8299" s="3"/>
      <c r="F8299" s="3"/>
    </row>
    <row r="8300" spans="3:6" x14ac:dyDescent="0.3">
      <c r="C8300" s="3"/>
      <c r="D8300" s="3"/>
      <c r="E8300" s="3"/>
      <c r="F8300" s="3"/>
    </row>
    <row r="8301" spans="3:6" x14ac:dyDescent="0.3">
      <c r="C8301" s="3"/>
      <c r="D8301" s="3"/>
      <c r="E8301" s="3"/>
      <c r="F8301" s="3"/>
    </row>
    <row r="8302" spans="3:6" x14ac:dyDescent="0.3">
      <c r="C8302" s="3"/>
      <c r="D8302" s="3"/>
      <c r="E8302" s="3"/>
      <c r="F8302" s="3"/>
    </row>
    <row r="8303" spans="3:6" x14ac:dyDescent="0.3">
      <c r="C8303" s="3"/>
      <c r="D8303" s="3"/>
      <c r="E8303" s="3"/>
      <c r="F8303" s="3"/>
    </row>
    <row r="8304" spans="3:6" x14ac:dyDescent="0.3">
      <c r="C8304" s="3"/>
      <c r="D8304" s="3"/>
      <c r="E8304" s="3"/>
      <c r="F8304" s="3"/>
    </row>
    <row r="8305" spans="3:6" x14ac:dyDescent="0.3">
      <c r="C8305" s="3"/>
      <c r="D8305" s="3"/>
      <c r="E8305" s="3"/>
      <c r="F8305" s="3"/>
    </row>
    <row r="8306" spans="3:6" x14ac:dyDescent="0.3">
      <c r="C8306" s="3"/>
      <c r="D8306" s="3"/>
      <c r="E8306" s="3"/>
      <c r="F8306" s="3"/>
    </row>
    <row r="8307" spans="3:6" x14ac:dyDescent="0.3">
      <c r="C8307" s="3"/>
      <c r="D8307" s="3"/>
      <c r="E8307" s="3"/>
      <c r="F8307" s="3"/>
    </row>
    <row r="8308" spans="3:6" x14ac:dyDescent="0.3">
      <c r="C8308" s="3"/>
      <c r="D8308" s="3"/>
      <c r="E8308" s="3"/>
      <c r="F8308" s="3"/>
    </row>
    <row r="8309" spans="3:6" x14ac:dyDescent="0.3">
      <c r="C8309" s="3"/>
      <c r="D8309" s="3"/>
      <c r="E8309" s="3"/>
      <c r="F8309" s="3"/>
    </row>
    <row r="8310" spans="3:6" x14ac:dyDescent="0.3">
      <c r="C8310" s="3"/>
      <c r="D8310" s="3"/>
      <c r="E8310" s="3"/>
      <c r="F8310" s="3"/>
    </row>
    <row r="8311" spans="3:6" x14ac:dyDescent="0.3">
      <c r="C8311" s="3"/>
      <c r="D8311" s="3"/>
      <c r="E8311" s="3"/>
      <c r="F8311" s="3"/>
    </row>
    <row r="8312" spans="3:6" x14ac:dyDescent="0.3">
      <c r="C8312" s="3"/>
      <c r="D8312" s="3"/>
      <c r="E8312" s="3"/>
      <c r="F8312" s="3"/>
    </row>
    <row r="8313" spans="3:6" x14ac:dyDescent="0.3">
      <c r="C8313" s="3"/>
      <c r="D8313" s="3"/>
      <c r="E8313" s="3"/>
      <c r="F8313" s="3"/>
    </row>
    <row r="8314" spans="3:6" x14ac:dyDescent="0.3">
      <c r="C8314" s="3"/>
      <c r="D8314" s="3"/>
      <c r="E8314" s="3"/>
      <c r="F8314" s="3"/>
    </row>
    <row r="8315" spans="3:6" x14ac:dyDescent="0.3">
      <c r="C8315" s="3"/>
      <c r="D8315" s="3"/>
      <c r="E8315" s="3"/>
      <c r="F8315" s="3"/>
    </row>
    <row r="8316" spans="3:6" x14ac:dyDescent="0.3">
      <c r="C8316" s="3"/>
      <c r="D8316" s="3"/>
      <c r="E8316" s="3"/>
      <c r="F8316" s="3"/>
    </row>
    <row r="8317" spans="3:6" x14ac:dyDescent="0.3">
      <c r="C8317" s="3"/>
      <c r="D8317" s="3"/>
      <c r="E8317" s="3"/>
      <c r="F8317" s="3"/>
    </row>
    <row r="8318" spans="3:6" x14ac:dyDescent="0.3">
      <c r="C8318" s="3"/>
      <c r="D8318" s="3"/>
      <c r="E8318" s="3"/>
      <c r="F8318" s="3"/>
    </row>
    <row r="8319" spans="3:6" x14ac:dyDescent="0.3">
      <c r="C8319" s="3"/>
      <c r="D8319" s="3"/>
      <c r="E8319" s="3"/>
      <c r="F8319" s="3"/>
    </row>
    <row r="8320" spans="3:6" x14ac:dyDescent="0.3">
      <c r="C8320" s="3"/>
      <c r="D8320" s="3"/>
      <c r="E8320" s="3"/>
      <c r="F8320" s="3"/>
    </row>
    <row r="8321" spans="3:6" x14ac:dyDescent="0.3">
      <c r="C8321" s="3"/>
      <c r="D8321" s="3"/>
      <c r="E8321" s="3"/>
      <c r="F8321" s="3"/>
    </row>
    <row r="8322" spans="3:6" x14ac:dyDescent="0.3">
      <c r="C8322" s="3"/>
      <c r="D8322" s="3"/>
      <c r="E8322" s="3"/>
      <c r="F8322" s="3"/>
    </row>
    <row r="8323" spans="3:6" x14ac:dyDescent="0.3">
      <c r="C8323" s="3"/>
      <c r="D8323" s="3"/>
      <c r="E8323" s="3"/>
      <c r="F8323" s="3"/>
    </row>
    <row r="8324" spans="3:6" x14ac:dyDescent="0.3">
      <c r="C8324" s="3"/>
      <c r="D8324" s="3"/>
      <c r="E8324" s="3"/>
      <c r="F8324" s="3"/>
    </row>
    <row r="8325" spans="3:6" x14ac:dyDescent="0.3">
      <c r="C8325" s="3"/>
      <c r="D8325" s="3"/>
      <c r="E8325" s="3"/>
      <c r="F8325" s="3"/>
    </row>
    <row r="8326" spans="3:6" x14ac:dyDescent="0.3">
      <c r="C8326" s="3"/>
      <c r="D8326" s="3"/>
      <c r="E8326" s="3"/>
      <c r="F8326" s="3"/>
    </row>
    <row r="8327" spans="3:6" x14ac:dyDescent="0.3">
      <c r="C8327" s="3"/>
      <c r="D8327" s="3"/>
      <c r="E8327" s="3"/>
      <c r="F8327" s="3"/>
    </row>
    <row r="8328" spans="3:6" x14ac:dyDescent="0.3">
      <c r="C8328" s="3"/>
      <c r="D8328" s="3"/>
      <c r="E8328" s="3"/>
      <c r="F8328" s="3"/>
    </row>
    <row r="8329" spans="3:6" x14ac:dyDescent="0.3">
      <c r="C8329" s="3"/>
      <c r="D8329" s="3"/>
      <c r="E8329" s="3"/>
      <c r="F8329" s="3"/>
    </row>
    <row r="8330" spans="3:6" x14ac:dyDescent="0.3">
      <c r="C8330" s="3"/>
      <c r="D8330" s="3"/>
      <c r="E8330" s="3"/>
      <c r="F8330" s="3"/>
    </row>
    <row r="8331" spans="3:6" x14ac:dyDescent="0.3">
      <c r="C8331" s="3"/>
      <c r="D8331" s="3"/>
      <c r="E8331" s="3"/>
      <c r="F8331" s="3"/>
    </row>
    <row r="8332" spans="3:6" x14ac:dyDescent="0.3">
      <c r="C8332" s="3"/>
      <c r="D8332" s="3"/>
      <c r="E8332" s="3"/>
      <c r="F8332" s="3"/>
    </row>
    <row r="8333" spans="3:6" x14ac:dyDescent="0.3">
      <c r="C8333" s="3"/>
      <c r="D8333" s="3"/>
      <c r="E8333" s="3"/>
      <c r="F8333" s="3"/>
    </row>
    <row r="8334" spans="3:6" x14ac:dyDescent="0.3">
      <c r="C8334" s="3"/>
      <c r="D8334" s="3"/>
      <c r="E8334" s="3"/>
      <c r="F8334" s="3"/>
    </row>
    <row r="8335" spans="3:6" x14ac:dyDescent="0.3">
      <c r="C8335" s="3"/>
      <c r="D8335" s="3"/>
      <c r="E8335" s="3"/>
      <c r="F8335" s="3"/>
    </row>
    <row r="8336" spans="3:6" x14ac:dyDescent="0.3">
      <c r="C8336" s="3"/>
      <c r="D8336" s="3"/>
      <c r="E8336" s="3"/>
      <c r="F8336" s="3"/>
    </row>
    <row r="8337" spans="3:6" x14ac:dyDescent="0.3">
      <c r="C8337" s="3"/>
      <c r="D8337" s="3"/>
      <c r="E8337" s="3"/>
      <c r="F8337" s="3"/>
    </row>
    <row r="8338" spans="3:6" x14ac:dyDescent="0.3">
      <c r="C8338" s="3"/>
      <c r="D8338" s="3"/>
      <c r="E8338" s="3"/>
      <c r="F8338" s="3"/>
    </row>
    <row r="8339" spans="3:6" x14ac:dyDescent="0.3">
      <c r="C8339" s="3"/>
      <c r="D8339" s="3"/>
      <c r="E8339" s="3"/>
      <c r="F8339" s="3"/>
    </row>
    <row r="8340" spans="3:6" x14ac:dyDescent="0.3">
      <c r="C8340" s="3"/>
      <c r="D8340" s="3"/>
      <c r="E8340" s="3"/>
      <c r="F8340" s="3"/>
    </row>
    <row r="8341" spans="3:6" x14ac:dyDescent="0.3">
      <c r="C8341" s="3"/>
      <c r="D8341" s="3"/>
      <c r="E8341" s="3"/>
      <c r="F8341" s="3"/>
    </row>
    <row r="8342" spans="3:6" x14ac:dyDescent="0.3">
      <c r="C8342" s="3"/>
      <c r="D8342" s="3"/>
      <c r="E8342" s="3"/>
      <c r="F8342" s="3"/>
    </row>
    <row r="8343" spans="3:6" x14ac:dyDescent="0.3">
      <c r="C8343" s="3"/>
      <c r="D8343" s="3"/>
      <c r="E8343" s="3"/>
      <c r="F8343" s="3"/>
    </row>
    <row r="8344" spans="3:6" x14ac:dyDescent="0.3">
      <c r="C8344" s="3"/>
      <c r="D8344" s="3"/>
      <c r="E8344" s="3"/>
      <c r="F8344" s="3"/>
    </row>
    <row r="8345" spans="3:6" x14ac:dyDescent="0.3">
      <c r="C8345" s="3"/>
      <c r="D8345" s="3"/>
      <c r="E8345" s="3"/>
      <c r="F8345" s="3"/>
    </row>
    <row r="8346" spans="3:6" x14ac:dyDescent="0.3">
      <c r="C8346" s="3"/>
      <c r="D8346" s="3"/>
      <c r="E8346" s="3"/>
      <c r="F8346" s="3"/>
    </row>
    <row r="8347" spans="3:6" x14ac:dyDescent="0.3">
      <c r="C8347" s="3"/>
      <c r="D8347" s="3"/>
      <c r="E8347" s="3"/>
      <c r="F8347" s="3"/>
    </row>
    <row r="8348" spans="3:6" x14ac:dyDescent="0.3">
      <c r="C8348" s="3"/>
      <c r="D8348" s="3"/>
      <c r="E8348" s="3"/>
      <c r="F8348" s="3"/>
    </row>
    <row r="8349" spans="3:6" x14ac:dyDescent="0.3">
      <c r="C8349" s="3"/>
      <c r="D8349" s="3"/>
      <c r="E8349" s="3"/>
      <c r="F8349" s="3"/>
    </row>
    <row r="8350" spans="3:6" x14ac:dyDescent="0.3">
      <c r="C8350" s="3"/>
      <c r="D8350" s="3"/>
      <c r="E8350" s="3"/>
      <c r="F8350" s="3"/>
    </row>
    <row r="8351" spans="3:6" x14ac:dyDescent="0.3">
      <c r="C8351" s="3"/>
      <c r="D8351" s="3"/>
      <c r="E8351" s="3"/>
      <c r="F8351" s="3"/>
    </row>
    <row r="8352" spans="3:6" x14ac:dyDescent="0.3">
      <c r="C8352" s="3"/>
      <c r="D8352" s="3"/>
      <c r="E8352" s="3"/>
      <c r="F8352" s="3"/>
    </row>
    <row r="8353" spans="3:6" x14ac:dyDescent="0.3">
      <c r="C8353" s="3"/>
      <c r="D8353" s="3"/>
      <c r="E8353" s="3"/>
      <c r="F8353" s="3"/>
    </row>
    <row r="8354" spans="3:6" x14ac:dyDescent="0.3">
      <c r="C8354" s="3"/>
      <c r="D8354" s="3"/>
      <c r="E8354" s="3"/>
      <c r="F8354" s="3"/>
    </row>
    <row r="8355" spans="3:6" x14ac:dyDescent="0.3">
      <c r="C8355" s="3"/>
      <c r="D8355" s="3"/>
      <c r="E8355" s="3"/>
      <c r="F8355" s="3"/>
    </row>
    <row r="8356" spans="3:6" x14ac:dyDescent="0.3">
      <c r="C8356" s="3"/>
      <c r="D8356" s="3"/>
      <c r="E8356" s="3"/>
      <c r="F8356" s="3"/>
    </row>
    <row r="8357" spans="3:6" x14ac:dyDescent="0.3">
      <c r="C8357" s="3"/>
      <c r="D8357" s="3"/>
      <c r="E8357" s="3"/>
      <c r="F8357" s="3"/>
    </row>
    <row r="8358" spans="3:6" x14ac:dyDescent="0.3">
      <c r="C8358" s="3"/>
      <c r="D8358" s="3"/>
      <c r="E8358" s="3"/>
      <c r="F8358" s="3"/>
    </row>
    <row r="8359" spans="3:6" x14ac:dyDescent="0.3">
      <c r="C8359" s="3"/>
      <c r="D8359" s="3"/>
      <c r="E8359" s="3"/>
      <c r="F8359" s="3"/>
    </row>
    <row r="8360" spans="3:6" x14ac:dyDescent="0.3">
      <c r="C8360" s="3"/>
      <c r="D8360" s="3"/>
      <c r="E8360" s="3"/>
      <c r="F8360" s="3"/>
    </row>
    <row r="8361" spans="3:6" x14ac:dyDescent="0.3">
      <c r="C8361" s="3"/>
      <c r="D8361" s="3"/>
      <c r="E8361" s="3"/>
      <c r="F8361" s="3"/>
    </row>
    <row r="8362" spans="3:6" x14ac:dyDescent="0.3">
      <c r="C8362" s="3"/>
      <c r="D8362" s="3"/>
      <c r="E8362" s="3"/>
      <c r="F8362" s="3"/>
    </row>
    <row r="8363" spans="3:6" x14ac:dyDescent="0.3">
      <c r="C8363" s="3"/>
      <c r="D8363" s="3"/>
      <c r="E8363" s="3"/>
      <c r="F8363" s="3"/>
    </row>
    <row r="8364" spans="3:6" x14ac:dyDescent="0.3">
      <c r="C8364" s="3"/>
      <c r="D8364" s="3"/>
      <c r="E8364" s="3"/>
      <c r="F8364" s="3"/>
    </row>
    <row r="8365" spans="3:6" x14ac:dyDescent="0.3">
      <c r="C8365" s="3"/>
      <c r="D8365" s="3"/>
      <c r="E8365" s="3"/>
      <c r="F8365" s="3"/>
    </row>
    <row r="8366" spans="3:6" x14ac:dyDescent="0.3">
      <c r="C8366" s="3"/>
      <c r="D8366" s="3"/>
      <c r="E8366" s="3"/>
      <c r="F8366" s="3"/>
    </row>
    <row r="8367" spans="3:6" x14ac:dyDescent="0.3">
      <c r="C8367" s="3"/>
      <c r="D8367" s="3"/>
      <c r="E8367" s="3"/>
      <c r="F8367" s="3"/>
    </row>
    <row r="8368" spans="3:6" x14ac:dyDescent="0.3">
      <c r="C8368" s="3"/>
      <c r="D8368" s="3"/>
      <c r="E8368" s="3"/>
      <c r="F8368" s="3"/>
    </row>
    <row r="8369" spans="3:6" x14ac:dyDescent="0.3">
      <c r="C8369" s="3"/>
      <c r="D8369" s="3"/>
      <c r="E8369" s="3"/>
      <c r="F8369" s="3"/>
    </row>
    <row r="8370" spans="3:6" x14ac:dyDescent="0.3">
      <c r="C8370" s="3"/>
      <c r="D8370" s="3"/>
      <c r="E8370" s="3"/>
      <c r="F8370" s="3"/>
    </row>
    <row r="8371" spans="3:6" x14ac:dyDescent="0.3">
      <c r="C8371" s="3"/>
      <c r="D8371" s="3"/>
      <c r="E8371" s="3"/>
      <c r="F8371" s="3"/>
    </row>
    <row r="8372" spans="3:6" x14ac:dyDescent="0.3">
      <c r="C8372" s="3"/>
      <c r="D8372" s="3"/>
      <c r="E8372" s="3"/>
      <c r="F8372" s="3"/>
    </row>
    <row r="8373" spans="3:6" x14ac:dyDescent="0.3">
      <c r="C8373" s="3"/>
      <c r="D8373" s="3"/>
      <c r="E8373" s="3"/>
      <c r="F8373" s="3"/>
    </row>
    <row r="8374" spans="3:6" x14ac:dyDescent="0.3">
      <c r="C8374" s="3"/>
      <c r="D8374" s="3"/>
      <c r="E8374" s="3"/>
      <c r="F8374" s="3"/>
    </row>
    <row r="8375" spans="3:6" x14ac:dyDescent="0.3">
      <c r="C8375" s="3"/>
      <c r="D8375" s="3"/>
      <c r="E8375" s="3"/>
      <c r="F8375" s="3"/>
    </row>
    <row r="8376" spans="3:6" x14ac:dyDescent="0.3">
      <c r="C8376" s="3"/>
      <c r="D8376" s="3"/>
      <c r="E8376" s="3"/>
      <c r="F8376" s="3"/>
    </row>
    <row r="8377" spans="3:6" x14ac:dyDescent="0.3">
      <c r="C8377" s="3"/>
      <c r="D8377" s="3"/>
      <c r="E8377" s="3"/>
      <c r="F8377" s="3"/>
    </row>
    <row r="8378" spans="3:6" x14ac:dyDescent="0.3">
      <c r="C8378" s="3"/>
      <c r="D8378" s="3"/>
      <c r="E8378" s="3"/>
      <c r="F8378" s="3"/>
    </row>
    <row r="8379" spans="3:6" x14ac:dyDescent="0.3">
      <c r="C8379" s="3"/>
      <c r="D8379" s="3"/>
      <c r="E8379" s="3"/>
      <c r="F8379" s="3"/>
    </row>
    <row r="8380" spans="3:6" x14ac:dyDescent="0.3">
      <c r="C8380" s="3"/>
      <c r="D8380" s="3"/>
      <c r="E8380" s="3"/>
      <c r="F8380" s="3"/>
    </row>
    <row r="8381" spans="3:6" x14ac:dyDescent="0.3">
      <c r="C8381" s="3"/>
      <c r="D8381" s="3"/>
      <c r="E8381" s="3"/>
      <c r="F8381" s="3"/>
    </row>
    <row r="8382" spans="3:6" x14ac:dyDescent="0.3">
      <c r="C8382" s="3"/>
      <c r="D8382" s="3"/>
      <c r="E8382" s="3"/>
      <c r="F8382" s="3"/>
    </row>
    <row r="8383" spans="3:6" x14ac:dyDescent="0.3">
      <c r="C8383" s="3"/>
      <c r="D8383" s="3"/>
      <c r="E8383" s="3"/>
      <c r="F8383" s="3"/>
    </row>
    <row r="8384" spans="3:6" x14ac:dyDescent="0.3">
      <c r="C8384" s="3"/>
      <c r="D8384" s="3"/>
      <c r="E8384" s="3"/>
      <c r="F8384" s="3"/>
    </row>
    <row r="8385" spans="3:6" x14ac:dyDescent="0.3">
      <c r="C8385" s="3"/>
      <c r="D8385" s="3"/>
      <c r="E8385" s="3"/>
      <c r="F8385" s="3"/>
    </row>
    <row r="8386" spans="3:6" x14ac:dyDescent="0.3">
      <c r="C8386" s="3"/>
      <c r="D8386" s="3"/>
      <c r="E8386" s="3"/>
      <c r="F8386" s="3"/>
    </row>
    <row r="8387" spans="3:6" x14ac:dyDescent="0.3">
      <c r="C8387" s="3"/>
      <c r="D8387" s="3"/>
      <c r="E8387" s="3"/>
      <c r="F8387" s="3"/>
    </row>
    <row r="8388" spans="3:6" x14ac:dyDescent="0.3">
      <c r="C8388" s="3"/>
      <c r="D8388" s="3"/>
      <c r="E8388" s="3"/>
      <c r="F8388" s="3"/>
    </row>
    <row r="8389" spans="3:6" x14ac:dyDescent="0.3">
      <c r="C8389" s="3"/>
      <c r="D8389" s="3"/>
      <c r="E8389" s="3"/>
      <c r="F8389" s="3"/>
    </row>
    <row r="8390" spans="3:6" x14ac:dyDescent="0.3">
      <c r="C8390" s="3"/>
      <c r="D8390" s="3"/>
      <c r="E8390" s="3"/>
      <c r="F8390" s="3"/>
    </row>
    <row r="8391" spans="3:6" x14ac:dyDescent="0.3">
      <c r="C8391" s="3"/>
      <c r="D8391" s="3"/>
      <c r="E8391" s="3"/>
      <c r="F8391" s="3"/>
    </row>
    <row r="8392" spans="3:6" x14ac:dyDescent="0.3">
      <c r="C8392" s="3"/>
      <c r="D8392" s="3"/>
      <c r="E8392" s="3"/>
      <c r="F8392" s="3"/>
    </row>
    <row r="8393" spans="3:6" x14ac:dyDescent="0.3">
      <c r="C8393" s="3"/>
      <c r="D8393" s="3"/>
      <c r="E8393" s="3"/>
      <c r="F8393" s="3"/>
    </row>
    <row r="8394" spans="3:6" x14ac:dyDescent="0.3">
      <c r="C8394" s="3"/>
      <c r="D8394" s="3"/>
      <c r="E8394" s="3"/>
      <c r="F8394" s="3"/>
    </row>
    <row r="8395" spans="3:6" x14ac:dyDescent="0.3">
      <c r="C8395" s="3"/>
      <c r="D8395" s="3"/>
      <c r="E8395" s="3"/>
      <c r="F8395" s="3"/>
    </row>
    <row r="8396" spans="3:6" x14ac:dyDescent="0.3">
      <c r="C8396" s="3"/>
      <c r="D8396" s="3"/>
      <c r="E8396" s="3"/>
      <c r="F8396" s="3"/>
    </row>
    <row r="8397" spans="3:6" x14ac:dyDescent="0.3">
      <c r="C8397" s="3"/>
      <c r="D8397" s="3"/>
      <c r="E8397" s="3"/>
      <c r="F8397" s="3"/>
    </row>
    <row r="8398" spans="3:6" x14ac:dyDescent="0.3">
      <c r="C8398" s="3"/>
      <c r="D8398" s="3"/>
      <c r="E8398" s="3"/>
      <c r="F8398" s="3"/>
    </row>
    <row r="8399" spans="3:6" x14ac:dyDescent="0.3">
      <c r="C8399" s="3"/>
      <c r="D8399" s="3"/>
      <c r="E8399" s="3"/>
      <c r="F8399" s="3"/>
    </row>
    <row r="8400" spans="3:6" x14ac:dyDescent="0.3">
      <c r="C8400" s="3"/>
      <c r="D8400" s="3"/>
      <c r="E8400" s="3"/>
      <c r="F8400" s="3"/>
    </row>
    <row r="8401" spans="3:6" x14ac:dyDescent="0.3">
      <c r="C8401" s="3"/>
      <c r="D8401" s="3"/>
      <c r="E8401" s="3"/>
      <c r="F8401" s="3"/>
    </row>
    <row r="8402" spans="3:6" x14ac:dyDescent="0.3">
      <c r="C8402" s="3"/>
      <c r="D8402" s="3"/>
      <c r="E8402" s="3"/>
      <c r="F8402" s="3"/>
    </row>
    <row r="8403" spans="3:6" x14ac:dyDescent="0.3">
      <c r="C8403" s="3"/>
      <c r="D8403" s="3"/>
      <c r="E8403" s="3"/>
      <c r="F8403" s="3"/>
    </row>
    <row r="8404" spans="3:6" x14ac:dyDescent="0.3">
      <c r="C8404" s="3"/>
      <c r="D8404" s="3"/>
      <c r="E8404" s="3"/>
      <c r="F8404" s="3"/>
    </row>
    <row r="8405" spans="3:6" x14ac:dyDescent="0.3">
      <c r="C8405" s="3"/>
      <c r="D8405" s="3"/>
      <c r="E8405" s="3"/>
      <c r="F8405" s="3"/>
    </row>
    <row r="8406" spans="3:6" x14ac:dyDescent="0.3">
      <c r="C8406" s="3"/>
      <c r="D8406" s="3"/>
      <c r="E8406" s="3"/>
      <c r="F8406" s="3"/>
    </row>
    <row r="8407" spans="3:6" x14ac:dyDescent="0.3">
      <c r="C8407" s="3"/>
      <c r="D8407" s="3"/>
      <c r="E8407" s="3"/>
      <c r="F8407" s="3"/>
    </row>
    <row r="8408" spans="3:6" x14ac:dyDescent="0.3">
      <c r="C8408" s="3"/>
      <c r="D8408" s="3"/>
      <c r="E8408" s="3"/>
      <c r="F8408" s="3"/>
    </row>
    <row r="8409" spans="3:6" x14ac:dyDescent="0.3">
      <c r="C8409" s="3"/>
      <c r="D8409" s="3"/>
      <c r="E8409" s="3"/>
      <c r="F8409" s="3"/>
    </row>
    <row r="8410" spans="3:6" x14ac:dyDescent="0.3">
      <c r="C8410" s="3"/>
      <c r="D8410" s="3"/>
      <c r="E8410" s="3"/>
      <c r="F8410" s="3"/>
    </row>
    <row r="8411" spans="3:6" x14ac:dyDescent="0.3">
      <c r="C8411" s="3"/>
      <c r="D8411" s="3"/>
      <c r="E8411" s="3"/>
      <c r="F8411" s="3"/>
    </row>
    <row r="8412" spans="3:6" x14ac:dyDescent="0.3">
      <c r="C8412" s="3"/>
      <c r="D8412" s="3"/>
      <c r="E8412" s="3"/>
      <c r="F8412" s="3"/>
    </row>
    <row r="8413" spans="3:6" x14ac:dyDescent="0.3">
      <c r="C8413" s="3"/>
      <c r="D8413" s="3"/>
      <c r="E8413" s="3"/>
      <c r="F8413" s="3"/>
    </row>
    <row r="8414" spans="3:6" x14ac:dyDescent="0.3">
      <c r="C8414" s="3"/>
      <c r="D8414" s="3"/>
      <c r="E8414" s="3"/>
      <c r="F8414" s="3"/>
    </row>
    <row r="8415" spans="3:6" x14ac:dyDescent="0.3">
      <c r="C8415" s="3"/>
      <c r="D8415" s="3"/>
      <c r="E8415" s="3"/>
      <c r="F8415" s="3"/>
    </row>
    <row r="8416" spans="3:6" x14ac:dyDescent="0.3">
      <c r="C8416" s="3"/>
      <c r="D8416" s="3"/>
      <c r="E8416" s="3"/>
      <c r="F8416" s="3"/>
    </row>
    <row r="8417" spans="3:6" x14ac:dyDescent="0.3">
      <c r="C8417" s="3"/>
      <c r="D8417" s="3"/>
      <c r="E8417" s="3"/>
      <c r="F8417" s="3"/>
    </row>
    <row r="8418" spans="3:6" x14ac:dyDescent="0.3">
      <c r="C8418" s="3"/>
      <c r="D8418" s="3"/>
      <c r="E8418" s="3"/>
      <c r="F8418" s="3"/>
    </row>
    <row r="8419" spans="3:6" x14ac:dyDescent="0.3">
      <c r="C8419" s="3"/>
      <c r="D8419" s="3"/>
      <c r="E8419" s="3"/>
      <c r="F8419" s="3"/>
    </row>
    <row r="8420" spans="3:6" x14ac:dyDescent="0.3">
      <c r="C8420" s="3"/>
      <c r="D8420" s="3"/>
      <c r="E8420" s="3"/>
      <c r="F8420" s="3"/>
    </row>
    <row r="8421" spans="3:6" x14ac:dyDescent="0.3">
      <c r="C8421" s="3"/>
      <c r="D8421" s="3"/>
      <c r="E8421" s="3"/>
      <c r="F8421" s="3"/>
    </row>
    <row r="8422" spans="3:6" x14ac:dyDescent="0.3">
      <c r="C8422" s="3"/>
      <c r="D8422" s="3"/>
      <c r="E8422" s="3"/>
      <c r="F8422" s="3"/>
    </row>
    <row r="8423" spans="3:6" x14ac:dyDescent="0.3">
      <c r="C8423" s="3"/>
      <c r="D8423" s="3"/>
      <c r="E8423" s="3"/>
      <c r="F8423" s="3"/>
    </row>
    <row r="8424" spans="3:6" x14ac:dyDescent="0.3">
      <c r="C8424" s="3"/>
      <c r="D8424" s="3"/>
      <c r="E8424" s="3"/>
      <c r="F8424" s="3"/>
    </row>
    <row r="8425" spans="3:6" x14ac:dyDescent="0.3">
      <c r="C8425" s="3"/>
      <c r="D8425" s="3"/>
      <c r="E8425" s="3"/>
      <c r="F8425" s="3"/>
    </row>
    <row r="8426" spans="3:6" x14ac:dyDescent="0.3">
      <c r="C8426" s="3"/>
      <c r="D8426" s="3"/>
      <c r="E8426" s="3"/>
      <c r="F8426" s="3"/>
    </row>
    <row r="8427" spans="3:6" x14ac:dyDescent="0.3">
      <c r="C8427" s="3"/>
      <c r="D8427" s="3"/>
      <c r="E8427" s="3"/>
      <c r="F8427" s="3"/>
    </row>
    <row r="8428" spans="3:6" x14ac:dyDescent="0.3">
      <c r="C8428" s="3"/>
      <c r="D8428" s="3"/>
      <c r="E8428" s="3"/>
      <c r="F8428" s="3"/>
    </row>
    <row r="8429" spans="3:6" x14ac:dyDescent="0.3">
      <c r="C8429" s="3"/>
      <c r="D8429" s="3"/>
      <c r="E8429" s="3"/>
      <c r="F8429" s="3"/>
    </row>
    <row r="8430" spans="3:6" x14ac:dyDescent="0.3">
      <c r="C8430" s="3"/>
      <c r="D8430" s="3"/>
      <c r="E8430" s="3"/>
      <c r="F8430" s="3"/>
    </row>
    <row r="8431" spans="3:6" x14ac:dyDescent="0.3">
      <c r="C8431" s="3"/>
      <c r="D8431" s="3"/>
      <c r="E8431" s="3"/>
      <c r="F8431" s="3"/>
    </row>
    <row r="8432" spans="3:6" x14ac:dyDescent="0.3">
      <c r="C8432" s="3"/>
      <c r="D8432" s="3"/>
      <c r="E8432" s="3"/>
      <c r="F8432" s="3"/>
    </row>
    <row r="8433" spans="3:6" x14ac:dyDescent="0.3">
      <c r="C8433" s="3"/>
      <c r="D8433" s="3"/>
      <c r="E8433" s="3"/>
      <c r="F8433" s="3"/>
    </row>
    <row r="8434" spans="3:6" x14ac:dyDescent="0.3">
      <c r="C8434" s="3"/>
      <c r="D8434" s="3"/>
      <c r="E8434" s="3"/>
      <c r="F8434" s="3"/>
    </row>
    <row r="8435" spans="3:6" x14ac:dyDescent="0.3">
      <c r="C8435" s="3"/>
      <c r="D8435" s="3"/>
      <c r="E8435" s="3"/>
      <c r="F8435" s="3"/>
    </row>
    <row r="8436" spans="3:6" x14ac:dyDescent="0.3">
      <c r="C8436" s="3"/>
      <c r="D8436" s="3"/>
      <c r="E8436" s="3"/>
      <c r="F8436" s="3"/>
    </row>
    <row r="8437" spans="3:6" x14ac:dyDescent="0.3">
      <c r="C8437" s="3"/>
      <c r="D8437" s="3"/>
      <c r="E8437" s="3"/>
      <c r="F8437" s="3"/>
    </row>
    <row r="8438" spans="3:6" x14ac:dyDescent="0.3">
      <c r="C8438" s="3"/>
      <c r="D8438" s="3"/>
      <c r="E8438" s="3"/>
      <c r="F8438" s="3"/>
    </row>
    <row r="8439" spans="3:6" x14ac:dyDescent="0.3">
      <c r="C8439" s="3"/>
      <c r="D8439" s="3"/>
      <c r="E8439" s="3"/>
      <c r="F8439" s="3"/>
    </row>
    <row r="8440" spans="3:6" x14ac:dyDescent="0.3">
      <c r="C8440" s="3"/>
      <c r="D8440" s="3"/>
      <c r="E8440" s="3"/>
      <c r="F8440" s="3"/>
    </row>
    <row r="8441" spans="3:6" x14ac:dyDescent="0.3">
      <c r="C8441" s="3"/>
      <c r="D8441" s="3"/>
      <c r="E8441" s="3"/>
      <c r="F8441" s="3"/>
    </row>
    <row r="8442" spans="3:6" x14ac:dyDescent="0.3">
      <c r="C8442" s="3"/>
      <c r="D8442" s="3"/>
      <c r="E8442" s="3"/>
      <c r="F8442" s="3"/>
    </row>
    <row r="8443" spans="3:6" x14ac:dyDescent="0.3">
      <c r="C8443" s="3"/>
      <c r="D8443" s="3"/>
      <c r="E8443" s="3"/>
      <c r="F8443" s="3"/>
    </row>
    <row r="8444" spans="3:6" x14ac:dyDescent="0.3">
      <c r="C8444" s="3"/>
      <c r="D8444" s="3"/>
      <c r="E8444" s="3"/>
      <c r="F8444" s="3"/>
    </row>
    <row r="8445" spans="3:6" x14ac:dyDescent="0.3">
      <c r="C8445" s="3"/>
      <c r="D8445" s="3"/>
      <c r="E8445" s="3"/>
      <c r="F8445" s="3"/>
    </row>
    <row r="8446" spans="3:6" x14ac:dyDescent="0.3">
      <c r="C8446" s="3"/>
      <c r="D8446" s="3"/>
      <c r="E8446" s="3"/>
      <c r="F8446" s="3"/>
    </row>
    <row r="8447" spans="3:6" x14ac:dyDescent="0.3">
      <c r="C8447" s="3"/>
      <c r="D8447" s="3"/>
      <c r="E8447" s="3"/>
      <c r="F8447" s="3"/>
    </row>
    <row r="8448" spans="3:6" x14ac:dyDescent="0.3">
      <c r="C8448" s="3"/>
      <c r="D8448" s="3"/>
      <c r="E8448" s="3"/>
      <c r="F8448" s="3"/>
    </row>
    <row r="8449" spans="3:6" x14ac:dyDescent="0.3">
      <c r="C8449" s="3"/>
      <c r="D8449" s="3"/>
      <c r="E8449" s="3"/>
      <c r="F8449" s="3"/>
    </row>
    <row r="8450" spans="3:6" x14ac:dyDescent="0.3">
      <c r="C8450" s="3"/>
      <c r="D8450" s="3"/>
      <c r="E8450" s="3"/>
      <c r="F8450" s="3"/>
    </row>
    <row r="8451" spans="3:6" x14ac:dyDescent="0.3">
      <c r="C8451" s="3"/>
      <c r="D8451" s="3"/>
      <c r="E8451" s="3"/>
      <c r="F8451" s="3"/>
    </row>
    <row r="8452" spans="3:6" x14ac:dyDescent="0.3">
      <c r="C8452" s="3"/>
      <c r="D8452" s="3"/>
      <c r="E8452" s="3"/>
      <c r="F8452" s="3"/>
    </row>
    <row r="8453" spans="3:6" x14ac:dyDescent="0.3">
      <c r="C8453" s="3"/>
      <c r="D8453" s="3"/>
      <c r="E8453" s="3"/>
      <c r="F8453" s="3"/>
    </row>
    <row r="8454" spans="3:6" x14ac:dyDescent="0.3">
      <c r="C8454" s="3"/>
      <c r="D8454" s="3"/>
      <c r="E8454" s="3"/>
      <c r="F8454" s="3"/>
    </row>
    <row r="8455" spans="3:6" x14ac:dyDescent="0.3">
      <c r="C8455" s="3"/>
      <c r="D8455" s="3"/>
      <c r="E8455" s="3"/>
      <c r="F8455" s="3"/>
    </row>
    <row r="8456" spans="3:6" x14ac:dyDescent="0.3">
      <c r="C8456" s="3"/>
      <c r="D8456" s="3"/>
      <c r="E8456" s="3"/>
      <c r="F8456" s="3"/>
    </row>
    <row r="8457" spans="3:6" x14ac:dyDescent="0.3">
      <c r="C8457" s="3"/>
      <c r="D8457" s="3"/>
      <c r="E8457" s="3"/>
      <c r="F8457" s="3"/>
    </row>
    <row r="8458" spans="3:6" x14ac:dyDescent="0.3">
      <c r="C8458" s="3"/>
      <c r="D8458" s="3"/>
      <c r="E8458" s="3"/>
      <c r="F8458" s="3"/>
    </row>
    <row r="8459" spans="3:6" x14ac:dyDescent="0.3">
      <c r="C8459" s="3"/>
      <c r="D8459" s="3"/>
      <c r="E8459" s="3"/>
      <c r="F8459" s="3"/>
    </row>
    <row r="8460" spans="3:6" x14ac:dyDescent="0.3">
      <c r="C8460" s="3"/>
      <c r="D8460" s="3"/>
      <c r="E8460" s="3"/>
      <c r="F8460" s="3"/>
    </row>
    <row r="8461" spans="3:6" x14ac:dyDescent="0.3">
      <c r="C8461" s="3"/>
      <c r="D8461" s="3"/>
      <c r="E8461" s="3"/>
      <c r="F8461" s="3"/>
    </row>
    <row r="8462" spans="3:6" x14ac:dyDescent="0.3">
      <c r="C8462" s="3"/>
      <c r="D8462" s="3"/>
      <c r="E8462" s="3"/>
      <c r="F8462" s="3"/>
    </row>
    <row r="8463" spans="3:6" x14ac:dyDescent="0.3">
      <c r="C8463" s="3"/>
      <c r="D8463" s="3"/>
      <c r="E8463" s="3"/>
      <c r="F8463" s="3"/>
    </row>
    <row r="8464" spans="3:6" x14ac:dyDescent="0.3">
      <c r="C8464" s="3"/>
      <c r="D8464" s="3"/>
      <c r="E8464" s="3"/>
      <c r="F8464" s="3"/>
    </row>
    <row r="8465" spans="3:6" x14ac:dyDescent="0.3">
      <c r="C8465" s="3"/>
      <c r="D8465" s="3"/>
      <c r="E8465" s="3"/>
      <c r="F8465" s="3"/>
    </row>
    <row r="8466" spans="3:6" x14ac:dyDescent="0.3">
      <c r="C8466" s="3"/>
      <c r="D8466" s="3"/>
      <c r="E8466" s="3"/>
      <c r="F8466" s="3"/>
    </row>
    <row r="8467" spans="3:6" x14ac:dyDescent="0.3">
      <c r="C8467" s="3"/>
      <c r="D8467" s="3"/>
      <c r="E8467" s="3"/>
      <c r="F8467" s="3"/>
    </row>
    <row r="8468" spans="3:6" x14ac:dyDescent="0.3">
      <c r="C8468" s="3"/>
      <c r="D8468" s="3"/>
      <c r="E8468" s="3"/>
      <c r="F8468" s="3"/>
    </row>
    <row r="8469" spans="3:6" x14ac:dyDescent="0.3">
      <c r="C8469" s="3"/>
      <c r="D8469" s="3"/>
      <c r="E8469" s="3"/>
      <c r="F8469" s="3"/>
    </row>
    <row r="8470" spans="3:6" x14ac:dyDescent="0.3">
      <c r="C8470" s="3"/>
      <c r="D8470" s="3"/>
      <c r="E8470" s="3"/>
      <c r="F8470" s="3"/>
    </row>
    <row r="8471" spans="3:6" x14ac:dyDescent="0.3">
      <c r="C8471" s="3"/>
      <c r="D8471" s="3"/>
      <c r="E8471" s="3"/>
      <c r="F8471" s="3"/>
    </row>
    <row r="8472" spans="3:6" x14ac:dyDescent="0.3">
      <c r="C8472" s="3"/>
      <c r="D8472" s="3"/>
      <c r="E8472" s="3"/>
      <c r="F8472" s="3"/>
    </row>
    <row r="8473" spans="3:6" x14ac:dyDescent="0.3">
      <c r="C8473" s="3"/>
      <c r="D8473" s="3"/>
      <c r="E8473" s="3"/>
      <c r="F8473" s="3"/>
    </row>
    <row r="8474" spans="3:6" x14ac:dyDescent="0.3">
      <c r="C8474" s="3"/>
      <c r="D8474" s="3"/>
      <c r="E8474" s="3"/>
      <c r="F8474" s="3"/>
    </row>
    <row r="8475" spans="3:6" x14ac:dyDescent="0.3">
      <c r="C8475" s="3"/>
      <c r="D8475" s="3"/>
      <c r="E8475" s="3"/>
      <c r="F8475" s="3"/>
    </row>
    <row r="8476" spans="3:6" x14ac:dyDescent="0.3">
      <c r="C8476" s="3"/>
      <c r="D8476" s="3"/>
      <c r="E8476" s="3"/>
      <c r="F8476" s="3"/>
    </row>
    <row r="8477" spans="3:6" x14ac:dyDescent="0.3">
      <c r="C8477" s="3"/>
      <c r="D8477" s="3"/>
      <c r="E8477" s="3"/>
      <c r="F8477" s="3"/>
    </row>
    <row r="8478" spans="3:6" x14ac:dyDescent="0.3">
      <c r="C8478" s="3"/>
      <c r="D8478" s="3"/>
      <c r="E8478" s="3"/>
      <c r="F8478" s="3"/>
    </row>
    <row r="8479" spans="3:6" x14ac:dyDescent="0.3">
      <c r="C8479" s="3"/>
      <c r="D8479" s="3"/>
      <c r="E8479" s="3"/>
      <c r="F8479" s="3"/>
    </row>
    <row r="8480" spans="3:6" x14ac:dyDescent="0.3">
      <c r="C8480" s="3"/>
      <c r="D8480" s="3"/>
      <c r="E8480" s="3"/>
      <c r="F8480" s="3"/>
    </row>
    <row r="8481" spans="3:6" x14ac:dyDescent="0.3">
      <c r="C8481" s="3"/>
      <c r="D8481" s="3"/>
      <c r="E8481" s="3"/>
      <c r="F8481" s="3"/>
    </row>
    <row r="8482" spans="3:6" x14ac:dyDescent="0.3">
      <c r="C8482" s="3"/>
      <c r="D8482" s="3"/>
      <c r="E8482" s="3"/>
      <c r="F8482" s="3"/>
    </row>
    <row r="8483" spans="3:6" x14ac:dyDescent="0.3">
      <c r="C8483" s="3"/>
      <c r="D8483" s="3"/>
      <c r="E8483" s="3"/>
      <c r="F8483" s="3"/>
    </row>
    <row r="8484" spans="3:6" x14ac:dyDescent="0.3">
      <c r="C8484" s="3"/>
      <c r="D8484" s="3"/>
      <c r="E8484" s="3"/>
      <c r="F8484" s="3"/>
    </row>
    <row r="8485" spans="3:6" x14ac:dyDescent="0.3">
      <c r="C8485" s="3"/>
      <c r="D8485" s="3"/>
      <c r="E8485" s="3"/>
      <c r="F8485" s="3"/>
    </row>
    <row r="8486" spans="3:6" x14ac:dyDescent="0.3">
      <c r="C8486" s="3"/>
      <c r="D8486" s="3"/>
      <c r="E8486" s="3"/>
      <c r="F8486" s="3"/>
    </row>
    <row r="8487" spans="3:6" x14ac:dyDescent="0.3">
      <c r="C8487" s="3"/>
      <c r="D8487" s="3"/>
      <c r="E8487" s="3"/>
      <c r="F8487" s="3"/>
    </row>
    <row r="8488" spans="3:6" x14ac:dyDescent="0.3">
      <c r="C8488" s="3"/>
      <c r="D8488" s="3"/>
      <c r="E8488" s="3"/>
      <c r="F8488" s="3"/>
    </row>
    <row r="8489" spans="3:6" x14ac:dyDescent="0.3">
      <c r="C8489" s="3"/>
      <c r="D8489" s="3"/>
      <c r="E8489" s="3"/>
      <c r="F8489" s="3"/>
    </row>
    <row r="8490" spans="3:6" x14ac:dyDescent="0.3">
      <c r="C8490" s="3"/>
      <c r="D8490" s="3"/>
      <c r="E8490" s="3"/>
      <c r="F8490" s="3"/>
    </row>
    <row r="8491" spans="3:6" x14ac:dyDescent="0.3">
      <c r="C8491" s="3"/>
      <c r="D8491" s="3"/>
      <c r="E8491" s="3"/>
      <c r="F8491" s="3"/>
    </row>
    <row r="8492" spans="3:6" x14ac:dyDescent="0.3">
      <c r="C8492" s="3"/>
      <c r="D8492" s="3"/>
      <c r="E8492" s="3"/>
      <c r="F8492" s="3"/>
    </row>
    <row r="8493" spans="3:6" x14ac:dyDescent="0.3">
      <c r="C8493" s="3"/>
      <c r="D8493" s="3"/>
      <c r="E8493" s="3"/>
      <c r="F8493" s="3"/>
    </row>
    <row r="8494" spans="3:6" x14ac:dyDescent="0.3">
      <c r="C8494" s="3"/>
      <c r="D8494" s="3"/>
      <c r="E8494" s="3"/>
      <c r="F8494" s="3"/>
    </row>
    <row r="8495" spans="3:6" x14ac:dyDescent="0.3">
      <c r="C8495" s="3"/>
      <c r="D8495" s="3"/>
      <c r="E8495" s="3"/>
      <c r="F8495" s="3"/>
    </row>
    <row r="8496" spans="3:6" x14ac:dyDescent="0.3">
      <c r="C8496" s="3"/>
      <c r="D8496" s="3"/>
      <c r="E8496" s="3"/>
      <c r="F8496" s="3"/>
    </row>
    <row r="8497" spans="3:6" x14ac:dyDescent="0.3">
      <c r="C8497" s="3"/>
      <c r="D8497" s="3"/>
      <c r="E8497" s="3"/>
      <c r="F8497" s="3"/>
    </row>
    <row r="8498" spans="3:6" x14ac:dyDescent="0.3">
      <c r="C8498" s="3"/>
      <c r="D8498" s="3"/>
      <c r="E8498" s="3"/>
      <c r="F8498" s="3"/>
    </row>
    <row r="8499" spans="3:6" x14ac:dyDescent="0.3">
      <c r="C8499" s="3"/>
      <c r="D8499" s="3"/>
      <c r="E8499" s="3"/>
      <c r="F8499" s="3"/>
    </row>
    <row r="8500" spans="3:6" x14ac:dyDescent="0.3">
      <c r="C8500" s="3"/>
      <c r="D8500" s="3"/>
      <c r="E8500" s="3"/>
      <c r="F8500" s="3"/>
    </row>
    <row r="8501" spans="3:6" x14ac:dyDescent="0.3">
      <c r="C8501" s="3"/>
      <c r="D8501" s="3"/>
      <c r="E8501" s="3"/>
      <c r="F8501" s="3"/>
    </row>
    <row r="8502" spans="3:6" x14ac:dyDescent="0.3">
      <c r="C8502" s="3"/>
      <c r="D8502" s="3"/>
      <c r="E8502" s="3"/>
      <c r="F8502" s="3"/>
    </row>
    <row r="8503" spans="3:6" x14ac:dyDescent="0.3">
      <c r="C8503" s="3"/>
      <c r="D8503" s="3"/>
      <c r="E8503" s="3"/>
      <c r="F8503" s="3"/>
    </row>
    <row r="8504" spans="3:6" x14ac:dyDescent="0.3">
      <c r="C8504" s="3"/>
      <c r="D8504" s="3"/>
      <c r="E8504" s="3"/>
      <c r="F8504" s="3"/>
    </row>
    <row r="8505" spans="3:6" x14ac:dyDescent="0.3">
      <c r="C8505" s="3"/>
      <c r="D8505" s="3"/>
      <c r="E8505" s="3"/>
      <c r="F8505" s="3"/>
    </row>
    <row r="8506" spans="3:6" x14ac:dyDescent="0.3">
      <c r="C8506" s="3"/>
      <c r="D8506" s="3"/>
      <c r="E8506" s="3"/>
      <c r="F8506" s="3"/>
    </row>
    <row r="8507" spans="3:6" x14ac:dyDescent="0.3">
      <c r="C8507" s="3"/>
      <c r="D8507" s="3"/>
      <c r="E8507" s="3"/>
      <c r="F8507" s="3"/>
    </row>
    <row r="8508" spans="3:6" x14ac:dyDescent="0.3">
      <c r="C8508" s="3"/>
      <c r="D8508" s="3"/>
      <c r="E8508" s="3"/>
      <c r="F8508" s="3"/>
    </row>
    <row r="8509" spans="3:6" x14ac:dyDescent="0.3">
      <c r="C8509" s="3"/>
      <c r="D8509" s="3"/>
      <c r="E8509" s="3"/>
      <c r="F8509" s="3"/>
    </row>
    <row r="8510" spans="3:6" x14ac:dyDescent="0.3">
      <c r="C8510" s="3"/>
      <c r="D8510" s="3"/>
      <c r="E8510" s="3"/>
      <c r="F8510" s="3"/>
    </row>
    <row r="8511" spans="3:6" x14ac:dyDescent="0.3">
      <c r="C8511" s="3"/>
      <c r="D8511" s="3"/>
      <c r="E8511" s="3"/>
      <c r="F8511" s="3"/>
    </row>
    <row r="8512" spans="3:6" x14ac:dyDescent="0.3">
      <c r="C8512" s="3"/>
      <c r="D8512" s="3"/>
      <c r="E8512" s="3"/>
      <c r="F8512" s="3"/>
    </row>
    <row r="8513" spans="3:6" x14ac:dyDescent="0.3">
      <c r="C8513" s="3"/>
      <c r="D8513" s="3"/>
      <c r="E8513" s="3"/>
      <c r="F8513" s="3"/>
    </row>
    <row r="8514" spans="3:6" x14ac:dyDescent="0.3">
      <c r="C8514" s="3"/>
      <c r="D8514" s="3"/>
      <c r="E8514" s="3"/>
      <c r="F8514" s="3"/>
    </row>
    <row r="8515" spans="3:6" x14ac:dyDescent="0.3">
      <c r="C8515" s="3"/>
      <c r="D8515" s="3"/>
      <c r="E8515" s="3"/>
      <c r="F8515" s="3"/>
    </row>
    <row r="8516" spans="3:6" x14ac:dyDescent="0.3">
      <c r="C8516" s="3"/>
      <c r="D8516" s="3"/>
      <c r="E8516" s="3"/>
      <c r="F8516" s="3"/>
    </row>
    <row r="8517" spans="3:6" x14ac:dyDescent="0.3">
      <c r="C8517" s="3"/>
      <c r="D8517" s="3"/>
      <c r="E8517" s="3"/>
      <c r="F8517" s="3"/>
    </row>
    <row r="8518" spans="3:6" x14ac:dyDescent="0.3">
      <c r="C8518" s="3"/>
      <c r="D8518" s="3"/>
      <c r="E8518" s="3"/>
      <c r="F8518" s="3"/>
    </row>
    <row r="8519" spans="3:6" x14ac:dyDescent="0.3">
      <c r="C8519" s="3"/>
      <c r="D8519" s="3"/>
      <c r="E8519" s="3"/>
      <c r="F8519" s="3"/>
    </row>
    <row r="8520" spans="3:6" x14ac:dyDescent="0.3">
      <c r="C8520" s="3"/>
      <c r="D8520" s="3"/>
      <c r="E8520" s="3"/>
      <c r="F8520" s="3"/>
    </row>
    <row r="8521" spans="3:6" x14ac:dyDescent="0.3">
      <c r="C8521" s="3"/>
      <c r="D8521" s="3"/>
      <c r="E8521" s="3"/>
      <c r="F8521" s="3"/>
    </row>
    <row r="8522" spans="3:6" x14ac:dyDescent="0.3">
      <c r="C8522" s="3"/>
      <c r="D8522" s="3"/>
      <c r="E8522" s="3"/>
      <c r="F8522" s="3"/>
    </row>
    <row r="8523" spans="3:6" x14ac:dyDescent="0.3">
      <c r="C8523" s="3"/>
      <c r="D8523" s="3"/>
      <c r="E8523" s="3"/>
      <c r="F8523" s="3"/>
    </row>
    <row r="8524" spans="3:6" x14ac:dyDescent="0.3">
      <c r="C8524" s="3"/>
      <c r="D8524" s="3"/>
      <c r="E8524" s="3"/>
      <c r="F8524" s="3"/>
    </row>
    <row r="8525" spans="3:6" x14ac:dyDescent="0.3">
      <c r="C8525" s="3"/>
      <c r="D8525" s="3"/>
      <c r="E8525" s="3"/>
      <c r="F8525" s="3"/>
    </row>
    <row r="8526" spans="3:6" x14ac:dyDescent="0.3">
      <c r="C8526" s="3"/>
      <c r="D8526" s="3"/>
      <c r="E8526" s="3"/>
      <c r="F8526" s="3"/>
    </row>
    <row r="8527" spans="3:6" x14ac:dyDescent="0.3">
      <c r="C8527" s="3"/>
      <c r="D8527" s="3"/>
      <c r="E8527" s="3"/>
      <c r="F8527" s="3"/>
    </row>
    <row r="8528" spans="3:6" x14ac:dyDescent="0.3">
      <c r="C8528" s="3"/>
      <c r="D8528" s="3"/>
      <c r="E8528" s="3"/>
      <c r="F8528" s="3"/>
    </row>
    <row r="8529" spans="3:6" x14ac:dyDescent="0.3">
      <c r="C8529" s="3"/>
      <c r="D8529" s="3"/>
      <c r="E8529" s="3"/>
      <c r="F8529" s="3"/>
    </row>
    <row r="8530" spans="3:6" x14ac:dyDescent="0.3">
      <c r="C8530" s="3"/>
      <c r="D8530" s="3"/>
      <c r="E8530" s="3"/>
      <c r="F8530" s="3"/>
    </row>
    <row r="8531" spans="3:6" x14ac:dyDescent="0.3">
      <c r="C8531" s="3"/>
      <c r="D8531" s="3"/>
      <c r="E8531" s="3"/>
      <c r="F8531" s="3"/>
    </row>
    <row r="8532" spans="3:6" x14ac:dyDescent="0.3">
      <c r="C8532" s="3"/>
      <c r="D8532" s="3"/>
      <c r="E8532" s="3"/>
      <c r="F8532" s="3"/>
    </row>
    <row r="8533" spans="3:6" x14ac:dyDescent="0.3">
      <c r="C8533" s="3"/>
      <c r="D8533" s="3"/>
      <c r="E8533" s="3"/>
      <c r="F8533" s="3"/>
    </row>
    <row r="8534" spans="3:6" x14ac:dyDescent="0.3">
      <c r="C8534" s="3"/>
      <c r="D8534" s="3"/>
      <c r="E8534" s="3"/>
      <c r="F8534" s="3"/>
    </row>
    <row r="8535" spans="3:6" x14ac:dyDescent="0.3">
      <c r="C8535" s="3"/>
      <c r="D8535" s="3"/>
      <c r="E8535" s="3"/>
      <c r="F8535" s="3"/>
    </row>
    <row r="8536" spans="3:6" x14ac:dyDescent="0.3">
      <c r="C8536" s="3"/>
      <c r="D8536" s="3"/>
      <c r="E8536" s="3"/>
      <c r="F8536" s="3"/>
    </row>
    <row r="8537" spans="3:6" x14ac:dyDescent="0.3">
      <c r="C8537" s="3"/>
      <c r="D8537" s="3"/>
      <c r="E8537" s="3"/>
      <c r="F8537" s="3"/>
    </row>
    <row r="8538" spans="3:6" x14ac:dyDescent="0.3">
      <c r="C8538" s="3"/>
      <c r="D8538" s="3"/>
      <c r="E8538" s="3"/>
      <c r="F8538" s="3"/>
    </row>
    <row r="8539" spans="3:6" x14ac:dyDescent="0.3">
      <c r="C8539" s="3"/>
      <c r="D8539" s="3"/>
      <c r="E8539" s="3"/>
      <c r="F8539" s="3"/>
    </row>
    <row r="8540" spans="3:6" x14ac:dyDescent="0.3">
      <c r="C8540" s="3"/>
      <c r="D8540" s="3"/>
      <c r="E8540" s="3"/>
      <c r="F8540" s="3"/>
    </row>
    <row r="8541" spans="3:6" x14ac:dyDescent="0.3">
      <c r="C8541" s="3"/>
      <c r="D8541" s="3"/>
      <c r="E8541" s="3"/>
      <c r="F8541" s="3"/>
    </row>
    <row r="8542" spans="3:6" x14ac:dyDescent="0.3">
      <c r="C8542" s="3"/>
      <c r="D8542" s="3"/>
      <c r="E8542" s="3"/>
      <c r="F8542" s="3"/>
    </row>
    <row r="8543" spans="3:6" x14ac:dyDescent="0.3">
      <c r="C8543" s="3"/>
      <c r="D8543" s="3"/>
      <c r="E8543" s="3"/>
      <c r="F8543" s="3"/>
    </row>
    <row r="8544" spans="3:6" x14ac:dyDescent="0.3">
      <c r="C8544" s="3"/>
      <c r="D8544" s="3"/>
      <c r="E8544" s="3"/>
      <c r="F8544" s="3"/>
    </row>
    <row r="8545" spans="3:6" x14ac:dyDescent="0.3">
      <c r="C8545" s="3"/>
      <c r="D8545" s="3"/>
      <c r="E8545" s="3"/>
      <c r="F8545" s="3"/>
    </row>
    <row r="8546" spans="3:6" x14ac:dyDescent="0.3">
      <c r="C8546" s="3"/>
      <c r="D8546" s="3"/>
      <c r="E8546" s="3"/>
      <c r="F8546" s="3"/>
    </row>
    <row r="8547" spans="3:6" x14ac:dyDescent="0.3">
      <c r="C8547" s="3"/>
      <c r="D8547" s="3"/>
      <c r="E8547" s="3"/>
      <c r="F8547" s="3"/>
    </row>
    <row r="8548" spans="3:6" x14ac:dyDescent="0.3">
      <c r="C8548" s="3"/>
      <c r="D8548" s="3"/>
      <c r="E8548" s="3"/>
      <c r="F8548" s="3"/>
    </row>
    <row r="8549" spans="3:6" x14ac:dyDescent="0.3">
      <c r="C8549" s="3"/>
      <c r="D8549" s="3"/>
      <c r="E8549" s="3"/>
      <c r="F8549" s="3"/>
    </row>
    <row r="8550" spans="3:6" x14ac:dyDescent="0.3">
      <c r="C8550" s="3"/>
      <c r="D8550" s="3"/>
      <c r="E8550" s="3"/>
      <c r="F8550" s="3"/>
    </row>
    <row r="8551" spans="3:6" x14ac:dyDescent="0.3">
      <c r="C8551" s="3"/>
      <c r="D8551" s="3"/>
      <c r="E8551" s="3"/>
      <c r="F8551" s="3"/>
    </row>
    <row r="8552" spans="3:6" x14ac:dyDescent="0.3">
      <c r="C8552" s="3"/>
      <c r="D8552" s="3"/>
      <c r="E8552" s="3"/>
      <c r="F8552" s="3"/>
    </row>
    <row r="8553" spans="3:6" x14ac:dyDescent="0.3">
      <c r="C8553" s="3"/>
      <c r="D8553" s="3"/>
      <c r="E8553" s="3"/>
      <c r="F8553" s="3"/>
    </row>
    <row r="8554" spans="3:6" x14ac:dyDescent="0.3">
      <c r="C8554" s="3"/>
      <c r="D8554" s="3"/>
      <c r="E8554" s="3"/>
      <c r="F8554" s="3"/>
    </row>
    <row r="8555" spans="3:6" x14ac:dyDescent="0.3">
      <c r="C8555" s="3"/>
      <c r="D8555" s="3"/>
      <c r="E8555" s="3"/>
      <c r="F8555" s="3"/>
    </row>
    <row r="8556" spans="3:6" x14ac:dyDescent="0.3">
      <c r="C8556" s="3"/>
      <c r="D8556" s="3"/>
      <c r="E8556" s="3"/>
      <c r="F8556" s="3"/>
    </row>
    <row r="8557" spans="3:6" x14ac:dyDescent="0.3">
      <c r="C8557" s="3"/>
      <c r="D8557" s="3"/>
      <c r="E8557" s="3"/>
      <c r="F8557" s="3"/>
    </row>
    <row r="8558" spans="3:6" x14ac:dyDescent="0.3">
      <c r="C8558" s="3"/>
      <c r="D8558" s="3"/>
      <c r="E8558" s="3"/>
      <c r="F8558" s="3"/>
    </row>
    <row r="8559" spans="3:6" x14ac:dyDescent="0.3">
      <c r="C8559" s="3"/>
      <c r="D8559" s="3"/>
      <c r="E8559" s="3"/>
      <c r="F8559" s="3"/>
    </row>
    <row r="8560" spans="3:6" x14ac:dyDescent="0.3">
      <c r="C8560" s="3"/>
      <c r="D8560" s="3"/>
      <c r="E8560" s="3"/>
      <c r="F8560" s="3"/>
    </row>
    <row r="8561" spans="3:6" x14ac:dyDescent="0.3">
      <c r="C8561" s="3"/>
      <c r="D8561" s="3"/>
      <c r="E8561" s="3"/>
      <c r="F8561" s="3"/>
    </row>
    <row r="8562" spans="3:6" x14ac:dyDescent="0.3">
      <c r="C8562" s="3"/>
      <c r="D8562" s="3"/>
      <c r="E8562" s="3"/>
      <c r="F8562" s="3"/>
    </row>
    <row r="8563" spans="3:6" x14ac:dyDescent="0.3">
      <c r="C8563" s="3"/>
      <c r="D8563" s="3"/>
      <c r="E8563" s="3"/>
      <c r="F8563" s="3"/>
    </row>
    <row r="8564" spans="3:6" x14ac:dyDescent="0.3">
      <c r="C8564" s="3"/>
      <c r="D8564" s="3"/>
      <c r="E8564" s="3"/>
      <c r="F8564" s="3"/>
    </row>
    <row r="8565" spans="3:6" x14ac:dyDescent="0.3">
      <c r="C8565" s="3"/>
      <c r="D8565" s="3"/>
      <c r="E8565" s="3"/>
      <c r="F8565" s="3"/>
    </row>
    <row r="8566" spans="3:6" x14ac:dyDescent="0.3">
      <c r="C8566" s="3"/>
      <c r="D8566" s="3"/>
      <c r="E8566" s="3"/>
      <c r="F8566" s="3"/>
    </row>
    <row r="8567" spans="3:6" x14ac:dyDescent="0.3">
      <c r="C8567" s="3"/>
      <c r="D8567" s="3"/>
      <c r="E8567" s="3"/>
      <c r="F8567" s="3"/>
    </row>
    <row r="8568" spans="3:6" x14ac:dyDescent="0.3">
      <c r="C8568" s="3"/>
      <c r="D8568" s="3"/>
      <c r="E8568" s="3"/>
      <c r="F8568" s="3"/>
    </row>
    <row r="8569" spans="3:6" x14ac:dyDescent="0.3">
      <c r="C8569" s="3"/>
      <c r="D8569" s="3"/>
      <c r="E8569" s="3"/>
      <c r="F8569" s="3"/>
    </row>
    <row r="8570" spans="3:6" x14ac:dyDescent="0.3">
      <c r="C8570" s="3"/>
      <c r="D8570" s="3"/>
      <c r="E8570" s="3"/>
      <c r="F8570" s="3"/>
    </row>
    <row r="8571" spans="3:6" x14ac:dyDescent="0.3">
      <c r="C8571" s="3"/>
      <c r="D8571" s="3"/>
      <c r="E8571" s="3"/>
      <c r="F8571" s="3"/>
    </row>
    <row r="8572" spans="3:6" x14ac:dyDescent="0.3">
      <c r="C8572" s="3"/>
      <c r="D8572" s="3"/>
      <c r="E8572" s="3"/>
      <c r="F8572" s="3"/>
    </row>
    <row r="8573" spans="3:6" x14ac:dyDescent="0.3">
      <c r="C8573" s="3"/>
      <c r="D8573" s="3"/>
      <c r="E8573" s="3"/>
      <c r="F8573" s="3"/>
    </row>
    <row r="8574" spans="3:6" x14ac:dyDescent="0.3">
      <c r="C8574" s="3"/>
      <c r="D8574" s="3"/>
      <c r="E8574" s="3"/>
      <c r="F8574" s="3"/>
    </row>
    <row r="8575" spans="3:6" x14ac:dyDescent="0.3">
      <c r="C8575" s="3"/>
      <c r="D8575" s="3"/>
      <c r="E8575" s="3"/>
      <c r="F8575" s="3"/>
    </row>
    <row r="8576" spans="3:6" x14ac:dyDescent="0.3">
      <c r="C8576" s="3"/>
      <c r="D8576" s="3"/>
      <c r="E8576" s="3"/>
      <c r="F8576" s="3"/>
    </row>
    <row r="8577" spans="3:6" x14ac:dyDescent="0.3">
      <c r="C8577" s="3"/>
      <c r="D8577" s="3"/>
      <c r="E8577" s="3"/>
      <c r="F8577" s="3"/>
    </row>
    <row r="8578" spans="3:6" x14ac:dyDescent="0.3">
      <c r="C8578" s="3"/>
      <c r="D8578" s="3"/>
      <c r="E8578" s="3"/>
      <c r="F8578" s="3"/>
    </row>
    <row r="8579" spans="3:6" x14ac:dyDescent="0.3">
      <c r="C8579" s="3"/>
      <c r="D8579" s="3"/>
      <c r="E8579" s="3"/>
      <c r="F8579" s="3"/>
    </row>
    <row r="8580" spans="3:6" x14ac:dyDescent="0.3">
      <c r="C8580" s="3"/>
      <c r="D8580" s="3"/>
      <c r="E8580" s="3"/>
      <c r="F8580" s="3"/>
    </row>
    <row r="8581" spans="3:6" x14ac:dyDescent="0.3">
      <c r="C8581" s="3"/>
      <c r="D8581" s="3"/>
      <c r="E8581" s="3"/>
      <c r="F8581" s="3"/>
    </row>
    <row r="8582" spans="3:6" x14ac:dyDescent="0.3">
      <c r="C8582" s="3"/>
      <c r="D8582" s="3"/>
      <c r="E8582" s="3"/>
      <c r="F8582" s="3"/>
    </row>
    <row r="8583" spans="3:6" x14ac:dyDescent="0.3">
      <c r="C8583" s="3"/>
      <c r="D8583" s="3"/>
      <c r="E8583" s="3"/>
      <c r="F8583" s="3"/>
    </row>
    <row r="8584" spans="3:6" x14ac:dyDescent="0.3">
      <c r="C8584" s="3"/>
      <c r="D8584" s="3"/>
      <c r="E8584" s="3"/>
      <c r="F8584" s="3"/>
    </row>
    <row r="8585" spans="3:6" x14ac:dyDescent="0.3">
      <c r="C8585" s="3"/>
      <c r="D8585" s="3"/>
      <c r="E8585" s="3"/>
      <c r="F8585" s="3"/>
    </row>
    <row r="8586" spans="3:6" x14ac:dyDescent="0.3">
      <c r="C8586" s="3"/>
      <c r="D8586" s="3"/>
      <c r="E8586" s="3"/>
      <c r="F8586" s="3"/>
    </row>
    <row r="8587" spans="3:6" x14ac:dyDescent="0.3">
      <c r="C8587" s="3"/>
      <c r="D8587" s="3"/>
      <c r="E8587" s="3"/>
      <c r="F8587" s="3"/>
    </row>
    <row r="8588" spans="3:6" x14ac:dyDescent="0.3">
      <c r="C8588" s="3"/>
      <c r="D8588" s="3"/>
      <c r="E8588" s="3"/>
      <c r="F8588" s="3"/>
    </row>
    <row r="8589" spans="3:6" x14ac:dyDescent="0.3">
      <c r="C8589" s="3"/>
      <c r="D8589" s="3"/>
      <c r="E8589" s="3"/>
      <c r="F8589" s="3"/>
    </row>
    <row r="8590" spans="3:6" x14ac:dyDescent="0.3">
      <c r="C8590" s="3"/>
      <c r="D8590" s="3"/>
      <c r="E8590" s="3"/>
      <c r="F8590" s="3"/>
    </row>
    <row r="8591" spans="3:6" x14ac:dyDescent="0.3">
      <c r="C8591" s="3"/>
      <c r="D8591" s="3"/>
      <c r="E8591" s="3"/>
      <c r="F8591" s="3"/>
    </row>
    <row r="8592" spans="3:6" x14ac:dyDescent="0.3">
      <c r="C8592" s="3"/>
      <c r="D8592" s="3"/>
      <c r="E8592" s="3"/>
      <c r="F8592" s="3"/>
    </row>
    <row r="8593" spans="3:6" x14ac:dyDescent="0.3">
      <c r="C8593" s="3"/>
      <c r="D8593" s="3"/>
      <c r="E8593" s="3"/>
      <c r="F8593" s="3"/>
    </row>
    <row r="8594" spans="3:6" x14ac:dyDescent="0.3">
      <c r="C8594" s="3"/>
      <c r="D8594" s="3"/>
      <c r="E8594" s="3"/>
      <c r="F8594" s="3"/>
    </row>
    <row r="8595" spans="3:6" x14ac:dyDescent="0.3">
      <c r="C8595" s="3"/>
      <c r="D8595" s="3"/>
      <c r="E8595" s="3"/>
      <c r="F8595" s="3"/>
    </row>
    <row r="8596" spans="3:6" x14ac:dyDescent="0.3">
      <c r="C8596" s="3"/>
      <c r="D8596" s="3"/>
      <c r="E8596" s="3"/>
      <c r="F8596" s="3"/>
    </row>
    <row r="8597" spans="3:6" x14ac:dyDescent="0.3">
      <c r="C8597" s="3"/>
      <c r="D8597" s="3"/>
      <c r="E8597" s="3"/>
      <c r="F8597" s="3"/>
    </row>
    <row r="8598" spans="3:6" x14ac:dyDescent="0.3">
      <c r="C8598" s="3"/>
      <c r="D8598" s="3"/>
      <c r="E8598" s="3"/>
      <c r="F8598" s="3"/>
    </row>
    <row r="8599" spans="3:6" x14ac:dyDescent="0.3">
      <c r="C8599" s="3"/>
      <c r="D8599" s="3"/>
      <c r="E8599" s="3"/>
      <c r="F8599" s="3"/>
    </row>
    <row r="8600" spans="3:6" x14ac:dyDescent="0.3">
      <c r="C8600" s="3"/>
      <c r="D8600" s="3"/>
      <c r="E8600" s="3"/>
      <c r="F8600" s="3"/>
    </row>
    <row r="8601" spans="3:6" x14ac:dyDescent="0.3">
      <c r="C8601" s="3"/>
      <c r="D8601" s="3"/>
      <c r="E8601" s="3"/>
      <c r="F8601" s="3"/>
    </row>
    <row r="8602" spans="3:6" x14ac:dyDescent="0.3">
      <c r="C8602" s="3"/>
      <c r="D8602" s="3"/>
      <c r="E8602" s="3"/>
      <c r="F8602" s="3"/>
    </row>
    <row r="8603" spans="3:6" x14ac:dyDescent="0.3">
      <c r="C8603" s="3"/>
      <c r="D8603" s="3"/>
      <c r="E8603" s="3"/>
      <c r="F8603" s="3"/>
    </row>
    <row r="8604" spans="3:6" x14ac:dyDescent="0.3">
      <c r="C8604" s="3"/>
      <c r="D8604" s="3"/>
      <c r="E8604" s="3"/>
      <c r="F8604" s="3"/>
    </row>
    <row r="8605" spans="3:6" x14ac:dyDescent="0.3">
      <c r="C8605" s="3"/>
      <c r="D8605" s="3"/>
      <c r="E8605" s="3"/>
      <c r="F8605" s="3"/>
    </row>
    <row r="8606" spans="3:6" x14ac:dyDescent="0.3">
      <c r="C8606" s="3"/>
      <c r="D8606" s="3"/>
      <c r="E8606" s="3"/>
      <c r="F8606" s="3"/>
    </row>
    <row r="8607" spans="3:6" x14ac:dyDescent="0.3">
      <c r="C8607" s="3"/>
      <c r="D8607" s="3"/>
      <c r="E8607" s="3"/>
      <c r="F8607" s="3"/>
    </row>
    <row r="8608" spans="3:6" x14ac:dyDescent="0.3">
      <c r="C8608" s="3"/>
      <c r="D8608" s="3"/>
      <c r="E8608" s="3"/>
      <c r="F8608" s="3"/>
    </row>
    <row r="8609" spans="3:6" x14ac:dyDescent="0.3">
      <c r="C8609" s="3"/>
      <c r="D8609" s="3"/>
      <c r="E8609" s="3"/>
      <c r="F8609" s="3"/>
    </row>
    <row r="8610" spans="3:6" x14ac:dyDescent="0.3">
      <c r="C8610" s="3"/>
      <c r="D8610" s="3"/>
      <c r="E8610" s="3"/>
      <c r="F8610" s="3"/>
    </row>
    <row r="8611" spans="3:6" x14ac:dyDescent="0.3">
      <c r="C8611" s="3"/>
      <c r="D8611" s="3"/>
      <c r="E8611" s="3"/>
      <c r="F8611" s="3"/>
    </row>
    <row r="8612" spans="3:6" x14ac:dyDescent="0.3">
      <c r="C8612" s="3"/>
      <c r="D8612" s="3"/>
      <c r="E8612" s="3"/>
      <c r="F8612" s="3"/>
    </row>
    <row r="8613" spans="3:6" x14ac:dyDescent="0.3">
      <c r="C8613" s="3"/>
      <c r="D8613" s="3"/>
      <c r="E8613" s="3"/>
      <c r="F8613" s="3"/>
    </row>
    <row r="8614" spans="3:6" x14ac:dyDescent="0.3">
      <c r="C8614" s="3"/>
      <c r="D8614" s="3"/>
      <c r="E8614" s="3"/>
      <c r="F8614" s="3"/>
    </row>
    <row r="8615" spans="3:6" x14ac:dyDescent="0.3">
      <c r="C8615" s="3"/>
      <c r="D8615" s="3"/>
      <c r="E8615" s="3"/>
      <c r="F8615" s="3"/>
    </row>
    <row r="8616" spans="3:6" x14ac:dyDescent="0.3">
      <c r="C8616" s="3"/>
      <c r="D8616" s="3"/>
      <c r="E8616" s="3"/>
      <c r="F8616" s="3"/>
    </row>
    <row r="8617" spans="3:6" x14ac:dyDescent="0.3">
      <c r="C8617" s="3"/>
      <c r="D8617" s="3"/>
      <c r="E8617" s="3"/>
      <c r="F8617" s="3"/>
    </row>
    <row r="8618" spans="3:6" x14ac:dyDescent="0.3">
      <c r="C8618" s="3"/>
      <c r="D8618" s="3"/>
      <c r="E8618" s="3"/>
      <c r="F8618" s="3"/>
    </row>
    <row r="8619" spans="3:6" x14ac:dyDescent="0.3">
      <c r="C8619" s="3"/>
      <c r="D8619" s="3"/>
      <c r="E8619" s="3"/>
      <c r="F8619" s="3"/>
    </row>
    <row r="8620" spans="3:6" x14ac:dyDescent="0.3">
      <c r="C8620" s="3"/>
      <c r="D8620" s="3"/>
      <c r="E8620" s="3"/>
      <c r="F8620" s="3"/>
    </row>
    <row r="8621" spans="3:6" x14ac:dyDescent="0.3">
      <c r="C8621" s="3"/>
      <c r="D8621" s="3"/>
      <c r="E8621" s="3"/>
      <c r="F8621" s="3"/>
    </row>
    <row r="8622" spans="3:6" x14ac:dyDescent="0.3">
      <c r="C8622" s="3"/>
      <c r="D8622" s="3"/>
      <c r="E8622" s="3"/>
      <c r="F8622" s="3"/>
    </row>
    <row r="8623" spans="3:6" x14ac:dyDescent="0.3">
      <c r="C8623" s="3"/>
      <c r="D8623" s="3"/>
      <c r="E8623" s="3"/>
      <c r="F8623" s="3"/>
    </row>
    <row r="8624" spans="3:6" x14ac:dyDescent="0.3">
      <c r="C8624" s="3"/>
      <c r="D8624" s="3"/>
      <c r="E8624" s="3"/>
      <c r="F8624" s="3"/>
    </row>
    <row r="8625" spans="3:6" x14ac:dyDescent="0.3">
      <c r="C8625" s="3"/>
      <c r="D8625" s="3"/>
      <c r="E8625" s="3"/>
      <c r="F8625" s="3"/>
    </row>
    <row r="8626" spans="3:6" x14ac:dyDescent="0.3">
      <c r="C8626" s="3"/>
      <c r="D8626" s="3"/>
      <c r="E8626" s="3"/>
      <c r="F8626" s="3"/>
    </row>
    <row r="8627" spans="3:6" x14ac:dyDescent="0.3">
      <c r="C8627" s="3"/>
      <c r="D8627" s="3"/>
      <c r="E8627" s="3"/>
      <c r="F8627" s="3"/>
    </row>
    <row r="8628" spans="3:6" x14ac:dyDescent="0.3">
      <c r="C8628" s="3"/>
      <c r="D8628" s="3"/>
      <c r="E8628" s="3"/>
      <c r="F8628" s="3"/>
    </row>
    <row r="8629" spans="3:6" x14ac:dyDescent="0.3">
      <c r="C8629" s="3"/>
      <c r="D8629" s="3"/>
      <c r="E8629" s="3"/>
      <c r="F8629" s="3"/>
    </row>
    <row r="8630" spans="3:6" x14ac:dyDescent="0.3">
      <c r="C8630" s="3"/>
      <c r="D8630" s="3"/>
      <c r="E8630" s="3"/>
      <c r="F8630" s="3"/>
    </row>
    <row r="8631" spans="3:6" x14ac:dyDescent="0.3">
      <c r="C8631" s="3"/>
      <c r="D8631" s="3"/>
      <c r="E8631" s="3"/>
      <c r="F8631" s="3"/>
    </row>
    <row r="8632" spans="3:6" x14ac:dyDescent="0.3">
      <c r="C8632" s="3"/>
      <c r="D8632" s="3"/>
      <c r="E8632" s="3"/>
      <c r="F8632" s="3"/>
    </row>
    <row r="8633" spans="3:6" x14ac:dyDescent="0.3">
      <c r="C8633" s="3"/>
      <c r="D8633" s="3"/>
      <c r="E8633" s="3"/>
      <c r="F8633" s="3"/>
    </row>
    <row r="8634" spans="3:6" x14ac:dyDescent="0.3">
      <c r="C8634" s="3"/>
      <c r="D8634" s="3"/>
      <c r="E8634" s="3"/>
      <c r="F8634" s="3"/>
    </row>
    <row r="8635" spans="3:6" x14ac:dyDescent="0.3">
      <c r="C8635" s="3"/>
      <c r="D8635" s="3"/>
      <c r="E8635" s="3"/>
      <c r="F8635" s="3"/>
    </row>
    <row r="8636" spans="3:6" x14ac:dyDescent="0.3">
      <c r="C8636" s="3"/>
      <c r="D8636" s="3"/>
      <c r="E8636" s="3"/>
      <c r="F8636" s="3"/>
    </row>
    <row r="8637" spans="3:6" x14ac:dyDescent="0.3">
      <c r="C8637" s="3"/>
      <c r="D8637" s="3"/>
      <c r="E8637" s="3"/>
      <c r="F8637" s="3"/>
    </row>
    <row r="8638" spans="3:6" x14ac:dyDescent="0.3">
      <c r="C8638" s="3"/>
      <c r="D8638" s="3"/>
      <c r="E8638" s="3"/>
      <c r="F8638" s="3"/>
    </row>
    <row r="8639" spans="3:6" x14ac:dyDescent="0.3">
      <c r="C8639" s="3"/>
      <c r="D8639" s="3"/>
      <c r="E8639" s="3"/>
      <c r="F8639" s="3"/>
    </row>
    <row r="8640" spans="3:6" x14ac:dyDescent="0.3">
      <c r="C8640" s="3"/>
      <c r="D8640" s="3"/>
      <c r="E8640" s="3"/>
      <c r="F8640" s="3"/>
    </row>
    <row r="8641" spans="3:6" x14ac:dyDescent="0.3">
      <c r="C8641" s="3"/>
      <c r="D8641" s="3"/>
      <c r="E8641" s="3"/>
      <c r="F8641" s="3"/>
    </row>
    <row r="8642" spans="3:6" x14ac:dyDescent="0.3">
      <c r="C8642" s="3"/>
      <c r="D8642" s="3"/>
      <c r="E8642" s="3"/>
      <c r="F8642" s="3"/>
    </row>
    <row r="8643" spans="3:6" x14ac:dyDescent="0.3">
      <c r="C8643" s="3"/>
      <c r="D8643" s="3"/>
      <c r="E8643" s="3"/>
      <c r="F8643" s="3"/>
    </row>
    <row r="8644" spans="3:6" x14ac:dyDescent="0.3">
      <c r="C8644" s="3"/>
      <c r="D8644" s="3"/>
      <c r="E8644" s="3"/>
      <c r="F8644" s="3"/>
    </row>
    <row r="8645" spans="3:6" x14ac:dyDescent="0.3">
      <c r="C8645" s="3"/>
      <c r="D8645" s="3"/>
      <c r="E8645" s="3"/>
      <c r="F8645" s="3"/>
    </row>
    <row r="8646" spans="3:6" x14ac:dyDescent="0.3">
      <c r="C8646" s="3"/>
      <c r="D8646" s="3"/>
      <c r="E8646" s="3"/>
      <c r="F8646" s="3"/>
    </row>
    <row r="8647" spans="3:6" x14ac:dyDescent="0.3">
      <c r="C8647" s="3"/>
      <c r="D8647" s="3"/>
      <c r="E8647" s="3"/>
      <c r="F8647" s="3"/>
    </row>
    <row r="8648" spans="3:6" x14ac:dyDescent="0.3">
      <c r="C8648" s="3"/>
      <c r="D8648" s="3"/>
      <c r="E8648" s="3"/>
      <c r="F8648" s="3"/>
    </row>
    <row r="8649" spans="3:6" x14ac:dyDescent="0.3">
      <c r="C8649" s="3"/>
      <c r="D8649" s="3"/>
      <c r="E8649" s="3"/>
      <c r="F8649" s="3"/>
    </row>
    <row r="8650" spans="3:6" x14ac:dyDescent="0.3">
      <c r="C8650" s="3"/>
      <c r="D8650" s="3"/>
      <c r="E8650" s="3"/>
      <c r="F8650" s="3"/>
    </row>
    <row r="8651" spans="3:6" x14ac:dyDescent="0.3">
      <c r="C8651" s="3"/>
      <c r="D8651" s="3"/>
      <c r="E8651" s="3"/>
      <c r="F8651" s="3"/>
    </row>
    <row r="8652" spans="3:6" x14ac:dyDescent="0.3">
      <c r="C8652" s="3"/>
      <c r="D8652" s="3"/>
      <c r="E8652" s="3"/>
      <c r="F8652" s="3"/>
    </row>
    <row r="8653" spans="3:6" x14ac:dyDescent="0.3">
      <c r="C8653" s="3"/>
      <c r="D8653" s="3"/>
      <c r="E8653" s="3"/>
      <c r="F8653" s="3"/>
    </row>
    <row r="8654" spans="3:6" x14ac:dyDescent="0.3">
      <c r="C8654" s="3"/>
      <c r="D8654" s="3"/>
      <c r="E8654" s="3"/>
      <c r="F8654" s="3"/>
    </row>
    <row r="8655" spans="3:6" x14ac:dyDescent="0.3">
      <c r="C8655" s="3"/>
      <c r="D8655" s="3"/>
      <c r="E8655" s="3"/>
      <c r="F8655" s="3"/>
    </row>
    <row r="8656" spans="3:6" x14ac:dyDescent="0.3">
      <c r="C8656" s="3"/>
      <c r="D8656" s="3"/>
      <c r="E8656" s="3"/>
      <c r="F8656" s="3"/>
    </row>
    <row r="8657" spans="3:6" x14ac:dyDescent="0.3">
      <c r="C8657" s="3"/>
      <c r="D8657" s="3"/>
      <c r="E8657" s="3"/>
      <c r="F8657" s="3"/>
    </row>
    <row r="8658" spans="3:6" x14ac:dyDescent="0.3">
      <c r="C8658" s="3"/>
      <c r="D8658" s="3"/>
      <c r="E8658" s="3"/>
      <c r="F8658" s="3"/>
    </row>
    <row r="8659" spans="3:6" x14ac:dyDescent="0.3">
      <c r="C8659" s="3"/>
      <c r="D8659" s="3"/>
      <c r="E8659" s="3"/>
      <c r="F8659" s="3"/>
    </row>
    <row r="8660" spans="3:6" x14ac:dyDescent="0.3">
      <c r="C8660" s="3"/>
      <c r="D8660" s="3"/>
      <c r="E8660" s="3"/>
      <c r="F8660" s="3"/>
    </row>
    <row r="8661" spans="3:6" x14ac:dyDescent="0.3">
      <c r="C8661" s="3"/>
      <c r="D8661" s="3"/>
      <c r="E8661" s="3"/>
      <c r="F8661" s="3"/>
    </row>
    <row r="8662" spans="3:6" x14ac:dyDescent="0.3">
      <c r="C8662" s="3"/>
      <c r="D8662" s="3"/>
      <c r="E8662" s="3"/>
      <c r="F8662" s="3"/>
    </row>
    <row r="8663" spans="3:6" x14ac:dyDescent="0.3">
      <c r="C8663" s="3"/>
      <c r="D8663" s="3"/>
      <c r="E8663" s="3"/>
      <c r="F8663" s="3"/>
    </row>
    <row r="8664" spans="3:6" x14ac:dyDescent="0.3">
      <c r="C8664" s="3"/>
      <c r="D8664" s="3"/>
      <c r="E8664" s="3"/>
      <c r="F8664" s="3"/>
    </row>
    <row r="8665" spans="3:6" x14ac:dyDescent="0.3">
      <c r="C8665" s="3"/>
      <c r="D8665" s="3"/>
      <c r="E8665" s="3"/>
      <c r="F8665" s="3"/>
    </row>
    <row r="8666" spans="3:6" x14ac:dyDescent="0.3">
      <c r="C8666" s="3"/>
      <c r="D8666" s="3"/>
      <c r="E8666" s="3"/>
      <c r="F8666" s="3"/>
    </row>
    <row r="8667" spans="3:6" x14ac:dyDescent="0.3">
      <c r="C8667" s="3"/>
      <c r="D8667" s="3"/>
      <c r="E8667" s="3"/>
      <c r="F8667" s="3"/>
    </row>
    <row r="8668" spans="3:6" x14ac:dyDescent="0.3">
      <c r="C8668" s="3"/>
      <c r="D8668" s="3"/>
      <c r="E8668" s="3"/>
      <c r="F8668" s="3"/>
    </row>
    <row r="8669" spans="3:6" x14ac:dyDescent="0.3">
      <c r="C8669" s="3"/>
      <c r="D8669" s="3"/>
      <c r="E8669" s="3"/>
      <c r="F8669" s="3"/>
    </row>
    <row r="8670" spans="3:6" x14ac:dyDescent="0.3">
      <c r="C8670" s="3"/>
      <c r="D8670" s="3"/>
      <c r="E8670" s="3"/>
      <c r="F8670" s="3"/>
    </row>
    <row r="8671" spans="3:6" x14ac:dyDescent="0.3">
      <c r="C8671" s="3"/>
      <c r="D8671" s="3"/>
      <c r="E8671" s="3"/>
      <c r="F8671" s="3"/>
    </row>
    <row r="8672" spans="3:6" x14ac:dyDescent="0.3">
      <c r="C8672" s="3"/>
      <c r="D8672" s="3"/>
      <c r="E8672" s="3"/>
      <c r="F8672" s="3"/>
    </row>
    <row r="8673" spans="3:6" x14ac:dyDescent="0.3">
      <c r="C8673" s="3"/>
      <c r="D8673" s="3"/>
      <c r="E8673" s="3"/>
      <c r="F8673" s="3"/>
    </row>
    <row r="8674" spans="3:6" x14ac:dyDescent="0.3">
      <c r="C8674" s="3"/>
      <c r="D8674" s="3"/>
      <c r="E8674" s="3"/>
      <c r="F8674" s="3"/>
    </row>
    <row r="8675" spans="3:6" x14ac:dyDescent="0.3">
      <c r="C8675" s="3"/>
      <c r="D8675" s="3"/>
      <c r="E8675" s="3"/>
      <c r="F8675" s="3"/>
    </row>
    <row r="8676" spans="3:6" x14ac:dyDescent="0.3">
      <c r="C8676" s="3"/>
      <c r="D8676" s="3"/>
      <c r="E8676" s="3"/>
      <c r="F8676" s="3"/>
    </row>
    <row r="8677" spans="3:6" x14ac:dyDescent="0.3">
      <c r="C8677" s="3"/>
      <c r="D8677" s="3"/>
      <c r="E8677" s="3"/>
      <c r="F8677" s="3"/>
    </row>
    <row r="8678" spans="3:6" x14ac:dyDescent="0.3">
      <c r="C8678" s="3"/>
      <c r="D8678" s="3"/>
      <c r="E8678" s="3"/>
      <c r="F8678" s="3"/>
    </row>
    <row r="8679" spans="3:6" x14ac:dyDescent="0.3">
      <c r="C8679" s="3"/>
      <c r="D8679" s="3"/>
      <c r="E8679" s="3"/>
      <c r="F8679" s="3"/>
    </row>
    <row r="8680" spans="3:6" x14ac:dyDescent="0.3">
      <c r="C8680" s="3"/>
      <c r="D8680" s="3"/>
      <c r="E8680" s="3"/>
      <c r="F8680" s="3"/>
    </row>
    <row r="8681" spans="3:6" x14ac:dyDescent="0.3">
      <c r="C8681" s="3"/>
      <c r="D8681" s="3"/>
      <c r="E8681" s="3"/>
      <c r="F8681" s="3"/>
    </row>
    <row r="8682" spans="3:6" x14ac:dyDescent="0.3">
      <c r="C8682" s="3"/>
      <c r="D8682" s="3"/>
      <c r="E8682" s="3"/>
      <c r="F8682" s="3"/>
    </row>
    <row r="8683" spans="3:6" x14ac:dyDescent="0.3">
      <c r="C8683" s="3"/>
      <c r="D8683" s="3"/>
      <c r="E8683" s="3"/>
      <c r="F8683" s="3"/>
    </row>
    <row r="8684" spans="3:6" x14ac:dyDescent="0.3">
      <c r="C8684" s="3"/>
      <c r="D8684" s="3"/>
      <c r="E8684" s="3"/>
      <c r="F8684" s="3"/>
    </row>
    <row r="8685" spans="3:6" x14ac:dyDescent="0.3">
      <c r="C8685" s="3"/>
      <c r="D8685" s="3"/>
      <c r="E8685" s="3"/>
      <c r="F8685" s="3"/>
    </row>
    <row r="8686" spans="3:6" x14ac:dyDescent="0.3">
      <c r="C8686" s="3"/>
      <c r="D8686" s="3"/>
      <c r="E8686" s="3"/>
      <c r="F8686" s="3"/>
    </row>
    <row r="8687" spans="3:6" x14ac:dyDescent="0.3">
      <c r="C8687" s="3"/>
      <c r="D8687" s="3"/>
      <c r="E8687" s="3"/>
      <c r="F8687" s="3"/>
    </row>
    <row r="8688" spans="3:6" x14ac:dyDescent="0.3">
      <c r="C8688" s="3"/>
      <c r="D8688" s="3"/>
      <c r="E8688" s="3"/>
      <c r="F8688" s="3"/>
    </row>
    <row r="8689" spans="3:6" x14ac:dyDescent="0.3">
      <c r="C8689" s="3"/>
      <c r="D8689" s="3"/>
      <c r="E8689" s="3"/>
      <c r="F8689" s="3"/>
    </row>
    <row r="8690" spans="3:6" x14ac:dyDescent="0.3">
      <c r="C8690" s="3"/>
      <c r="D8690" s="3"/>
      <c r="E8690" s="3"/>
      <c r="F8690" s="3"/>
    </row>
    <row r="8691" spans="3:6" x14ac:dyDescent="0.3">
      <c r="C8691" s="3"/>
      <c r="D8691" s="3"/>
      <c r="E8691" s="3"/>
      <c r="F8691" s="3"/>
    </row>
    <row r="8692" spans="3:6" x14ac:dyDescent="0.3">
      <c r="C8692" s="3"/>
      <c r="D8692" s="3"/>
      <c r="E8692" s="3"/>
      <c r="F8692" s="3"/>
    </row>
    <row r="8693" spans="3:6" x14ac:dyDescent="0.3">
      <c r="C8693" s="3"/>
      <c r="D8693" s="3"/>
      <c r="E8693" s="3"/>
      <c r="F8693" s="3"/>
    </row>
    <row r="8694" spans="3:6" x14ac:dyDescent="0.3">
      <c r="C8694" s="3"/>
      <c r="D8694" s="3"/>
      <c r="E8694" s="3"/>
      <c r="F8694" s="3"/>
    </row>
    <row r="8695" spans="3:6" x14ac:dyDescent="0.3">
      <c r="C8695" s="3"/>
      <c r="D8695" s="3"/>
      <c r="E8695" s="3"/>
      <c r="F8695" s="3"/>
    </row>
    <row r="8696" spans="3:6" x14ac:dyDescent="0.3">
      <c r="C8696" s="3"/>
      <c r="D8696" s="3"/>
      <c r="E8696" s="3"/>
      <c r="F8696" s="3"/>
    </row>
    <row r="8697" spans="3:6" x14ac:dyDescent="0.3">
      <c r="C8697" s="3"/>
      <c r="D8697" s="3"/>
      <c r="E8697" s="3"/>
      <c r="F8697" s="3"/>
    </row>
    <row r="8698" spans="3:6" x14ac:dyDescent="0.3">
      <c r="C8698" s="3"/>
      <c r="D8698" s="3"/>
      <c r="E8698" s="3"/>
      <c r="F8698" s="3"/>
    </row>
    <row r="8699" spans="3:6" x14ac:dyDescent="0.3">
      <c r="C8699" s="3"/>
      <c r="D8699" s="3"/>
      <c r="E8699" s="3"/>
      <c r="F8699" s="3"/>
    </row>
    <row r="8700" spans="3:6" x14ac:dyDescent="0.3">
      <c r="C8700" s="3"/>
      <c r="D8700" s="3"/>
      <c r="E8700" s="3"/>
      <c r="F8700" s="3"/>
    </row>
    <row r="8701" spans="3:6" x14ac:dyDescent="0.3">
      <c r="C8701" s="3"/>
      <c r="D8701" s="3"/>
      <c r="E8701" s="3"/>
      <c r="F8701" s="3"/>
    </row>
    <row r="8702" spans="3:6" x14ac:dyDescent="0.3">
      <c r="C8702" s="3"/>
      <c r="D8702" s="3"/>
      <c r="E8702" s="3"/>
      <c r="F8702" s="3"/>
    </row>
    <row r="8703" spans="3:6" x14ac:dyDescent="0.3">
      <c r="C8703" s="3"/>
      <c r="D8703" s="3"/>
      <c r="E8703" s="3"/>
      <c r="F8703" s="3"/>
    </row>
    <row r="8704" spans="3:6" x14ac:dyDescent="0.3">
      <c r="C8704" s="3"/>
      <c r="D8704" s="3"/>
      <c r="E8704" s="3"/>
      <c r="F8704" s="3"/>
    </row>
    <row r="8705" spans="3:6" x14ac:dyDescent="0.3">
      <c r="C8705" s="3"/>
      <c r="D8705" s="3"/>
      <c r="E8705" s="3"/>
      <c r="F8705" s="3"/>
    </row>
    <row r="8706" spans="3:6" x14ac:dyDescent="0.3">
      <c r="C8706" s="3"/>
      <c r="D8706" s="3"/>
      <c r="E8706" s="3"/>
      <c r="F8706" s="3"/>
    </row>
    <row r="8707" spans="3:6" x14ac:dyDescent="0.3">
      <c r="C8707" s="3"/>
      <c r="D8707" s="3"/>
      <c r="E8707" s="3"/>
      <c r="F8707" s="3"/>
    </row>
    <row r="8708" spans="3:6" x14ac:dyDescent="0.3">
      <c r="C8708" s="3"/>
      <c r="D8708" s="3"/>
      <c r="E8708" s="3"/>
      <c r="F8708" s="3"/>
    </row>
    <row r="8709" spans="3:6" x14ac:dyDescent="0.3">
      <c r="C8709" s="3"/>
      <c r="D8709" s="3"/>
      <c r="E8709" s="3"/>
      <c r="F8709" s="3"/>
    </row>
    <row r="8710" spans="3:6" x14ac:dyDescent="0.3">
      <c r="C8710" s="3"/>
      <c r="D8710" s="3"/>
      <c r="E8710" s="3"/>
      <c r="F8710" s="3"/>
    </row>
    <row r="8711" spans="3:6" x14ac:dyDescent="0.3">
      <c r="C8711" s="3"/>
      <c r="D8711" s="3"/>
      <c r="E8711" s="3"/>
      <c r="F8711" s="3"/>
    </row>
    <row r="8712" spans="3:6" x14ac:dyDescent="0.3">
      <c r="C8712" s="3"/>
      <c r="D8712" s="3"/>
      <c r="E8712" s="3"/>
      <c r="F8712" s="3"/>
    </row>
    <row r="8713" spans="3:6" x14ac:dyDescent="0.3">
      <c r="C8713" s="3"/>
      <c r="D8713" s="3"/>
      <c r="E8713" s="3"/>
      <c r="F8713" s="3"/>
    </row>
    <row r="8714" spans="3:6" x14ac:dyDescent="0.3">
      <c r="C8714" s="3"/>
      <c r="D8714" s="3"/>
      <c r="E8714" s="3"/>
      <c r="F8714" s="3"/>
    </row>
    <row r="8715" spans="3:6" x14ac:dyDescent="0.3">
      <c r="C8715" s="3"/>
      <c r="D8715" s="3"/>
      <c r="E8715" s="3"/>
      <c r="F8715" s="3"/>
    </row>
    <row r="8716" spans="3:6" x14ac:dyDescent="0.3">
      <c r="C8716" s="3"/>
      <c r="D8716" s="3"/>
      <c r="E8716" s="3"/>
      <c r="F8716" s="3"/>
    </row>
    <row r="8717" spans="3:6" x14ac:dyDescent="0.3">
      <c r="C8717" s="3"/>
      <c r="D8717" s="3"/>
      <c r="E8717" s="3"/>
      <c r="F8717" s="3"/>
    </row>
    <row r="8718" spans="3:6" x14ac:dyDescent="0.3">
      <c r="C8718" s="3"/>
      <c r="D8718" s="3"/>
      <c r="E8718" s="3"/>
      <c r="F8718" s="3"/>
    </row>
    <row r="8719" spans="3:6" x14ac:dyDescent="0.3">
      <c r="C8719" s="3"/>
      <c r="D8719" s="3"/>
      <c r="E8719" s="3"/>
      <c r="F8719" s="3"/>
    </row>
    <row r="8720" spans="3:6" x14ac:dyDescent="0.3">
      <c r="C8720" s="3"/>
      <c r="D8720" s="3"/>
      <c r="E8720" s="3"/>
      <c r="F8720" s="3"/>
    </row>
    <row r="8721" spans="3:6" x14ac:dyDescent="0.3">
      <c r="C8721" s="3"/>
      <c r="D8721" s="3"/>
      <c r="E8721" s="3"/>
      <c r="F8721" s="3"/>
    </row>
    <row r="8722" spans="3:6" x14ac:dyDescent="0.3">
      <c r="C8722" s="3"/>
      <c r="D8722" s="3"/>
      <c r="E8722" s="3"/>
      <c r="F8722" s="3"/>
    </row>
    <row r="8723" spans="3:6" x14ac:dyDescent="0.3">
      <c r="C8723" s="3"/>
      <c r="D8723" s="3"/>
      <c r="E8723" s="3"/>
      <c r="F8723" s="3"/>
    </row>
    <row r="8724" spans="3:6" x14ac:dyDescent="0.3">
      <c r="C8724" s="3"/>
      <c r="D8724" s="3"/>
      <c r="E8724" s="3"/>
      <c r="F8724" s="3"/>
    </row>
    <row r="8725" spans="3:6" x14ac:dyDescent="0.3">
      <c r="C8725" s="3"/>
      <c r="D8725" s="3"/>
      <c r="E8725" s="3"/>
      <c r="F8725" s="3"/>
    </row>
    <row r="8726" spans="3:6" x14ac:dyDescent="0.3">
      <c r="C8726" s="3"/>
      <c r="D8726" s="3"/>
      <c r="E8726" s="3"/>
      <c r="F8726" s="3"/>
    </row>
    <row r="8727" spans="3:6" x14ac:dyDescent="0.3">
      <c r="C8727" s="3"/>
      <c r="D8727" s="3"/>
      <c r="E8727" s="3"/>
      <c r="F8727" s="3"/>
    </row>
    <row r="8728" spans="3:6" x14ac:dyDescent="0.3">
      <c r="C8728" s="3"/>
      <c r="D8728" s="3"/>
      <c r="E8728" s="3"/>
      <c r="F8728" s="3"/>
    </row>
    <row r="8729" spans="3:6" x14ac:dyDescent="0.3">
      <c r="C8729" s="3"/>
      <c r="D8729" s="3"/>
      <c r="E8729" s="3"/>
      <c r="F8729" s="3"/>
    </row>
    <row r="8730" spans="3:6" x14ac:dyDescent="0.3">
      <c r="C8730" s="3"/>
      <c r="D8730" s="3"/>
      <c r="E8730" s="3"/>
      <c r="F8730" s="3"/>
    </row>
    <row r="8731" spans="3:6" x14ac:dyDescent="0.3">
      <c r="C8731" s="3"/>
      <c r="D8731" s="3"/>
      <c r="E8731" s="3"/>
      <c r="F8731" s="3"/>
    </row>
    <row r="8732" spans="3:6" x14ac:dyDescent="0.3">
      <c r="C8732" s="3"/>
      <c r="D8732" s="3"/>
      <c r="E8732" s="3"/>
      <c r="F8732" s="3"/>
    </row>
    <row r="8733" spans="3:6" x14ac:dyDescent="0.3">
      <c r="C8733" s="3"/>
      <c r="D8733" s="3"/>
      <c r="E8733" s="3"/>
      <c r="F8733" s="3"/>
    </row>
    <row r="8734" spans="3:6" x14ac:dyDescent="0.3">
      <c r="C8734" s="3"/>
      <c r="D8734" s="3"/>
      <c r="E8734" s="3"/>
      <c r="F8734" s="3"/>
    </row>
    <row r="8735" spans="3:6" x14ac:dyDescent="0.3">
      <c r="C8735" s="3"/>
      <c r="D8735" s="3"/>
      <c r="E8735" s="3"/>
      <c r="F8735" s="3"/>
    </row>
    <row r="8736" spans="3:6" x14ac:dyDescent="0.3">
      <c r="C8736" s="3"/>
      <c r="D8736" s="3"/>
      <c r="E8736" s="3"/>
      <c r="F8736" s="3"/>
    </row>
    <row r="8737" spans="3:6" x14ac:dyDescent="0.3">
      <c r="C8737" s="3"/>
      <c r="D8737" s="3"/>
      <c r="E8737" s="3"/>
      <c r="F8737" s="3"/>
    </row>
    <row r="8738" spans="3:6" x14ac:dyDescent="0.3">
      <c r="C8738" s="3"/>
      <c r="D8738" s="3"/>
      <c r="E8738" s="3"/>
      <c r="F8738" s="3"/>
    </row>
    <row r="8739" spans="3:6" x14ac:dyDescent="0.3">
      <c r="C8739" s="3"/>
      <c r="D8739" s="3"/>
      <c r="E8739" s="3"/>
      <c r="F8739" s="3"/>
    </row>
    <row r="8740" spans="3:6" x14ac:dyDescent="0.3">
      <c r="C8740" s="3"/>
      <c r="D8740" s="3"/>
      <c r="E8740" s="3"/>
      <c r="F8740" s="3"/>
    </row>
    <row r="8741" spans="3:6" x14ac:dyDescent="0.3">
      <c r="C8741" s="3"/>
      <c r="D8741" s="3"/>
      <c r="E8741" s="3"/>
      <c r="F8741" s="3"/>
    </row>
    <row r="8742" spans="3:6" x14ac:dyDescent="0.3">
      <c r="C8742" s="3"/>
      <c r="D8742" s="3"/>
      <c r="E8742" s="3"/>
      <c r="F8742" s="3"/>
    </row>
    <row r="8743" spans="3:6" x14ac:dyDescent="0.3">
      <c r="C8743" s="3"/>
      <c r="D8743" s="3"/>
      <c r="E8743" s="3"/>
      <c r="F8743" s="3"/>
    </row>
    <row r="8744" spans="3:6" x14ac:dyDescent="0.3">
      <c r="C8744" s="3"/>
      <c r="D8744" s="3"/>
      <c r="E8744" s="3"/>
      <c r="F8744" s="3"/>
    </row>
    <row r="8745" spans="3:6" x14ac:dyDescent="0.3">
      <c r="C8745" s="3"/>
      <c r="D8745" s="3"/>
      <c r="E8745" s="3"/>
      <c r="F8745" s="3"/>
    </row>
    <row r="8746" spans="3:6" x14ac:dyDescent="0.3">
      <c r="C8746" s="3"/>
      <c r="D8746" s="3"/>
      <c r="E8746" s="3"/>
      <c r="F8746" s="3"/>
    </row>
    <row r="8747" spans="3:6" x14ac:dyDescent="0.3">
      <c r="C8747" s="3"/>
      <c r="D8747" s="3"/>
      <c r="E8747" s="3"/>
      <c r="F8747" s="3"/>
    </row>
    <row r="8748" spans="3:6" x14ac:dyDescent="0.3">
      <c r="C8748" s="3"/>
      <c r="D8748" s="3"/>
      <c r="E8748" s="3"/>
      <c r="F8748" s="3"/>
    </row>
    <row r="8749" spans="3:6" x14ac:dyDescent="0.3">
      <c r="C8749" s="3"/>
      <c r="D8749" s="3"/>
      <c r="E8749" s="3"/>
      <c r="F8749" s="3"/>
    </row>
    <row r="8750" spans="3:6" x14ac:dyDescent="0.3">
      <c r="C8750" s="3"/>
      <c r="D8750" s="3"/>
      <c r="E8750" s="3"/>
      <c r="F8750" s="3"/>
    </row>
    <row r="8751" spans="3:6" x14ac:dyDescent="0.3">
      <c r="C8751" s="3"/>
      <c r="D8751" s="3"/>
      <c r="E8751" s="3"/>
      <c r="F8751" s="3"/>
    </row>
    <row r="8752" spans="3:6" x14ac:dyDescent="0.3">
      <c r="C8752" s="3"/>
      <c r="D8752" s="3"/>
      <c r="E8752" s="3"/>
      <c r="F8752" s="3"/>
    </row>
    <row r="8753" spans="3:6" x14ac:dyDescent="0.3">
      <c r="C8753" s="3"/>
      <c r="D8753" s="3"/>
      <c r="E8753" s="3"/>
      <c r="F8753" s="3"/>
    </row>
    <row r="8754" spans="3:6" x14ac:dyDescent="0.3">
      <c r="C8754" s="3"/>
      <c r="D8754" s="3"/>
      <c r="E8754" s="3"/>
      <c r="F8754" s="3"/>
    </row>
    <row r="8755" spans="3:6" x14ac:dyDescent="0.3">
      <c r="C8755" s="3"/>
      <c r="D8755" s="3"/>
      <c r="E8755" s="3"/>
      <c r="F8755" s="3"/>
    </row>
    <row r="8756" spans="3:6" x14ac:dyDescent="0.3">
      <c r="C8756" s="3"/>
      <c r="D8756" s="3"/>
      <c r="E8756" s="3"/>
      <c r="F8756" s="3"/>
    </row>
    <row r="8757" spans="3:6" x14ac:dyDescent="0.3">
      <c r="C8757" s="3"/>
      <c r="D8757" s="3"/>
      <c r="E8757" s="3"/>
      <c r="F8757" s="3"/>
    </row>
    <row r="8758" spans="3:6" x14ac:dyDescent="0.3">
      <c r="C8758" s="3"/>
      <c r="D8758" s="3"/>
      <c r="E8758" s="3"/>
      <c r="F8758" s="3"/>
    </row>
    <row r="8759" spans="3:6" x14ac:dyDescent="0.3">
      <c r="C8759" s="3"/>
      <c r="D8759" s="3"/>
      <c r="E8759" s="3"/>
      <c r="F8759" s="3"/>
    </row>
    <row r="8760" spans="3:6" x14ac:dyDescent="0.3">
      <c r="C8760" s="3"/>
      <c r="D8760" s="3"/>
      <c r="E8760" s="3"/>
      <c r="F8760" s="3"/>
    </row>
    <row r="8761" spans="3:6" x14ac:dyDescent="0.3">
      <c r="C8761" s="3"/>
      <c r="D8761" s="3"/>
      <c r="E8761" s="3"/>
      <c r="F8761" s="3"/>
    </row>
    <row r="8762" spans="3:6" x14ac:dyDescent="0.3">
      <c r="C8762" s="3"/>
      <c r="D8762" s="3"/>
      <c r="E8762" s="3"/>
      <c r="F8762" s="3"/>
    </row>
    <row r="8763" spans="3:6" x14ac:dyDescent="0.3">
      <c r="C8763" s="3"/>
      <c r="D8763" s="3"/>
      <c r="E8763" s="3"/>
      <c r="F8763" s="3"/>
    </row>
    <row r="8764" spans="3:6" x14ac:dyDescent="0.3">
      <c r="C8764" s="3"/>
      <c r="D8764" s="3"/>
      <c r="E8764" s="3"/>
      <c r="F8764" s="3"/>
    </row>
    <row r="8765" spans="3:6" x14ac:dyDescent="0.3">
      <c r="C8765" s="3"/>
      <c r="D8765" s="3"/>
      <c r="E8765" s="3"/>
      <c r="F8765" s="3"/>
    </row>
    <row r="8766" spans="3:6" x14ac:dyDescent="0.3">
      <c r="C8766" s="3"/>
      <c r="D8766" s="3"/>
      <c r="E8766" s="3"/>
      <c r="F8766" s="3"/>
    </row>
    <row r="8767" spans="3:6" x14ac:dyDescent="0.3">
      <c r="C8767" s="3"/>
      <c r="D8767" s="3"/>
      <c r="E8767" s="3"/>
      <c r="F8767" s="3"/>
    </row>
    <row r="8768" spans="3:6" x14ac:dyDescent="0.3">
      <c r="C8768" s="3"/>
      <c r="D8768" s="3"/>
      <c r="E8768" s="3"/>
      <c r="F8768" s="3"/>
    </row>
    <row r="8769" spans="3:6" x14ac:dyDescent="0.3">
      <c r="C8769" s="3"/>
      <c r="D8769" s="3"/>
      <c r="E8769" s="3"/>
      <c r="F8769" s="3"/>
    </row>
    <row r="8770" spans="3:6" x14ac:dyDescent="0.3">
      <c r="C8770" s="3"/>
      <c r="D8770" s="3"/>
      <c r="E8770" s="3"/>
      <c r="F8770" s="3"/>
    </row>
    <row r="8771" spans="3:6" x14ac:dyDescent="0.3">
      <c r="C8771" s="3"/>
      <c r="D8771" s="3"/>
      <c r="E8771" s="3"/>
      <c r="F8771" s="3"/>
    </row>
    <row r="8772" spans="3:6" x14ac:dyDescent="0.3">
      <c r="C8772" s="3"/>
      <c r="D8772" s="3"/>
      <c r="E8772" s="3"/>
      <c r="F8772" s="3"/>
    </row>
    <row r="8773" spans="3:6" x14ac:dyDescent="0.3">
      <c r="C8773" s="3"/>
      <c r="D8773" s="3"/>
      <c r="E8773" s="3"/>
      <c r="F8773" s="3"/>
    </row>
    <row r="8774" spans="3:6" x14ac:dyDescent="0.3">
      <c r="C8774" s="3"/>
      <c r="D8774" s="3"/>
      <c r="E8774" s="3"/>
      <c r="F8774" s="3"/>
    </row>
    <row r="8775" spans="3:6" x14ac:dyDescent="0.3">
      <c r="C8775" s="3"/>
      <c r="D8775" s="3"/>
      <c r="E8775" s="3"/>
      <c r="F8775" s="3"/>
    </row>
    <row r="8776" spans="3:6" x14ac:dyDescent="0.3">
      <c r="C8776" s="3"/>
      <c r="D8776" s="3"/>
      <c r="E8776" s="3"/>
      <c r="F8776" s="3"/>
    </row>
    <row r="8777" spans="3:6" x14ac:dyDescent="0.3">
      <c r="C8777" s="3"/>
      <c r="D8777" s="3"/>
      <c r="E8777" s="3"/>
      <c r="F8777" s="3"/>
    </row>
    <row r="8778" spans="3:6" x14ac:dyDescent="0.3">
      <c r="C8778" s="3"/>
      <c r="D8778" s="3"/>
      <c r="E8778" s="3"/>
      <c r="F8778" s="3"/>
    </row>
    <row r="8779" spans="3:6" x14ac:dyDescent="0.3">
      <c r="C8779" s="3"/>
      <c r="D8779" s="3"/>
      <c r="E8779" s="3"/>
      <c r="F8779" s="3"/>
    </row>
    <row r="8780" spans="3:6" x14ac:dyDescent="0.3">
      <c r="C8780" s="3"/>
      <c r="D8780" s="3"/>
      <c r="E8780" s="3"/>
      <c r="F8780" s="3"/>
    </row>
    <row r="8781" spans="3:6" x14ac:dyDescent="0.3">
      <c r="C8781" s="3"/>
      <c r="D8781" s="3"/>
      <c r="E8781" s="3"/>
      <c r="F8781" s="3"/>
    </row>
    <row r="8782" spans="3:6" x14ac:dyDescent="0.3">
      <c r="C8782" s="3"/>
      <c r="D8782" s="3"/>
      <c r="E8782" s="3"/>
      <c r="F8782" s="3"/>
    </row>
    <row r="8783" spans="3:6" x14ac:dyDescent="0.3">
      <c r="C8783" s="3"/>
      <c r="D8783" s="3"/>
      <c r="E8783" s="3"/>
      <c r="F8783" s="3"/>
    </row>
    <row r="8784" spans="3:6" x14ac:dyDescent="0.3">
      <c r="C8784" s="3"/>
      <c r="D8784" s="3"/>
      <c r="E8784" s="3"/>
      <c r="F8784" s="3"/>
    </row>
    <row r="8785" spans="3:6" x14ac:dyDescent="0.3">
      <c r="C8785" s="3"/>
      <c r="D8785" s="3"/>
      <c r="E8785" s="3"/>
      <c r="F8785" s="3"/>
    </row>
    <row r="8786" spans="3:6" x14ac:dyDescent="0.3">
      <c r="C8786" s="3"/>
      <c r="D8786" s="3"/>
      <c r="E8786" s="3"/>
      <c r="F8786" s="3"/>
    </row>
    <row r="8787" spans="3:6" x14ac:dyDescent="0.3">
      <c r="C8787" s="3"/>
      <c r="D8787" s="3"/>
      <c r="E8787" s="3"/>
      <c r="F8787" s="3"/>
    </row>
    <row r="8788" spans="3:6" x14ac:dyDescent="0.3">
      <c r="C8788" s="3"/>
      <c r="D8788" s="3"/>
      <c r="E8788" s="3"/>
      <c r="F8788" s="3"/>
    </row>
    <row r="8789" spans="3:6" x14ac:dyDescent="0.3">
      <c r="C8789" s="3"/>
      <c r="D8789" s="3"/>
      <c r="E8789" s="3"/>
      <c r="F8789" s="3"/>
    </row>
    <row r="8790" spans="3:6" x14ac:dyDescent="0.3">
      <c r="C8790" s="3"/>
      <c r="D8790" s="3"/>
      <c r="E8790" s="3"/>
      <c r="F8790" s="3"/>
    </row>
    <row r="8791" spans="3:6" x14ac:dyDescent="0.3">
      <c r="C8791" s="3"/>
      <c r="D8791" s="3"/>
      <c r="E8791" s="3"/>
      <c r="F8791" s="3"/>
    </row>
    <row r="8792" spans="3:6" x14ac:dyDescent="0.3">
      <c r="C8792" s="3"/>
      <c r="D8792" s="3"/>
      <c r="E8792" s="3"/>
      <c r="F8792" s="3"/>
    </row>
    <row r="8793" spans="3:6" x14ac:dyDescent="0.3">
      <c r="C8793" s="3"/>
      <c r="D8793" s="3"/>
      <c r="E8793" s="3"/>
      <c r="F8793" s="3"/>
    </row>
    <row r="8794" spans="3:6" x14ac:dyDescent="0.3">
      <c r="C8794" s="3"/>
      <c r="D8794" s="3"/>
      <c r="E8794" s="3"/>
      <c r="F8794" s="3"/>
    </row>
    <row r="8795" spans="3:6" x14ac:dyDescent="0.3">
      <c r="C8795" s="3"/>
      <c r="D8795" s="3"/>
      <c r="E8795" s="3"/>
      <c r="F8795" s="3"/>
    </row>
    <row r="8796" spans="3:6" x14ac:dyDescent="0.3">
      <c r="C8796" s="3"/>
      <c r="D8796" s="3"/>
      <c r="E8796" s="3"/>
      <c r="F8796" s="3"/>
    </row>
    <row r="8797" spans="3:6" x14ac:dyDescent="0.3">
      <c r="C8797" s="3"/>
      <c r="D8797" s="3"/>
      <c r="E8797" s="3"/>
      <c r="F8797" s="3"/>
    </row>
    <row r="8798" spans="3:6" x14ac:dyDescent="0.3">
      <c r="C8798" s="3"/>
      <c r="D8798" s="3"/>
      <c r="E8798" s="3"/>
      <c r="F8798" s="3"/>
    </row>
    <row r="8799" spans="3:6" x14ac:dyDescent="0.3">
      <c r="C8799" s="3"/>
      <c r="D8799" s="3"/>
      <c r="E8799" s="3"/>
      <c r="F8799" s="3"/>
    </row>
    <row r="8800" spans="3:6" x14ac:dyDescent="0.3">
      <c r="C8800" s="3"/>
      <c r="D8800" s="3"/>
      <c r="E8800" s="3"/>
      <c r="F8800" s="3"/>
    </row>
    <row r="8801" spans="3:6" x14ac:dyDescent="0.3">
      <c r="C8801" s="3"/>
      <c r="D8801" s="3"/>
      <c r="E8801" s="3"/>
      <c r="F8801" s="3"/>
    </row>
    <row r="8802" spans="3:6" x14ac:dyDescent="0.3">
      <c r="C8802" s="3"/>
      <c r="D8802" s="3"/>
      <c r="E8802" s="3"/>
      <c r="F8802" s="3"/>
    </row>
    <row r="8803" spans="3:6" x14ac:dyDescent="0.3">
      <c r="C8803" s="3"/>
      <c r="D8803" s="3"/>
      <c r="E8803" s="3"/>
      <c r="F8803" s="3"/>
    </row>
    <row r="8804" spans="3:6" x14ac:dyDescent="0.3">
      <c r="C8804" s="3"/>
      <c r="D8804" s="3"/>
      <c r="E8804" s="3"/>
      <c r="F8804" s="3"/>
    </row>
    <row r="8805" spans="3:6" x14ac:dyDescent="0.3">
      <c r="C8805" s="3"/>
      <c r="D8805" s="3"/>
      <c r="E8805" s="3"/>
      <c r="F8805" s="3"/>
    </row>
    <row r="8806" spans="3:6" x14ac:dyDescent="0.3">
      <c r="C8806" s="3"/>
      <c r="D8806" s="3"/>
      <c r="E8806" s="3"/>
      <c r="F8806" s="3"/>
    </row>
    <row r="8807" spans="3:6" x14ac:dyDescent="0.3">
      <c r="C8807" s="3"/>
      <c r="D8807" s="3"/>
      <c r="E8807" s="3"/>
      <c r="F8807" s="3"/>
    </row>
    <row r="8808" spans="3:6" x14ac:dyDescent="0.3">
      <c r="C8808" s="3"/>
      <c r="D8808" s="3"/>
      <c r="E8808" s="3"/>
      <c r="F8808" s="3"/>
    </row>
    <row r="8809" spans="3:6" x14ac:dyDescent="0.3">
      <c r="C8809" s="3"/>
      <c r="D8809" s="3"/>
      <c r="E8809" s="3"/>
      <c r="F8809" s="3"/>
    </row>
    <row r="8810" spans="3:6" x14ac:dyDescent="0.3">
      <c r="C8810" s="3"/>
      <c r="D8810" s="3"/>
      <c r="E8810" s="3"/>
      <c r="F8810" s="3"/>
    </row>
    <row r="8811" spans="3:6" x14ac:dyDescent="0.3">
      <c r="C8811" s="3"/>
      <c r="D8811" s="3"/>
      <c r="E8811" s="3"/>
      <c r="F8811" s="3"/>
    </row>
    <row r="8812" spans="3:6" x14ac:dyDescent="0.3">
      <c r="C8812" s="3"/>
      <c r="D8812" s="3"/>
      <c r="E8812" s="3"/>
      <c r="F8812" s="3"/>
    </row>
    <row r="8813" spans="3:6" x14ac:dyDescent="0.3">
      <c r="C8813" s="3"/>
      <c r="D8813" s="3"/>
      <c r="E8813" s="3"/>
      <c r="F8813" s="3"/>
    </row>
    <row r="8814" spans="3:6" x14ac:dyDescent="0.3">
      <c r="C8814" s="3"/>
      <c r="D8814" s="3"/>
      <c r="E8814" s="3"/>
      <c r="F8814" s="3"/>
    </row>
    <row r="8815" spans="3:6" x14ac:dyDescent="0.3">
      <c r="C8815" s="3"/>
      <c r="D8815" s="3"/>
      <c r="E8815" s="3"/>
      <c r="F8815" s="3"/>
    </row>
    <row r="8816" spans="3:6" x14ac:dyDescent="0.3">
      <c r="C8816" s="3"/>
      <c r="D8816" s="3"/>
      <c r="E8816" s="3"/>
      <c r="F8816" s="3"/>
    </row>
    <row r="8817" spans="3:6" x14ac:dyDescent="0.3">
      <c r="C8817" s="3"/>
      <c r="D8817" s="3"/>
      <c r="E8817" s="3"/>
      <c r="F8817" s="3"/>
    </row>
    <row r="8818" spans="3:6" x14ac:dyDescent="0.3">
      <c r="C8818" s="3"/>
      <c r="D8818" s="3"/>
      <c r="E8818" s="3"/>
      <c r="F8818" s="3"/>
    </row>
    <row r="8819" spans="3:6" x14ac:dyDescent="0.3">
      <c r="C8819" s="3"/>
      <c r="D8819" s="3"/>
      <c r="E8819" s="3"/>
      <c r="F8819" s="3"/>
    </row>
    <row r="8820" spans="3:6" x14ac:dyDescent="0.3">
      <c r="C8820" s="3"/>
      <c r="D8820" s="3"/>
      <c r="E8820" s="3"/>
      <c r="F8820" s="3"/>
    </row>
    <row r="8821" spans="3:6" x14ac:dyDescent="0.3">
      <c r="C8821" s="3"/>
      <c r="D8821" s="3"/>
      <c r="E8821" s="3"/>
      <c r="F8821" s="3"/>
    </row>
    <row r="8822" spans="3:6" x14ac:dyDescent="0.3">
      <c r="C8822" s="3"/>
      <c r="D8822" s="3"/>
      <c r="E8822" s="3"/>
      <c r="F8822" s="3"/>
    </row>
    <row r="8823" spans="3:6" x14ac:dyDescent="0.3">
      <c r="C8823" s="3"/>
      <c r="D8823" s="3"/>
      <c r="E8823" s="3"/>
      <c r="F8823" s="3"/>
    </row>
    <row r="8824" spans="3:6" x14ac:dyDescent="0.3">
      <c r="C8824" s="3"/>
      <c r="D8824" s="3"/>
      <c r="E8824" s="3"/>
      <c r="F8824" s="3"/>
    </row>
    <row r="8825" spans="3:6" x14ac:dyDescent="0.3">
      <c r="C8825" s="3"/>
      <c r="D8825" s="3"/>
      <c r="E8825" s="3"/>
      <c r="F8825" s="3"/>
    </row>
    <row r="8826" spans="3:6" x14ac:dyDescent="0.3">
      <c r="C8826" s="3"/>
      <c r="D8826" s="3"/>
      <c r="E8826" s="3"/>
      <c r="F8826" s="3"/>
    </row>
    <row r="8827" spans="3:6" x14ac:dyDescent="0.3">
      <c r="C8827" s="3"/>
      <c r="D8827" s="3"/>
      <c r="E8827" s="3"/>
      <c r="F8827" s="3"/>
    </row>
    <row r="8828" spans="3:6" x14ac:dyDescent="0.3">
      <c r="C8828" s="3"/>
      <c r="D8828" s="3"/>
      <c r="E8828" s="3"/>
      <c r="F8828" s="3"/>
    </row>
    <row r="8829" spans="3:6" x14ac:dyDescent="0.3">
      <c r="C8829" s="3"/>
      <c r="D8829" s="3"/>
      <c r="E8829" s="3"/>
      <c r="F8829" s="3"/>
    </row>
    <row r="8830" spans="3:6" x14ac:dyDescent="0.3">
      <c r="C8830" s="3"/>
      <c r="D8830" s="3"/>
      <c r="E8830" s="3"/>
      <c r="F8830" s="3"/>
    </row>
    <row r="8831" spans="3:6" x14ac:dyDescent="0.3">
      <c r="C8831" s="3"/>
      <c r="D8831" s="3"/>
      <c r="E8831" s="3"/>
      <c r="F8831" s="3"/>
    </row>
    <row r="8832" spans="3:6" x14ac:dyDescent="0.3">
      <c r="C8832" s="3"/>
      <c r="D8832" s="3"/>
      <c r="E8832" s="3"/>
      <c r="F8832" s="3"/>
    </row>
    <row r="8833" spans="3:6" x14ac:dyDescent="0.3">
      <c r="C8833" s="3"/>
      <c r="D8833" s="3"/>
      <c r="E8833" s="3"/>
      <c r="F8833" s="3"/>
    </row>
    <row r="8834" spans="3:6" x14ac:dyDescent="0.3">
      <c r="C8834" s="3"/>
      <c r="D8834" s="3"/>
      <c r="E8834" s="3"/>
      <c r="F8834" s="3"/>
    </row>
    <row r="8835" spans="3:6" x14ac:dyDescent="0.3">
      <c r="C8835" s="3"/>
      <c r="D8835" s="3"/>
      <c r="E8835" s="3"/>
      <c r="F8835" s="3"/>
    </row>
    <row r="8836" spans="3:6" x14ac:dyDescent="0.3">
      <c r="C8836" s="3"/>
      <c r="D8836" s="3"/>
      <c r="E8836" s="3"/>
      <c r="F8836" s="3"/>
    </row>
    <row r="8837" spans="3:6" x14ac:dyDescent="0.3">
      <c r="C8837" s="3"/>
      <c r="D8837" s="3"/>
      <c r="E8837" s="3"/>
      <c r="F8837" s="3"/>
    </row>
    <row r="8838" spans="3:6" x14ac:dyDescent="0.3">
      <c r="C8838" s="3"/>
      <c r="D8838" s="3"/>
      <c r="E8838" s="3"/>
      <c r="F8838" s="3"/>
    </row>
    <row r="8839" spans="3:6" x14ac:dyDescent="0.3">
      <c r="C8839" s="3"/>
      <c r="D8839" s="3"/>
      <c r="E8839" s="3"/>
      <c r="F8839" s="3"/>
    </row>
    <row r="8840" spans="3:6" x14ac:dyDescent="0.3">
      <c r="C8840" s="3"/>
      <c r="D8840" s="3"/>
      <c r="E8840" s="3"/>
      <c r="F8840" s="3"/>
    </row>
    <row r="8841" spans="3:6" x14ac:dyDescent="0.3">
      <c r="C8841" s="3"/>
      <c r="D8841" s="3"/>
      <c r="E8841" s="3"/>
      <c r="F8841" s="3"/>
    </row>
    <row r="8842" spans="3:6" x14ac:dyDescent="0.3">
      <c r="C8842" s="3"/>
      <c r="D8842" s="3"/>
      <c r="E8842" s="3"/>
      <c r="F8842" s="3"/>
    </row>
    <row r="8843" spans="3:6" x14ac:dyDescent="0.3">
      <c r="C8843" s="3"/>
      <c r="D8843" s="3"/>
      <c r="E8843" s="3"/>
      <c r="F8843" s="3"/>
    </row>
    <row r="8844" spans="3:6" x14ac:dyDescent="0.3">
      <c r="C8844" s="3"/>
      <c r="D8844" s="3"/>
      <c r="E8844" s="3"/>
      <c r="F8844" s="3"/>
    </row>
    <row r="8845" spans="3:6" x14ac:dyDescent="0.3">
      <c r="C8845" s="3"/>
      <c r="D8845" s="3"/>
      <c r="E8845" s="3"/>
      <c r="F8845" s="3"/>
    </row>
    <row r="8846" spans="3:6" x14ac:dyDescent="0.3">
      <c r="C8846" s="3"/>
      <c r="D8846" s="3"/>
      <c r="E8846" s="3"/>
      <c r="F8846" s="3"/>
    </row>
    <row r="8847" spans="3:6" x14ac:dyDescent="0.3">
      <c r="C8847" s="3"/>
      <c r="D8847" s="3"/>
      <c r="E8847" s="3"/>
      <c r="F8847" s="3"/>
    </row>
    <row r="8848" spans="3:6" x14ac:dyDescent="0.3">
      <c r="C8848" s="3"/>
      <c r="D8848" s="3"/>
      <c r="E8848" s="3"/>
      <c r="F8848" s="3"/>
    </row>
    <row r="8849" spans="3:6" x14ac:dyDescent="0.3">
      <c r="C8849" s="3"/>
      <c r="D8849" s="3"/>
      <c r="E8849" s="3"/>
      <c r="F8849" s="3"/>
    </row>
    <row r="8850" spans="3:6" x14ac:dyDescent="0.3">
      <c r="C8850" s="3"/>
      <c r="D8850" s="3"/>
      <c r="E8850" s="3"/>
      <c r="F8850" s="3"/>
    </row>
    <row r="8851" spans="3:6" x14ac:dyDescent="0.3">
      <c r="C8851" s="3"/>
      <c r="D8851" s="3"/>
      <c r="E8851" s="3"/>
      <c r="F8851" s="3"/>
    </row>
    <row r="8852" spans="3:6" x14ac:dyDescent="0.3">
      <c r="C8852" s="3"/>
      <c r="D8852" s="3"/>
      <c r="E8852" s="3"/>
      <c r="F8852" s="3"/>
    </row>
    <row r="8853" spans="3:6" x14ac:dyDescent="0.3">
      <c r="C8853" s="3"/>
      <c r="D8853" s="3"/>
      <c r="E8853" s="3"/>
      <c r="F8853" s="3"/>
    </row>
    <row r="8854" spans="3:6" x14ac:dyDescent="0.3">
      <c r="C8854" s="3"/>
      <c r="D8854" s="3"/>
      <c r="E8854" s="3"/>
      <c r="F8854" s="3"/>
    </row>
    <row r="8855" spans="3:6" x14ac:dyDescent="0.3">
      <c r="C8855" s="3"/>
      <c r="D8855" s="3"/>
      <c r="E8855" s="3"/>
      <c r="F8855" s="3"/>
    </row>
    <row r="8856" spans="3:6" x14ac:dyDescent="0.3">
      <c r="C8856" s="3"/>
      <c r="D8856" s="3"/>
      <c r="E8856" s="3"/>
      <c r="F8856" s="3"/>
    </row>
    <row r="8857" spans="3:6" x14ac:dyDescent="0.3">
      <c r="C8857" s="3"/>
      <c r="D8857" s="3"/>
      <c r="E8857" s="3"/>
      <c r="F8857" s="3"/>
    </row>
    <row r="8858" spans="3:6" x14ac:dyDescent="0.3">
      <c r="C8858" s="3"/>
      <c r="D8858" s="3"/>
      <c r="E8858" s="3"/>
      <c r="F8858" s="3"/>
    </row>
    <row r="8859" spans="3:6" x14ac:dyDescent="0.3">
      <c r="C8859" s="3"/>
      <c r="D8859" s="3"/>
      <c r="E8859" s="3"/>
      <c r="F8859" s="3"/>
    </row>
    <row r="8860" spans="3:6" x14ac:dyDescent="0.3">
      <c r="C8860" s="3"/>
      <c r="D8860" s="3"/>
      <c r="E8860" s="3"/>
      <c r="F8860" s="3"/>
    </row>
    <row r="8861" spans="3:6" x14ac:dyDescent="0.3">
      <c r="C8861" s="3"/>
      <c r="D8861" s="3"/>
      <c r="E8861" s="3"/>
      <c r="F8861" s="3"/>
    </row>
    <row r="8862" spans="3:6" x14ac:dyDescent="0.3">
      <c r="C8862" s="3"/>
      <c r="D8862" s="3"/>
      <c r="E8862" s="3"/>
      <c r="F8862" s="3"/>
    </row>
    <row r="8863" spans="3:6" x14ac:dyDescent="0.3">
      <c r="C8863" s="3"/>
      <c r="D8863" s="3"/>
      <c r="E8863" s="3"/>
      <c r="F8863" s="3"/>
    </row>
    <row r="8864" spans="3:6" x14ac:dyDescent="0.3">
      <c r="C8864" s="3"/>
      <c r="D8864" s="3"/>
      <c r="E8864" s="3"/>
      <c r="F8864" s="3"/>
    </row>
    <row r="8865" spans="3:6" x14ac:dyDescent="0.3">
      <c r="C8865" s="3"/>
      <c r="D8865" s="3"/>
      <c r="E8865" s="3"/>
      <c r="F8865" s="3"/>
    </row>
    <row r="8866" spans="3:6" x14ac:dyDescent="0.3">
      <c r="C8866" s="3"/>
      <c r="D8866" s="3"/>
      <c r="E8866" s="3"/>
      <c r="F8866" s="3"/>
    </row>
    <row r="8867" spans="3:6" x14ac:dyDescent="0.3">
      <c r="C8867" s="3"/>
      <c r="D8867" s="3"/>
      <c r="E8867" s="3"/>
      <c r="F8867" s="3"/>
    </row>
    <row r="8868" spans="3:6" x14ac:dyDescent="0.3">
      <c r="C8868" s="3"/>
      <c r="D8868" s="3"/>
      <c r="E8868" s="3"/>
      <c r="F8868" s="3"/>
    </row>
    <row r="8869" spans="3:6" x14ac:dyDescent="0.3">
      <c r="C8869" s="3"/>
      <c r="D8869" s="3"/>
      <c r="E8869" s="3"/>
      <c r="F8869" s="3"/>
    </row>
    <row r="8870" spans="3:6" x14ac:dyDescent="0.3">
      <c r="C8870" s="3"/>
      <c r="D8870" s="3"/>
      <c r="E8870" s="3"/>
      <c r="F8870" s="3"/>
    </row>
    <row r="8871" spans="3:6" x14ac:dyDescent="0.3">
      <c r="C8871" s="3"/>
      <c r="D8871" s="3"/>
      <c r="E8871" s="3"/>
      <c r="F8871" s="3"/>
    </row>
    <row r="8872" spans="3:6" x14ac:dyDescent="0.3">
      <c r="C8872" s="3"/>
      <c r="D8872" s="3"/>
      <c r="E8872" s="3"/>
      <c r="F8872" s="3"/>
    </row>
    <row r="8873" spans="3:6" x14ac:dyDescent="0.3">
      <c r="C8873" s="3"/>
      <c r="D8873" s="3"/>
      <c r="E8873" s="3"/>
      <c r="F8873" s="3"/>
    </row>
    <row r="8874" spans="3:6" x14ac:dyDescent="0.3">
      <c r="C8874" s="3"/>
      <c r="D8874" s="3"/>
      <c r="E8874" s="3"/>
      <c r="F8874" s="3"/>
    </row>
    <row r="8875" spans="3:6" x14ac:dyDescent="0.3">
      <c r="C8875" s="3"/>
      <c r="D8875" s="3"/>
      <c r="E8875" s="3"/>
      <c r="F8875" s="3"/>
    </row>
    <row r="8876" spans="3:6" x14ac:dyDescent="0.3">
      <c r="C8876" s="3"/>
      <c r="D8876" s="3"/>
      <c r="E8876" s="3"/>
      <c r="F8876" s="3"/>
    </row>
    <row r="8877" spans="3:6" x14ac:dyDescent="0.3">
      <c r="C8877" s="3"/>
      <c r="D8877" s="3"/>
      <c r="E8877" s="3"/>
      <c r="F8877" s="3"/>
    </row>
    <row r="8878" spans="3:6" x14ac:dyDescent="0.3">
      <c r="C8878" s="3"/>
      <c r="D8878" s="3"/>
      <c r="E8878" s="3"/>
      <c r="F8878" s="3"/>
    </row>
    <row r="8879" spans="3:6" x14ac:dyDescent="0.3">
      <c r="C8879" s="3"/>
      <c r="D8879" s="3"/>
      <c r="E8879" s="3"/>
      <c r="F8879" s="3"/>
    </row>
    <row r="8880" spans="3:6" x14ac:dyDescent="0.3">
      <c r="C8880" s="3"/>
      <c r="D8880" s="3"/>
      <c r="E8880" s="3"/>
      <c r="F8880" s="3"/>
    </row>
    <row r="8881" spans="3:6" x14ac:dyDescent="0.3">
      <c r="C8881" s="3"/>
      <c r="D8881" s="3"/>
      <c r="E8881" s="3"/>
      <c r="F8881" s="3"/>
    </row>
    <row r="8882" spans="3:6" x14ac:dyDescent="0.3">
      <c r="C8882" s="3"/>
      <c r="D8882" s="3"/>
      <c r="E8882" s="3"/>
      <c r="F8882" s="3"/>
    </row>
    <row r="8883" spans="3:6" x14ac:dyDescent="0.3">
      <c r="C8883" s="3"/>
      <c r="D8883" s="3"/>
      <c r="E8883" s="3"/>
      <c r="F8883" s="3"/>
    </row>
    <row r="8884" spans="3:6" x14ac:dyDescent="0.3">
      <c r="C8884" s="3"/>
      <c r="D8884" s="3"/>
      <c r="E8884" s="3"/>
      <c r="F8884" s="3"/>
    </row>
    <row r="8885" spans="3:6" x14ac:dyDescent="0.3">
      <c r="C8885" s="3"/>
      <c r="D8885" s="3"/>
      <c r="E8885" s="3"/>
      <c r="F8885" s="3"/>
    </row>
    <row r="8886" spans="3:6" x14ac:dyDescent="0.3">
      <c r="C8886" s="3"/>
      <c r="D8886" s="3"/>
      <c r="E8886" s="3"/>
      <c r="F8886" s="3"/>
    </row>
    <row r="8887" spans="3:6" x14ac:dyDescent="0.3">
      <c r="C8887" s="3"/>
      <c r="D8887" s="3"/>
      <c r="E8887" s="3"/>
      <c r="F8887" s="3"/>
    </row>
    <row r="8888" spans="3:6" x14ac:dyDescent="0.3">
      <c r="C8888" s="3"/>
      <c r="D8888" s="3"/>
      <c r="E8888" s="3"/>
      <c r="F8888" s="3"/>
    </row>
    <row r="8889" spans="3:6" x14ac:dyDescent="0.3">
      <c r="C8889" s="3"/>
      <c r="D8889" s="3"/>
      <c r="E8889" s="3"/>
      <c r="F8889" s="3"/>
    </row>
    <row r="8890" spans="3:6" x14ac:dyDescent="0.3">
      <c r="C8890" s="3"/>
      <c r="D8890" s="3"/>
      <c r="E8890" s="3"/>
      <c r="F8890" s="3"/>
    </row>
    <row r="8891" spans="3:6" x14ac:dyDescent="0.3">
      <c r="C8891" s="3"/>
      <c r="D8891" s="3"/>
      <c r="E8891" s="3"/>
      <c r="F8891" s="3"/>
    </row>
    <row r="8892" spans="3:6" x14ac:dyDescent="0.3">
      <c r="C8892" s="3"/>
      <c r="D8892" s="3"/>
      <c r="E8892" s="3"/>
      <c r="F8892" s="3"/>
    </row>
    <row r="8893" spans="3:6" x14ac:dyDescent="0.3">
      <c r="C8893" s="3"/>
      <c r="D8893" s="3"/>
      <c r="E8893" s="3"/>
      <c r="F8893" s="3"/>
    </row>
    <row r="8894" spans="3:6" x14ac:dyDescent="0.3">
      <c r="C8894" s="3"/>
      <c r="D8894" s="3"/>
      <c r="E8894" s="3"/>
      <c r="F8894" s="3"/>
    </row>
    <row r="8895" spans="3:6" x14ac:dyDescent="0.3">
      <c r="C8895" s="3"/>
      <c r="D8895" s="3"/>
      <c r="E8895" s="3"/>
      <c r="F8895" s="3"/>
    </row>
    <row r="8896" spans="3:6" x14ac:dyDescent="0.3">
      <c r="C8896" s="3"/>
      <c r="D8896" s="3"/>
      <c r="E8896" s="3"/>
      <c r="F8896" s="3"/>
    </row>
    <row r="8897" spans="3:6" x14ac:dyDescent="0.3">
      <c r="C8897" s="3"/>
      <c r="D8897" s="3"/>
      <c r="E8897" s="3"/>
      <c r="F8897" s="3"/>
    </row>
    <row r="8898" spans="3:6" x14ac:dyDescent="0.3">
      <c r="C8898" s="3"/>
      <c r="D8898" s="3"/>
      <c r="E8898" s="3"/>
      <c r="F8898" s="3"/>
    </row>
    <row r="8899" spans="3:6" x14ac:dyDescent="0.3">
      <c r="C8899" s="3"/>
      <c r="D8899" s="3"/>
      <c r="E8899" s="3"/>
      <c r="F8899" s="3"/>
    </row>
    <row r="8900" spans="3:6" x14ac:dyDescent="0.3">
      <c r="C8900" s="3"/>
      <c r="D8900" s="3"/>
      <c r="E8900" s="3"/>
      <c r="F8900" s="3"/>
    </row>
    <row r="8901" spans="3:6" x14ac:dyDescent="0.3">
      <c r="C8901" s="3"/>
      <c r="D8901" s="3"/>
      <c r="E8901" s="3"/>
      <c r="F8901" s="3"/>
    </row>
    <row r="8902" spans="3:6" x14ac:dyDescent="0.3">
      <c r="C8902" s="3"/>
      <c r="D8902" s="3"/>
      <c r="E8902" s="3"/>
      <c r="F8902" s="3"/>
    </row>
    <row r="8903" spans="3:6" x14ac:dyDescent="0.3">
      <c r="C8903" s="3"/>
      <c r="D8903" s="3"/>
      <c r="E8903" s="3"/>
      <c r="F8903" s="3"/>
    </row>
    <row r="8904" spans="3:6" x14ac:dyDescent="0.3">
      <c r="C8904" s="3"/>
      <c r="D8904" s="3"/>
      <c r="E8904" s="3"/>
      <c r="F8904" s="3"/>
    </row>
    <row r="8905" spans="3:6" x14ac:dyDescent="0.3">
      <c r="C8905" s="3"/>
      <c r="D8905" s="3"/>
      <c r="E8905" s="3"/>
      <c r="F8905" s="3"/>
    </row>
    <row r="8906" spans="3:6" x14ac:dyDescent="0.3">
      <c r="C8906" s="3"/>
      <c r="D8906" s="3"/>
      <c r="E8906" s="3"/>
      <c r="F8906" s="3"/>
    </row>
    <row r="8907" spans="3:6" x14ac:dyDescent="0.3">
      <c r="C8907" s="3"/>
      <c r="D8907" s="3"/>
      <c r="E8907" s="3"/>
      <c r="F8907" s="3"/>
    </row>
    <row r="8908" spans="3:6" x14ac:dyDescent="0.3">
      <c r="C8908" s="3"/>
      <c r="D8908" s="3"/>
      <c r="E8908" s="3"/>
      <c r="F8908" s="3"/>
    </row>
    <row r="8909" spans="3:6" x14ac:dyDescent="0.3">
      <c r="C8909" s="3"/>
      <c r="D8909" s="3"/>
      <c r="E8909" s="3"/>
      <c r="F8909" s="3"/>
    </row>
    <row r="8910" spans="3:6" x14ac:dyDescent="0.3">
      <c r="C8910" s="3"/>
      <c r="D8910" s="3"/>
      <c r="E8910" s="3"/>
      <c r="F8910" s="3"/>
    </row>
    <row r="8911" spans="3:6" x14ac:dyDescent="0.3">
      <c r="C8911" s="3"/>
      <c r="D8911" s="3"/>
      <c r="E8911" s="3"/>
      <c r="F8911" s="3"/>
    </row>
    <row r="8912" spans="3:6" x14ac:dyDescent="0.3">
      <c r="C8912" s="3"/>
      <c r="D8912" s="3"/>
      <c r="E8912" s="3"/>
      <c r="F8912" s="3"/>
    </row>
    <row r="8913" spans="3:6" x14ac:dyDescent="0.3">
      <c r="C8913" s="3"/>
      <c r="D8913" s="3"/>
      <c r="E8913" s="3"/>
      <c r="F8913" s="3"/>
    </row>
    <row r="8914" spans="3:6" x14ac:dyDescent="0.3">
      <c r="C8914" s="3"/>
      <c r="D8914" s="3"/>
      <c r="E8914" s="3"/>
      <c r="F8914" s="3"/>
    </row>
    <row r="8915" spans="3:6" x14ac:dyDescent="0.3">
      <c r="C8915" s="3"/>
      <c r="D8915" s="3"/>
      <c r="E8915" s="3"/>
      <c r="F8915" s="3"/>
    </row>
    <row r="8916" spans="3:6" x14ac:dyDescent="0.3">
      <c r="C8916" s="3"/>
      <c r="D8916" s="3"/>
      <c r="E8916" s="3"/>
      <c r="F8916" s="3"/>
    </row>
    <row r="8917" spans="3:6" x14ac:dyDescent="0.3">
      <c r="C8917" s="3"/>
      <c r="D8917" s="3"/>
      <c r="E8917" s="3"/>
      <c r="F8917" s="3"/>
    </row>
    <row r="8918" spans="3:6" x14ac:dyDescent="0.3">
      <c r="C8918" s="3"/>
      <c r="D8918" s="3"/>
      <c r="E8918" s="3"/>
      <c r="F8918" s="3"/>
    </row>
    <row r="8919" spans="3:6" x14ac:dyDescent="0.3">
      <c r="C8919" s="3"/>
      <c r="D8919" s="3"/>
      <c r="E8919" s="3"/>
      <c r="F8919" s="3"/>
    </row>
    <row r="8920" spans="3:6" x14ac:dyDescent="0.3">
      <c r="C8920" s="3"/>
      <c r="D8920" s="3"/>
      <c r="E8920" s="3"/>
      <c r="F8920" s="3"/>
    </row>
    <row r="8921" spans="3:6" x14ac:dyDescent="0.3">
      <c r="C8921" s="3"/>
      <c r="D8921" s="3"/>
      <c r="E8921" s="3"/>
      <c r="F8921" s="3"/>
    </row>
    <row r="8922" spans="3:6" x14ac:dyDescent="0.3">
      <c r="C8922" s="3"/>
      <c r="D8922" s="3"/>
      <c r="E8922" s="3"/>
      <c r="F8922" s="3"/>
    </row>
    <row r="8923" spans="3:6" x14ac:dyDescent="0.3">
      <c r="C8923" s="3"/>
      <c r="D8923" s="3"/>
      <c r="E8923" s="3"/>
      <c r="F8923" s="3"/>
    </row>
    <row r="8924" spans="3:6" x14ac:dyDescent="0.3">
      <c r="C8924" s="3"/>
      <c r="D8924" s="3"/>
      <c r="E8924" s="3"/>
      <c r="F8924" s="3"/>
    </row>
    <row r="8925" spans="3:6" x14ac:dyDescent="0.3">
      <c r="C8925" s="3"/>
      <c r="D8925" s="3"/>
      <c r="E8925" s="3"/>
      <c r="F8925" s="3"/>
    </row>
    <row r="8926" spans="3:6" x14ac:dyDescent="0.3">
      <c r="C8926" s="3"/>
      <c r="D8926" s="3"/>
      <c r="E8926" s="3"/>
      <c r="F8926" s="3"/>
    </row>
    <row r="8927" spans="3:6" x14ac:dyDescent="0.3">
      <c r="C8927" s="3"/>
      <c r="D8927" s="3"/>
      <c r="E8927" s="3"/>
      <c r="F8927" s="3"/>
    </row>
    <row r="8928" spans="3:6" x14ac:dyDescent="0.3">
      <c r="C8928" s="3"/>
      <c r="D8928" s="3"/>
      <c r="E8928" s="3"/>
      <c r="F8928" s="3"/>
    </row>
    <row r="8929" spans="3:6" x14ac:dyDescent="0.3">
      <c r="C8929" s="3"/>
      <c r="D8929" s="3"/>
      <c r="E8929" s="3"/>
      <c r="F8929" s="3"/>
    </row>
    <row r="8930" spans="3:6" x14ac:dyDescent="0.3">
      <c r="C8930" s="3"/>
      <c r="D8930" s="3"/>
      <c r="E8930" s="3"/>
      <c r="F8930" s="3"/>
    </row>
    <row r="8931" spans="3:6" x14ac:dyDescent="0.3">
      <c r="C8931" s="3"/>
      <c r="D8931" s="3"/>
      <c r="E8931" s="3"/>
      <c r="F8931" s="3"/>
    </row>
    <row r="8932" spans="3:6" x14ac:dyDescent="0.3">
      <c r="C8932" s="3"/>
      <c r="D8932" s="3"/>
      <c r="E8932" s="3"/>
      <c r="F8932" s="3"/>
    </row>
    <row r="8933" spans="3:6" x14ac:dyDescent="0.3">
      <c r="C8933" s="3"/>
      <c r="D8933" s="3"/>
      <c r="E8933" s="3"/>
      <c r="F8933" s="3"/>
    </row>
    <row r="8934" spans="3:6" x14ac:dyDescent="0.3">
      <c r="C8934" s="3"/>
      <c r="D8934" s="3"/>
      <c r="E8934" s="3"/>
      <c r="F8934" s="3"/>
    </row>
    <row r="8935" spans="3:6" x14ac:dyDescent="0.3">
      <c r="C8935" s="3"/>
      <c r="D8935" s="3"/>
      <c r="E8935" s="3"/>
      <c r="F8935" s="3"/>
    </row>
    <row r="8936" spans="3:6" x14ac:dyDescent="0.3">
      <c r="C8936" s="3"/>
      <c r="D8936" s="3"/>
      <c r="E8936" s="3"/>
      <c r="F8936" s="3"/>
    </row>
    <row r="8937" spans="3:6" x14ac:dyDescent="0.3">
      <c r="C8937" s="3"/>
      <c r="D8937" s="3"/>
      <c r="E8937" s="3"/>
      <c r="F8937" s="3"/>
    </row>
    <row r="8938" spans="3:6" x14ac:dyDescent="0.3">
      <c r="C8938" s="3"/>
      <c r="D8938" s="3"/>
      <c r="E8938" s="3"/>
      <c r="F8938" s="3"/>
    </row>
    <row r="8939" spans="3:6" x14ac:dyDescent="0.3">
      <c r="C8939" s="3"/>
      <c r="D8939" s="3"/>
      <c r="E8939" s="3"/>
      <c r="F8939" s="3"/>
    </row>
    <row r="8940" spans="3:6" x14ac:dyDescent="0.3">
      <c r="C8940" s="3"/>
      <c r="D8940" s="3"/>
      <c r="E8940" s="3"/>
      <c r="F8940" s="3"/>
    </row>
    <row r="8941" spans="3:6" x14ac:dyDescent="0.3">
      <c r="C8941" s="3"/>
      <c r="D8941" s="3"/>
      <c r="E8941" s="3"/>
      <c r="F8941" s="3"/>
    </row>
    <row r="8942" spans="3:6" x14ac:dyDescent="0.3">
      <c r="C8942" s="3"/>
      <c r="D8942" s="3"/>
      <c r="E8942" s="3"/>
      <c r="F8942" s="3"/>
    </row>
    <row r="8943" spans="3:6" x14ac:dyDescent="0.3">
      <c r="C8943" s="3"/>
      <c r="D8943" s="3"/>
      <c r="E8943" s="3"/>
      <c r="F8943" s="3"/>
    </row>
    <row r="8944" spans="3:6" x14ac:dyDescent="0.3">
      <c r="C8944" s="3"/>
      <c r="D8944" s="3"/>
      <c r="E8944" s="3"/>
      <c r="F8944" s="3"/>
    </row>
    <row r="8945" spans="3:6" x14ac:dyDescent="0.3">
      <c r="C8945" s="3"/>
      <c r="D8945" s="3"/>
      <c r="E8945" s="3"/>
      <c r="F8945" s="3"/>
    </row>
    <row r="8946" spans="3:6" x14ac:dyDescent="0.3">
      <c r="C8946" s="3"/>
      <c r="D8946" s="3"/>
      <c r="E8946" s="3"/>
      <c r="F8946" s="3"/>
    </row>
    <row r="8947" spans="3:6" x14ac:dyDescent="0.3">
      <c r="C8947" s="3"/>
      <c r="D8947" s="3"/>
      <c r="E8947" s="3"/>
      <c r="F8947" s="3"/>
    </row>
    <row r="8948" spans="3:6" x14ac:dyDescent="0.3">
      <c r="C8948" s="3"/>
      <c r="D8948" s="3"/>
      <c r="E8948" s="3"/>
      <c r="F8948" s="3"/>
    </row>
    <row r="8949" spans="3:6" x14ac:dyDescent="0.3">
      <c r="C8949" s="3"/>
      <c r="D8949" s="3"/>
      <c r="E8949" s="3"/>
      <c r="F8949" s="3"/>
    </row>
    <row r="8950" spans="3:6" x14ac:dyDescent="0.3">
      <c r="C8950" s="3"/>
      <c r="D8950" s="3"/>
      <c r="E8950" s="3"/>
      <c r="F8950" s="3"/>
    </row>
    <row r="8951" spans="3:6" x14ac:dyDescent="0.3">
      <c r="C8951" s="3"/>
      <c r="D8951" s="3"/>
      <c r="E8951" s="3"/>
      <c r="F8951" s="3"/>
    </row>
    <row r="8952" spans="3:6" x14ac:dyDescent="0.3">
      <c r="C8952" s="3"/>
      <c r="D8952" s="3"/>
      <c r="E8952" s="3"/>
      <c r="F8952" s="3"/>
    </row>
    <row r="8953" spans="3:6" x14ac:dyDescent="0.3">
      <c r="C8953" s="3"/>
      <c r="D8953" s="3"/>
      <c r="E8953" s="3"/>
      <c r="F8953" s="3"/>
    </row>
    <row r="8954" spans="3:6" x14ac:dyDescent="0.3">
      <c r="C8954" s="3"/>
      <c r="D8954" s="3"/>
      <c r="E8954" s="3"/>
      <c r="F8954" s="3"/>
    </row>
    <row r="8955" spans="3:6" x14ac:dyDescent="0.3">
      <c r="C8955" s="3"/>
      <c r="D8955" s="3"/>
      <c r="E8955" s="3"/>
      <c r="F8955" s="3"/>
    </row>
    <row r="8956" spans="3:6" x14ac:dyDescent="0.3">
      <c r="C8956" s="3"/>
      <c r="D8956" s="3"/>
      <c r="E8956" s="3"/>
      <c r="F8956" s="3"/>
    </row>
    <row r="8957" spans="3:6" x14ac:dyDescent="0.3">
      <c r="C8957" s="3"/>
      <c r="D8957" s="3"/>
      <c r="E8957" s="3"/>
      <c r="F8957" s="3"/>
    </row>
    <row r="8958" spans="3:6" x14ac:dyDescent="0.3">
      <c r="C8958" s="3"/>
      <c r="D8958" s="3"/>
      <c r="E8958" s="3"/>
      <c r="F8958" s="3"/>
    </row>
    <row r="8959" spans="3:6" x14ac:dyDescent="0.3">
      <c r="C8959" s="3"/>
      <c r="D8959" s="3"/>
      <c r="E8959" s="3"/>
      <c r="F8959" s="3"/>
    </row>
    <row r="8960" spans="3:6" x14ac:dyDescent="0.3">
      <c r="C8960" s="3"/>
      <c r="D8960" s="3"/>
      <c r="E8960" s="3"/>
      <c r="F8960" s="3"/>
    </row>
    <row r="8961" spans="3:6" x14ac:dyDescent="0.3">
      <c r="C8961" s="3"/>
      <c r="D8961" s="3"/>
      <c r="E8961" s="3"/>
      <c r="F8961" s="3"/>
    </row>
    <row r="8962" spans="3:6" x14ac:dyDescent="0.3">
      <c r="C8962" s="3"/>
      <c r="D8962" s="3"/>
      <c r="E8962" s="3"/>
      <c r="F8962" s="3"/>
    </row>
    <row r="8963" spans="3:6" x14ac:dyDescent="0.3">
      <c r="C8963" s="3"/>
      <c r="D8963" s="3"/>
      <c r="E8963" s="3"/>
      <c r="F8963" s="3"/>
    </row>
    <row r="8964" spans="3:6" x14ac:dyDescent="0.3">
      <c r="C8964" s="3"/>
      <c r="D8964" s="3"/>
      <c r="E8964" s="3"/>
      <c r="F8964" s="3"/>
    </row>
    <row r="8965" spans="3:6" x14ac:dyDescent="0.3">
      <c r="C8965" s="3"/>
      <c r="D8965" s="3"/>
      <c r="E8965" s="3"/>
      <c r="F8965" s="3"/>
    </row>
    <row r="8966" spans="3:6" x14ac:dyDescent="0.3">
      <c r="C8966" s="3"/>
      <c r="D8966" s="3"/>
      <c r="E8966" s="3"/>
      <c r="F8966" s="3"/>
    </row>
    <row r="8967" spans="3:6" x14ac:dyDescent="0.3">
      <c r="C8967" s="3"/>
      <c r="D8967" s="3"/>
      <c r="E8967" s="3"/>
      <c r="F8967" s="3"/>
    </row>
    <row r="8968" spans="3:6" x14ac:dyDescent="0.3">
      <c r="C8968" s="3"/>
      <c r="D8968" s="3"/>
      <c r="E8968" s="3"/>
      <c r="F8968" s="3"/>
    </row>
    <row r="8969" spans="3:6" x14ac:dyDescent="0.3">
      <c r="C8969" s="3"/>
      <c r="D8969" s="3"/>
      <c r="E8969" s="3"/>
      <c r="F8969" s="3"/>
    </row>
    <row r="8970" spans="3:6" x14ac:dyDescent="0.3">
      <c r="C8970" s="3"/>
      <c r="D8970" s="3"/>
      <c r="E8970" s="3"/>
      <c r="F8970" s="3"/>
    </row>
    <row r="8971" spans="3:6" x14ac:dyDescent="0.3">
      <c r="C8971" s="3"/>
      <c r="D8971" s="3"/>
      <c r="E8971" s="3"/>
      <c r="F8971" s="3"/>
    </row>
    <row r="8972" spans="3:6" x14ac:dyDescent="0.3">
      <c r="C8972" s="3"/>
      <c r="D8972" s="3"/>
      <c r="E8972" s="3"/>
      <c r="F8972" s="3"/>
    </row>
    <row r="8973" spans="3:6" x14ac:dyDescent="0.3">
      <c r="C8973" s="3"/>
      <c r="D8973" s="3"/>
      <c r="E8973" s="3"/>
      <c r="F8973" s="3"/>
    </row>
    <row r="8974" spans="3:6" x14ac:dyDescent="0.3">
      <c r="C8974" s="3"/>
      <c r="D8974" s="3"/>
      <c r="E8974" s="3"/>
      <c r="F8974" s="3"/>
    </row>
    <row r="8975" spans="3:6" x14ac:dyDescent="0.3">
      <c r="C8975" s="3"/>
      <c r="D8975" s="3"/>
      <c r="E8975" s="3"/>
      <c r="F8975" s="3"/>
    </row>
    <row r="8976" spans="3:6" x14ac:dyDescent="0.3">
      <c r="C8976" s="3"/>
      <c r="D8976" s="3"/>
      <c r="E8976" s="3"/>
      <c r="F8976" s="3"/>
    </row>
    <row r="8977" spans="3:6" x14ac:dyDescent="0.3">
      <c r="C8977" s="3"/>
      <c r="D8977" s="3"/>
      <c r="E8977" s="3"/>
      <c r="F8977" s="3"/>
    </row>
    <row r="8978" spans="3:6" x14ac:dyDescent="0.3">
      <c r="C8978" s="3"/>
      <c r="D8978" s="3"/>
      <c r="E8978" s="3"/>
      <c r="F8978" s="3"/>
    </row>
    <row r="8979" spans="3:6" x14ac:dyDescent="0.3">
      <c r="C8979" s="3"/>
      <c r="D8979" s="3"/>
      <c r="E8979" s="3"/>
      <c r="F8979" s="3"/>
    </row>
    <row r="8980" spans="3:6" x14ac:dyDescent="0.3">
      <c r="C8980" s="3"/>
      <c r="D8980" s="3"/>
      <c r="E8980" s="3"/>
      <c r="F8980" s="3"/>
    </row>
    <row r="8981" spans="3:6" x14ac:dyDescent="0.3">
      <c r="C8981" s="3"/>
      <c r="D8981" s="3"/>
      <c r="E8981" s="3"/>
      <c r="F8981" s="3"/>
    </row>
    <row r="8982" spans="3:6" x14ac:dyDescent="0.3">
      <c r="C8982" s="3"/>
      <c r="D8982" s="3"/>
      <c r="E8982" s="3"/>
      <c r="F8982" s="3"/>
    </row>
    <row r="8983" spans="3:6" x14ac:dyDescent="0.3">
      <c r="C8983" s="3"/>
      <c r="D8983" s="3"/>
      <c r="E8983" s="3"/>
      <c r="F8983" s="3"/>
    </row>
    <row r="8984" spans="3:6" x14ac:dyDescent="0.3">
      <c r="C8984" s="3"/>
      <c r="D8984" s="3"/>
      <c r="E8984" s="3"/>
      <c r="F8984" s="3"/>
    </row>
    <row r="8985" spans="3:6" x14ac:dyDescent="0.3">
      <c r="C8985" s="3"/>
      <c r="D8985" s="3"/>
      <c r="E8985" s="3"/>
      <c r="F8985" s="3"/>
    </row>
    <row r="8986" spans="3:6" x14ac:dyDescent="0.3">
      <c r="C8986" s="3"/>
      <c r="D8986" s="3"/>
      <c r="E8986" s="3"/>
      <c r="F8986" s="3"/>
    </row>
    <row r="8987" spans="3:6" x14ac:dyDescent="0.3">
      <c r="C8987" s="3"/>
      <c r="D8987" s="3"/>
      <c r="E8987" s="3"/>
      <c r="F8987" s="3"/>
    </row>
    <row r="8988" spans="3:6" x14ac:dyDescent="0.3">
      <c r="C8988" s="3"/>
      <c r="D8988" s="3"/>
      <c r="E8988" s="3"/>
      <c r="F8988" s="3"/>
    </row>
    <row r="8989" spans="3:6" x14ac:dyDescent="0.3">
      <c r="C8989" s="3"/>
      <c r="D8989" s="3"/>
      <c r="E8989" s="3"/>
      <c r="F8989" s="3"/>
    </row>
    <row r="8990" spans="3:6" x14ac:dyDescent="0.3">
      <c r="C8990" s="3"/>
      <c r="D8990" s="3"/>
      <c r="E8990" s="3"/>
      <c r="F8990" s="3"/>
    </row>
    <row r="8991" spans="3:6" x14ac:dyDescent="0.3">
      <c r="C8991" s="3"/>
      <c r="D8991" s="3"/>
      <c r="E8991" s="3"/>
      <c r="F8991" s="3"/>
    </row>
    <row r="8992" spans="3:6" x14ac:dyDescent="0.3">
      <c r="C8992" s="3"/>
      <c r="D8992" s="3"/>
      <c r="E8992" s="3"/>
      <c r="F8992" s="3"/>
    </row>
    <row r="8993" spans="3:6" x14ac:dyDescent="0.3">
      <c r="C8993" s="3"/>
      <c r="D8993" s="3"/>
      <c r="E8993" s="3"/>
      <c r="F8993" s="3"/>
    </row>
    <row r="8994" spans="3:6" x14ac:dyDescent="0.3">
      <c r="C8994" s="3"/>
      <c r="D8994" s="3"/>
      <c r="E8994" s="3"/>
      <c r="F8994" s="3"/>
    </row>
    <row r="8995" spans="3:6" x14ac:dyDescent="0.3">
      <c r="C8995" s="3"/>
      <c r="D8995" s="3"/>
      <c r="E8995" s="3"/>
      <c r="F8995" s="3"/>
    </row>
    <row r="8996" spans="3:6" x14ac:dyDescent="0.3">
      <c r="C8996" s="3"/>
      <c r="D8996" s="3"/>
      <c r="E8996" s="3"/>
      <c r="F8996" s="3"/>
    </row>
    <row r="8997" spans="3:6" x14ac:dyDescent="0.3">
      <c r="C8997" s="3"/>
      <c r="D8997" s="3"/>
      <c r="E8997" s="3"/>
      <c r="F8997" s="3"/>
    </row>
    <row r="8998" spans="3:6" x14ac:dyDescent="0.3">
      <c r="C8998" s="3"/>
      <c r="D8998" s="3"/>
      <c r="E8998" s="3"/>
      <c r="F8998" s="3"/>
    </row>
    <row r="8999" spans="3:6" x14ac:dyDescent="0.3">
      <c r="C8999" s="3"/>
      <c r="D8999" s="3"/>
      <c r="E8999" s="3"/>
      <c r="F8999" s="3"/>
    </row>
    <row r="9000" spans="3:6" x14ac:dyDescent="0.3">
      <c r="C9000" s="3"/>
      <c r="D9000" s="3"/>
      <c r="E9000" s="3"/>
      <c r="F9000" s="3"/>
    </row>
    <row r="9001" spans="3:6" x14ac:dyDescent="0.3">
      <c r="C9001" s="3"/>
      <c r="D9001" s="3"/>
      <c r="E9001" s="3"/>
      <c r="F9001" s="3"/>
    </row>
    <row r="9002" spans="3:6" x14ac:dyDescent="0.3">
      <c r="C9002" s="3"/>
      <c r="D9002" s="3"/>
      <c r="E9002" s="3"/>
      <c r="F9002" s="3"/>
    </row>
    <row r="9003" spans="3:6" x14ac:dyDescent="0.3">
      <c r="C9003" s="3"/>
      <c r="D9003" s="3"/>
      <c r="E9003" s="3"/>
      <c r="F9003" s="3"/>
    </row>
    <row r="9004" spans="3:6" x14ac:dyDescent="0.3">
      <c r="C9004" s="3"/>
      <c r="D9004" s="3"/>
      <c r="E9004" s="3"/>
      <c r="F9004" s="3"/>
    </row>
    <row r="9005" spans="3:6" x14ac:dyDescent="0.3">
      <c r="C9005" s="3"/>
      <c r="D9005" s="3"/>
      <c r="E9005" s="3"/>
      <c r="F9005" s="3"/>
    </row>
    <row r="9006" spans="3:6" x14ac:dyDescent="0.3">
      <c r="C9006" s="3"/>
      <c r="D9006" s="3"/>
      <c r="E9006" s="3"/>
      <c r="F9006" s="3"/>
    </row>
    <row r="9007" spans="3:6" x14ac:dyDescent="0.3">
      <c r="C9007" s="3"/>
      <c r="D9007" s="3"/>
      <c r="E9007" s="3"/>
      <c r="F9007" s="3"/>
    </row>
    <row r="9008" spans="3:6" x14ac:dyDescent="0.3">
      <c r="C9008" s="3"/>
      <c r="D9008" s="3"/>
      <c r="E9008" s="3"/>
      <c r="F9008" s="3"/>
    </row>
    <row r="9009" spans="3:6" x14ac:dyDescent="0.3">
      <c r="C9009" s="3"/>
      <c r="D9009" s="3"/>
      <c r="E9009" s="3"/>
      <c r="F9009" s="3"/>
    </row>
    <row r="9010" spans="3:6" x14ac:dyDescent="0.3">
      <c r="C9010" s="3"/>
      <c r="D9010" s="3"/>
      <c r="E9010" s="3"/>
      <c r="F9010" s="3"/>
    </row>
    <row r="9011" spans="3:6" x14ac:dyDescent="0.3">
      <c r="C9011" s="3"/>
      <c r="D9011" s="3"/>
      <c r="E9011" s="3"/>
      <c r="F9011" s="3"/>
    </row>
    <row r="9012" spans="3:6" x14ac:dyDescent="0.3">
      <c r="C9012" s="3"/>
      <c r="D9012" s="3"/>
      <c r="E9012" s="3"/>
      <c r="F9012" s="3"/>
    </row>
    <row r="9013" spans="3:6" x14ac:dyDescent="0.3">
      <c r="C9013" s="3"/>
      <c r="D9013" s="3"/>
      <c r="E9013" s="3"/>
      <c r="F9013" s="3"/>
    </row>
    <row r="9014" spans="3:6" x14ac:dyDescent="0.3">
      <c r="C9014" s="3"/>
      <c r="D9014" s="3"/>
      <c r="E9014" s="3"/>
      <c r="F9014" s="3"/>
    </row>
    <row r="9015" spans="3:6" x14ac:dyDescent="0.3">
      <c r="C9015" s="3"/>
      <c r="D9015" s="3"/>
      <c r="E9015" s="3"/>
      <c r="F9015" s="3"/>
    </row>
    <row r="9016" spans="3:6" x14ac:dyDescent="0.3">
      <c r="C9016" s="3"/>
      <c r="D9016" s="3"/>
      <c r="E9016" s="3"/>
      <c r="F9016" s="3"/>
    </row>
    <row r="9017" spans="3:6" x14ac:dyDescent="0.3">
      <c r="C9017" s="3"/>
      <c r="D9017" s="3"/>
      <c r="E9017" s="3"/>
      <c r="F9017" s="3"/>
    </row>
    <row r="9018" spans="3:6" x14ac:dyDescent="0.3">
      <c r="C9018" s="3"/>
      <c r="D9018" s="3"/>
      <c r="E9018" s="3"/>
      <c r="F9018" s="3"/>
    </row>
    <row r="9019" spans="3:6" x14ac:dyDescent="0.3">
      <c r="C9019" s="3"/>
      <c r="D9019" s="3"/>
      <c r="E9019" s="3"/>
      <c r="F9019" s="3"/>
    </row>
    <row r="9020" spans="3:6" x14ac:dyDescent="0.3">
      <c r="C9020" s="3"/>
      <c r="D9020" s="3"/>
      <c r="E9020" s="3"/>
      <c r="F9020" s="3"/>
    </row>
    <row r="9021" spans="3:6" x14ac:dyDescent="0.3">
      <c r="C9021" s="3"/>
      <c r="D9021" s="3"/>
      <c r="E9021" s="3"/>
      <c r="F9021" s="3"/>
    </row>
    <row r="9022" spans="3:6" x14ac:dyDescent="0.3">
      <c r="C9022" s="3"/>
      <c r="D9022" s="3"/>
      <c r="E9022" s="3"/>
      <c r="F9022" s="3"/>
    </row>
    <row r="9023" spans="3:6" x14ac:dyDescent="0.3">
      <c r="C9023" s="3"/>
      <c r="D9023" s="3"/>
      <c r="E9023" s="3"/>
      <c r="F9023" s="3"/>
    </row>
    <row r="9024" spans="3:6" x14ac:dyDescent="0.3">
      <c r="C9024" s="3"/>
      <c r="D9024" s="3"/>
      <c r="E9024" s="3"/>
      <c r="F9024" s="3"/>
    </row>
    <row r="9025" spans="3:6" x14ac:dyDescent="0.3">
      <c r="C9025" s="3"/>
      <c r="D9025" s="3"/>
      <c r="E9025" s="3"/>
      <c r="F9025" s="3"/>
    </row>
    <row r="9026" spans="3:6" x14ac:dyDescent="0.3">
      <c r="C9026" s="3"/>
      <c r="D9026" s="3"/>
      <c r="E9026" s="3"/>
      <c r="F9026" s="3"/>
    </row>
    <row r="9027" spans="3:6" x14ac:dyDescent="0.3">
      <c r="C9027" s="3"/>
      <c r="D9027" s="3"/>
      <c r="E9027" s="3"/>
      <c r="F9027" s="3"/>
    </row>
    <row r="9028" spans="3:6" x14ac:dyDescent="0.3">
      <c r="C9028" s="3"/>
      <c r="D9028" s="3"/>
      <c r="E9028" s="3"/>
      <c r="F9028" s="3"/>
    </row>
    <row r="9029" spans="3:6" x14ac:dyDescent="0.3">
      <c r="C9029" s="3"/>
      <c r="D9029" s="3"/>
      <c r="E9029" s="3"/>
      <c r="F9029" s="3"/>
    </row>
    <row r="9030" spans="3:6" x14ac:dyDescent="0.3">
      <c r="C9030" s="3"/>
      <c r="D9030" s="3"/>
      <c r="E9030" s="3"/>
      <c r="F9030" s="3"/>
    </row>
    <row r="9031" spans="3:6" x14ac:dyDescent="0.3">
      <c r="C9031" s="3"/>
      <c r="D9031" s="3"/>
      <c r="E9031" s="3"/>
      <c r="F9031" s="3"/>
    </row>
    <row r="9032" spans="3:6" x14ac:dyDescent="0.3">
      <c r="C9032" s="3"/>
      <c r="D9032" s="3"/>
      <c r="E9032" s="3"/>
      <c r="F9032" s="3"/>
    </row>
    <row r="9033" spans="3:6" x14ac:dyDescent="0.3">
      <c r="C9033" s="3"/>
      <c r="D9033" s="3"/>
      <c r="E9033" s="3"/>
      <c r="F9033" s="3"/>
    </row>
    <row r="9034" spans="3:6" x14ac:dyDescent="0.3">
      <c r="C9034" s="3"/>
      <c r="D9034" s="3"/>
      <c r="E9034" s="3"/>
      <c r="F9034" s="3"/>
    </row>
    <row r="9035" spans="3:6" x14ac:dyDescent="0.3">
      <c r="C9035" s="3"/>
      <c r="D9035" s="3"/>
      <c r="E9035" s="3"/>
      <c r="F9035" s="3"/>
    </row>
    <row r="9036" spans="3:6" x14ac:dyDescent="0.3">
      <c r="C9036" s="3"/>
      <c r="D9036" s="3"/>
      <c r="E9036" s="3"/>
      <c r="F9036" s="3"/>
    </row>
    <row r="9037" spans="3:6" x14ac:dyDescent="0.3">
      <c r="C9037" s="3"/>
      <c r="D9037" s="3"/>
      <c r="E9037" s="3"/>
      <c r="F9037" s="3"/>
    </row>
    <row r="9038" spans="3:6" x14ac:dyDescent="0.3">
      <c r="C9038" s="3"/>
      <c r="D9038" s="3"/>
      <c r="E9038" s="3"/>
      <c r="F9038" s="3"/>
    </row>
    <row r="9039" spans="3:6" x14ac:dyDescent="0.3">
      <c r="C9039" s="3"/>
      <c r="D9039" s="3"/>
      <c r="E9039" s="3"/>
      <c r="F9039" s="3"/>
    </row>
    <row r="9040" spans="3:6" x14ac:dyDescent="0.3">
      <c r="C9040" s="3"/>
      <c r="D9040" s="3"/>
      <c r="E9040" s="3"/>
      <c r="F9040" s="3"/>
    </row>
    <row r="9041" spans="3:6" x14ac:dyDescent="0.3">
      <c r="C9041" s="3"/>
      <c r="D9041" s="3"/>
      <c r="E9041" s="3"/>
      <c r="F9041" s="3"/>
    </row>
    <row r="9042" spans="3:6" x14ac:dyDescent="0.3">
      <c r="C9042" s="3"/>
      <c r="D9042" s="3"/>
      <c r="E9042" s="3"/>
      <c r="F9042" s="3"/>
    </row>
    <row r="9043" spans="3:6" x14ac:dyDescent="0.3">
      <c r="C9043" s="3"/>
      <c r="D9043" s="3"/>
      <c r="E9043" s="3"/>
      <c r="F9043" s="3"/>
    </row>
    <row r="9044" spans="3:6" x14ac:dyDescent="0.3">
      <c r="C9044" s="3"/>
      <c r="D9044" s="3"/>
      <c r="E9044" s="3"/>
      <c r="F9044" s="3"/>
    </row>
    <row r="9045" spans="3:6" x14ac:dyDescent="0.3">
      <c r="C9045" s="3"/>
      <c r="D9045" s="3"/>
      <c r="E9045" s="3"/>
      <c r="F9045" s="3"/>
    </row>
    <row r="9046" spans="3:6" x14ac:dyDescent="0.3">
      <c r="C9046" s="3"/>
      <c r="D9046" s="3"/>
      <c r="E9046" s="3"/>
      <c r="F9046" s="3"/>
    </row>
    <row r="9047" spans="3:6" x14ac:dyDescent="0.3">
      <c r="C9047" s="3"/>
      <c r="D9047" s="3"/>
      <c r="E9047" s="3"/>
      <c r="F9047" s="3"/>
    </row>
    <row r="9048" spans="3:6" x14ac:dyDescent="0.3">
      <c r="C9048" s="3"/>
      <c r="D9048" s="3"/>
      <c r="E9048" s="3"/>
      <c r="F9048" s="3"/>
    </row>
    <row r="9049" spans="3:6" x14ac:dyDescent="0.3">
      <c r="C9049" s="3"/>
      <c r="D9049" s="3"/>
      <c r="E9049" s="3"/>
      <c r="F9049" s="3"/>
    </row>
    <row r="9050" spans="3:6" x14ac:dyDescent="0.3">
      <c r="C9050" s="3"/>
      <c r="D9050" s="3"/>
      <c r="E9050" s="3"/>
      <c r="F9050" s="3"/>
    </row>
    <row r="9051" spans="3:6" x14ac:dyDescent="0.3">
      <c r="C9051" s="3"/>
      <c r="D9051" s="3"/>
      <c r="E9051" s="3"/>
      <c r="F9051" s="3"/>
    </row>
    <row r="9052" spans="3:6" x14ac:dyDescent="0.3">
      <c r="C9052" s="3"/>
      <c r="D9052" s="3"/>
      <c r="E9052" s="3"/>
      <c r="F9052" s="3"/>
    </row>
    <row r="9053" spans="3:6" x14ac:dyDescent="0.3">
      <c r="C9053" s="3"/>
      <c r="D9053" s="3"/>
      <c r="E9053" s="3"/>
      <c r="F9053" s="3"/>
    </row>
    <row r="9054" spans="3:6" x14ac:dyDescent="0.3">
      <c r="C9054" s="3"/>
      <c r="D9054" s="3"/>
      <c r="E9054" s="3"/>
      <c r="F9054" s="3"/>
    </row>
    <row r="9055" spans="3:6" x14ac:dyDescent="0.3">
      <c r="C9055" s="3"/>
      <c r="D9055" s="3"/>
      <c r="E9055" s="3"/>
      <c r="F9055" s="3"/>
    </row>
    <row r="9056" spans="3:6" x14ac:dyDescent="0.3">
      <c r="C9056" s="3"/>
      <c r="D9056" s="3"/>
      <c r="E9056" s="3"/>
      <c r="F9056" s="3"/>
    </row>
    <row r="9057" spans="3:6" x14ac:dyDescent="0.3">
      <c r="C9057" s="3"/>
      <c r="D9057" s="3"/>
      <c r="E9057" s="3"/>
      <c r="F9057" s="3"/>
    </row>
    <row r="9058" spans="3:6" x14ac:dyDescent="0.3">
      <c r="C9058" s="3"/>
      <c r="D9058" s="3"/>
      <c r="E9058" s="3"/>
      <c r="F9058" s="3"/>
    </row>
    <row r="9059" spans="3:6" x14ac:dyDescent="0.3">
      <c r="C9059" s="3"/>
      <c r="D9059" s="3"/>
      <c r="E9059" s="3"/>
      <c r="F9059" s="3"/>
    </row>
    <row r="9060" spans="3:6" x14ac:dyDescent="0.3">
      <c r="C9060" s="3"/>
      <c r="D9060" s="3"/>
      <c r="E9060" s="3"/>
      <c r="F9060" s="3"/>
    </row>
    <row r="9061" spans="3:6" x14ac:dyDescent="0.3">
      <c r="C9061" s="3"/>
      <c r="D9061" s="3"/>
      <c r="E9061" s="3"/>
      <c r="F9061" s="3"/>
    </row>
    <row r="9062" spans="3:6" x14ac:dyDescent="0.3">
      <c r="C9062" s="3"/>
      <c r="D9062" s="3"/>
      <c r="E9062" s="3"/>
      <c r="F9062" s="3"/>
    </row>
    <row r="9063" spans="3:6" x14ac:dyDescent="0.3">
      <c r="C9063" s="3"/>
      <c r="D9063" s="3"/>
      <c r="E9063" s="3"/>
      <c r="F9063" s="3"/>
    </row>
    <row r="9064" spans="3:6" x14ac:dyDescent="0.3">
      <c r="C9064" s="3"/>
      <c r="D9064" s="3"/>
      <c r="E9064" s="3"/>
      <c r="F9064" s="3"/>
    </row>
    <row r="9065" spans="3:6" x14ac:dyDescent="0.3">
      <c r="C9065" s="3"/>
      <c r="D9065" s="3"/>
      <c r="E9065" s="3"/>
      <c r="F9065" s="3"/>
    </row>
    <row r="9066" spans="3:6" x14ac:dyDescent="0.3">
      <c r="C9066" s="3"/>
      <c r="D9066" s="3"/>
      <c r="E9066" s="3"/>
      <c r="F9066" s="3"/>
    </row>
    <row r="9067" spans="3:6" x14ac:dyDescent="0.3">
      <c r="C9067" s="3"/>
      <c r="D9067" s="3"/>
      <c r="E9067" s="3"/>
      <c r="F9067" s="3"/>
    </row>
    <row r="9068" spans="3:6" x14ac:dyDescent="0.3">
      <c r="C9068" s="3"/>
      <c r="D9068" s="3"/>
      <c r="E9068" s="3"/>
      <c r="F9068" s="3"/>
    </row>
    <row r="9069" spans="3:6" x14ac:dyDescent="0.3">
      <c r="C9069" s="3"/>
      <c r="D9069" s="3"/>
      <c r="E9069" s="3"/>
      <c r="F9069" s="3"/>
    </row>
    <row r="9070" spans="3:6" x14ac:dyDescent="0.3">
      <c r="C9070" s="3"/>
      <c r="D9070" s="3"/>
      <c r="E9070" s="3"/>
      <c r="F9070" s="3"/>
    </row>
    <row r="9071" spans="3:6" x14ac:dyDescent="0.3">
      <c r="C9071" s="3"/>
      <c r="D9071" s="3"/>
      <c r="E9071" s="3"/>
      <c r="F9071" s="3"/>
    </row>
    <row r="9072" spans="3:6" x14ac:dyDescent="0.3">
      <c r="C9072" s="3"/>
      <c r="D9072" s="3"/>
      <c r="E9072" s="3"/>
      <c r="F9072" s="3"/>
    </row>
    <row r="9073" spans="3:6" x14ac:dyDescent="0.3">
      <c r="C9073" s="3"/>
      <c r="D9073" s="3"/>
      <c r="E9073" s="3"/>
      <c r="F9073" s="3"/>
    </row>
    <row r="9074" spans="3:6" x14ac:dyDescent="0.3">
      <c r="C9074" s="3"/>
      <c r="D9074" s="3"/>
      <c r="E9074" s="3"/>
      <c r="F9074" s="3"/>
    </row>
    <row r="9075" spans="3:6" x14ac:dyDescent="0.3">
      <c r="C9075" s="3"/>
      <c r="D9075" s="3"/>
      <c r="E9075" s="3"/>
      <c r="F9075" s="3"/>
    </row>
    <row r="9076" spans="3:6" x14ac:dyDescent="0.3">
      <c r="C9076" s="3"/>
      <c r="D9076" s="3"/>
      <c r="E9076" s="3"/>
      <c r="F9076" s="3"/>
    </row>
    <row r="9077" spans="3:6" x14ac:dyDescent="0.3">
      <c r="C9077" s="3"/>
      <c r="D9077" s="3"/>
      <c r="E9077" s="3"/>
      <c r="F9077" s="3"/>
    </row>
    <row r="9078" spans="3:6" x14ac:dyDescent="0.3">
      <c r="C9078" s="3"/>
      <c r="D9078" s="3"/>
      <c r="E9078" s="3"/>
      <c r="F9078" s="3"/>
    </row>
    <row r="9079" spans="3:6" x14ac:dyDescent="0.3">
      <c r="C9079" s="3"/>
      <c r="D9079" s="3"/>
      <c r="E9079" s="3"/>
      <c r="F9079" s="3"/>
    </row>
    <row r="9080" spans="3:6" x14ac:dyDescent="0.3">
      <c r="C9080" s="3"/>
      <c r="D9080" s="3"/>
      <c r="E9080" s="3"/>
      <c r="F9080" s="3"/>
    </row>
    <row r="9081" spans="3:6" x14ac:dyDescent="0.3">
      <c r="C9081" s="3"/>
      <c r="D9081" s="3"/>
      <c r="E9081" s="3"/>
      <c r="F9081" s="3"/>
    </row>
    <row r="9082" spans="3:6" x14ac:dyDescent="0.3">
      <c r="C9082" s="3"/>
      <c r="D9082" s="3"/>
      <c r="E9082" s="3"/>
      <c r="F9082" s="3"/>
    </row>
    <row r="9083" spans="3:6" x14ac:dyDescent="0.3">
      <c r="C9083" s="3"/>
      <c r="D9083" s="3"/>
      <c r="E9083" s="3"/>
      <c r="F9083" s="3"/>
    </row>
    <row r="9084" spans="3:6" x14ac:dyDescent="0.3">
      <c r="C9084" s="3"/>
      <c r="D9084" s="3"/>
      <c r="E9084" s="3"/>
      <c r="F9084" s="3"/>
    </row>
    <row r="9085" spans="3:6" x14ac:dyDescent="0.3">
      <c r="C9085" s="3"/>
      <c r="D9085" s="3"/>
      <c r="E9085" s="3"/>
      <c r="F9085" s="3"/>
    </row>
    <row r="9086" spans="3:6" x14ac:dyDescent="0.3">
      <c r="C9086" s="3"/>
      <c r="D9086" s="3"/>
      <c r="E9086" s="3"/>
      <c r="F9086" s="3"/>
    </row>
    <row r="9087" spans="3:6" x14ac:dyDescent="0.3">
      <c r="C9087" s="3"/>
      <c r="D9087" s="3"/>
      <c r="E9087" s="3"/>
      <c r="F9087" s="3"/>
    </row>
    <row r="9088" spans="3:6" x14ac:dyDescent="0.3">
      <c r="C9088" s="3"/>
      <c r="D9088" s="3"/>
      <c r="E9088" s="3"/>
      <c r="F9088" s="3"/>
    </row>
    <row r="9089" spans="3:6" x14ac:dyDescent="0.3">
      <c r="C9089" s="3"/>
      <c r="D9089" s="3"/>
      <c r="E9089" s="3"/>
      <c r="F9089" s="3"/>
    </row>
    <row r="9090" spans="3:6" x14ac:dyDescent="0.3">
      <c r="C9090" s="3"/>
      <c r="D9090" s="3"/>
      <c r="E9090" s="3"/>
      <c r="F9090" s="3"/>
    </row>
    <row r="9091" spans="3:6" x14ac:dyDescent="0.3">
      <c r="C9091" s="3"/>
      <c r="D9091" s="3"/>
      <c r="E9091" s="3"/>
      <c r="F9091" s="3"/>
    </row>
    <row r="9092" spans="3:6" x14ac:dyDescent="0.3">
      <c r="C9092" s="3"/>
      <c r="D9092" s="3"/>
      <c r="E9092" s="3"/>
      <c r="F9092" s="3"/>
    </row>
    <row r="9093" spans="3:6" x14ac:dyDescent="0.3">
      <c r="C9093" s="3"/>
      <c r="D9093" s="3"/>
      <c r="E9093" s="3"/>
      <c r="F9093" s="3"/>
    </row>
    <row r="9094" spans="3:6" x14ac:dyDescent="0.3">
      <c r="C9094" s="3"/>
      <c r="D9094" s="3"/>
      <c r="E9094" s="3"/>
      <c r="F9094" s="3"/>
    </row>
    <row r="9095" spans="3:6" x14ac:dyDescent="0.3">
      <c r="C9095" s="3"/>
      <c r="D9095" s="3"/>
      <c r="E9095" s="3"/>
      <c r="F9095" s="3"/>
    </row>
    <row r="9096" spans="3:6" x14ac:dyDescent="0.3">
      <c r="C9096" s="3"/>
      <c r="D9096" s="3"/>
      <c r="E9096" s="3"/>
      <c r="F9096" s="3"/>
    </row>
    <row r="9097" spans="3:6" x14ac:dyDescent="0.3">
      <c r="C9097" s="3"/>
      <c r="D9097" s="3"/>
      <c r="E9097" s="3"/>
      <c r="F9097" s="3"/>
    </row>
    <row r="9098" spans="3:6" x14ac:dyDescent="0.3">
      <c r="C9098" s="3"/>
      <c r="D9098" s="3"/>
      <c r="E9098" s="3"/>
      <c r="F9098" s="3"/>
    </row>
    <row r="9099" spans="3:6" x14ac:dyDescent="0.3">
      <c r="C9099" s="3"/>
      <c r="D9099" s="3"/>
      <c r="E9099" s="3"/>
      <c r="F9099" s="3"/>
    </row>
    <row r="9100" spans="3:6" x14ac:dyDescent="0.3">
      <c r="C9100" s="3"/>
      <c r="D9100" s="3"/>
      <c r="E9100" s="3"/>
      <c r="F9100" s="3"/>
    </row>
    <row r="9101" spans="3:6" x14ac:dyDescent="0.3">
      <c r="C9101" s="3"/>
      <c r="D9101" s="3"/>
      <c r="E9101" s="3"/>
      <c r="F9101" s="3"/>
    </row>
    <row r="9102" spans="3:6" x14ac:dyDescent="0.3">
      <c r="C9102" s="3"/>
      <c r="D9102" s="3"/>
      <c r="E9102" s="3"/>
      <c r="F9102" s="3"/>
    </row>
    <row r="9103" spans="3:6" x14ac:dyDescent="0.3">
      <c r="C9103" s="3"/>
      <c r="D9103" s="3"/>
      <c r="E9103" s="3"/>
      <c r="F9103" s="3"/>
    </row>
    <row r="9104" spans="3:6" x14ac:dyDescent="0.3">
      <c r="C9104" s="3"/>
      <c r="D9104" s="3"/>
      <c r="E9104" s="3"/>
      <c r="F9104" s="3"/>
    </row>
    <row r="9105" spans="3:6" x14ac:dyDescent="0.3">
      <c r="C9105" s="3"/>
      <c r="D9105" s="3"/>
      <c r="E9105" s="3"/>
      <c r="F9105" s="3"/>
    </row>
    <row r="9106" spans="3:6" x14ac:dyDescent="0.3">
      <c r="C9106" s="3"/>
      <c r="D9106" s="3"/>
      <c r="E9106" s="3"/>
      <c r="F9106" s="3"/>
    </row>
    <row r="9107" spans="3:6" x14ac:dyDescent="0.3">
      <c r="C9107" s="3"/>
      <c r="D9107" s="3"/>
      <c r="E9107" s="3"/>
      <c r="F9107" s="3"/>
    </row>
    <row r="9108" spans="3:6" x14ac:dyDescent="0.3">
      <c r="C9108" s="3"/>
      <c r="D9108" s="3"/>
      <c r="E9108" s="3"/>
      <c r="F9108" s="3"/>
    </row>
    <row r="9109" spans="3:6" x14ac:dyDescent="0.3">
      <c r="C9109" s="3"/>
      <c r="D9109" s="3"/>
      <c r="E9109" s="3"/>
      <c r="F9109" s="3"/>
    </row>
    <row r="9110" spans="3:6" x14ac:dyDescent="0.3">
      <c r="C9110" s="3"/>
      <c r="D9110" s="3"/>
      <c r="E9110" s="3"/>
      <c r="F9110" s="3"/>
    </row>
    <row r="9111" spans="3:6" x14ac:dyDescent="0.3">
      <c r="C9111" s="3"/>
      <c r="D9111" s="3"/>
      <c r="E9111" s="3"/>
      <c r="F9111" s="3"/>
    </row>
    <row r="9112" spans="3:6" x14ac:dyDescent="0.3">
      <c r="C9112" s="3"/>
      <c r="D9112" s="3"/>
      <c r="E9112" s="3"/>
      <c r="F9112" s="3"/>
    </row>
    <row r="9113" spans="3:6" x14ac:dyDescent="0.3">
      <c r="C9113" s="3"/>
      <c r="D9113" s="3"/>
      <c r="E9113" s="3"/>
      <c r="F9113" s="3"/>
    </row>
    <row r="9114" spans="3:6" x14ac:dyDescent="0.3">
      <c r="C9114" s="3"/>
      <c r="D9114" s="3"/>
      <c r="E9114" s="3"/>
      <c r="F9114" s="3"/>
    </row>
    <row r="9115" spans="3:6" x14ac:dyDescent="0.3">
      <c r="C9115" s="3"/>
      <c r="D9115" s="3"/>
      <c r="E9115" s="3"/>
      <c r="F9115" s="3"/>
    </row>
    <row r="9116" spans="3:6" x14ac:dyDescent="0.3">
      <c r="C9116" s="3"/>
      <c r="D9116" s="3"/>
      <c r="E9116" s="3"/>
      <c r="F9116" s="3"/>
    </row>
    <row r="9117" spans="3:6" x14ac:dyDescent="0.3">
      <c r="C9117" s="3"/>
      <c r="D9117" s="3"/>
      <c r="E9117" s="3"/>
      <c r="F9117" s="3"/>
    </row>
    <row r="9118" spans="3:6" x14ac:dyDescent="0.3">
      <c r="C9118" s="3"/>
      <c r="D9118" s="3"/>
      <c r="E9118" s="3"/>
      <c r="F9118" s="3"/>
    </row>
    <row r="9119" spans="3:6" x14ac:dyDescent="0.3">
      <c r="C9119" s="3"/>
      <c r="D9119" s="3"/>
      <c r="E9119" s="3"/>
      <c r="F9119" s="3"/>
    </row>
    <row r="9120" spans="3:6" x14ac:dyDescent="0.3">
      <c r="C9120" s="3"/>
      <c r="D9120" s="3"/>
      <c r="E9120" s="3"/>
      <c r="F9120" s="3"/>
    </row>
    <row r="9121" spans="3:6" x14ac:dyDescent="0.3">
      <c r="C9121" s="3"/>
      <c r="D9121" s="3"/>
      <c r="E9121" s="3"/>
      <c r="F9121" s="3"/>
    </row>
    <row r="9122" spans="3:6" x14ac:dyDescent="0.3">
      <c r="C9122" s="3"/>
      <c r="D9122" s="3"/>
      <c r="E9122" s="3"/>
      <c r="F9122" s="3"/>
    </row>
    <row r="9123" spans="3:6" x14ac:dyDescent="0.3">
      <c r="C9123" s="3"/>
      <c r="D9123" s="3"/>
      <c r="E9123" s="3"/>
      <c r="F9123" s="3"/>
    </row>
    <row r="9124" spans="3:6" x14ac:dyDescent="0.3">
      <c r="C9124" s="3"/>
      <c r="D9124" s="3"/>
      <c r="E9124" s="3"/>
      <c r="F9124" s="3"/>
    </row>
    <row r="9125" spans="3:6" x14ac:dyDescent="0.3">
      <c r="C9125" s="3"/>
      <c r="D9125" s="3"/>
      <c r="E9125" s="3"/>
      <c r="F9125" s="3"/>
    </row>
    <row r="9126" spans="3:6" x14ac:dyDescent="0.3">
      <c r="C9126" s="3"/>
      <c r="D9126" s="3"/>
      <c r="E9126" s="3"/>
      <c r="F9126" s="3"/>
    </row>
    <row r="9127" spans="3:6" x14ac:dyDescent="0.3">
      <c r="C9127" s="3"/>
      <c r="D9127" s="3"/>
      <c r="E9127" s="3"/>
      <c r="F9127" s="3"/>
    </row>
    <row r="9128" spans="3:6" x14ac:dyDescent="0.3">
      <c r="C9128" s="3"/>
      <c r="D9128" s="3"/>
      <c r="E9128" s="3"/>
      <c r="F9128" s="3"/>
    </row>
    <row r="9129" spans="3:6" x14ac:dyDescent="0.3">
      <c r="C9129" s="3"/>
      <c r="D9129" s="3"/>
      <c r="E9129" s="3"/>
      <c r="F9129" s="3"/>
    </row>
    <row r="9130" spans="3:6" x14ac:dyDescent="0.3">
      <c r="C9130" s="3"/>
      <c r="D9130" s="3"/>
      <c r="E9130" s="3"/>
      <c r="F9130" s="3"/>
    </row>
    <row r="9131" spans="3:6" x14ac:dyDescent="0.3">
      <c r="C9131" s="3"/>
      <c r="D9131" s="3"/>
      <c r="E9131" s="3"/>
      <c r="F9131" s="3"/>
    </row>
    <row r="9132" spans="3:6" x14ac:dyDescent="0.3">
      <c r="C9132" s="3"/>
      <c r="D9132" s="3"/>
      <c r="E9132" s="3"/>
      <c r="F9132" s="3"/>
    </row>
    <row r="9133" spans="3:6" x14ac:dyDescent="0.3">
      <c r="C9133" s="3"/>
      <c r="D9133" s="3"/>
      <c r="E9133" s="3"/>
      <c r="F9133" s="3"/>
    </row>
    <row r="9134" spans="3:6" x14ac:dyDescent="0.3">
      <c r="C9134" s="3"/>
      <c r="D9134" s="3"/>
      <c r="E9134" s="3"/>
      <c r="F9134" s="3"/>
    </row>
    <row r="9135" spans="3:6" x14ac:dyDescent="0.3">
      <c r="C9135" s="3"/>
      <c r="D9135" s="3"/>
      <c r="E9135" s="3"/>
      <c r="F9135" s="3"/>
    </row>
    <row r="9136" spans="3:6" x14ac:dyDescent="0.3">
      <c r="C9136" s="3"/>
      <c r="D9136" s="3"/>
      <c r="E9136" s="3"/>
      <c r="F9136" s="3"/>
    </row>
    <row r="9137" spans="3:6" x14ac:dyDescent="0.3">
      <c r="C9137" s="3"/>
      <c r="D9137" s="3"/>
      <c r="E9137" s="3"/>
      <c r="F9137" s="3"/>
    </row>
    <row r="9138" spans="3:6" x14ac:dyDescent="0.3">
      <c r="C9138" s="3"/>
      <c r="D9138" s="3"/>
      <c r="E9138" s="3"/>
      <c r="F9138" s="3"/>
    </row>
    <row r="9139" spans="3:6" x14ac:dyDescent="0.3">
      <c r="C9139" s="3"/>
      <c r="D9139" s="3"/>
      <c r="E9139" s="3"/>
      <c r="F9139" s="3"/>
    </row>
    <row r="9140" spans="3:6" x14ac:dyDescent="0.3">
      <c r="C9140" s="3"/>
      <c r="D9140" s="3"/>
      <c r="E9140" s="3"/>
      <c r="F9140" s="3"/>
    </row>
    <row r="9141" spans="3:6" x14ac:dyDescent="0.3">
      <c r="C9141" s="3"/>
      <c r="D9141" s="3"/>
      <c r="E9141" s="3"/>
      <c r="F9141" s="3"/>
    </row>
    <row r="9142" spans="3:6" x14ac:dyDescent="0.3">
      <c r="C9142" s="3"/>
      <c r="D9142" s="3"/>
      <c r="E9142" s="3"/>
      <c r="F9142" s="3"/>
    </row>
    <row r="9143" spans="3:6" x14ac:dyDescent="0.3">
      <c r="C9143" s="3"/>
      <c r="D9143" s="3"/>
      <c r="E9143" s="3"/>
      <c r="F9143" s="3"/>
    </row>
    <row r="9144" spans="3:6" x14ac:dyDescent="0.3">
      <c r="C9144" s="3"/>
      <c r="D9144" s="3"/>
      <c r="E9144" s="3"/>
      <c r="F9144" s="3"/>
    </row>
    <row r="9145" spans="3:6" x14ac:dyDescent="0.3">
      <c r="C9145" s="3"/>
      <c r="D9145" s="3"/>
      <c r="E9145" s="3"/>
      <c r="F9145" s="3"/>
    </row>
    <row r="9146" spans="3:6" x14ac:dyDescent="0.3">
      <c r="C9146" s="3"/>
      <c r="D9146" s="3"/>
      <c r="E9146" s="3"/>
      <c r="F9146" s="3"/>
    </row>
    <row r="9147" spans="3:6" x14ac:dyDescent="0.3">
      <c r="C9147" s="3"/>
      <c r="D9147" s="3"/>
      <c r="E9147" s="3"/>
      <c r="F9147" s="3"/>
    </row>
    <row r="9148" spans="3:6" x14ac:dyDescent="0.3">
      <c r="C9148" s="3"/>
      <c r="D9148" s="3"/>
      <c r="E9148" s="3"/>
      <c r="F9148" s="3"/>
    </row>
    <row r="9149" spans="3:6" x14ac:dyDescent="0.3">
      <c r="C9149" s="3"/>
      <c r="D9149" s="3"/>
      <c r="E9149" s="3"/>
      <c r="F9149" s="3"/>
    </row>
    <row r="9150" spans="3:6" x14ac:dyDescent="0.3">
      <c r="C9150" s="3"/>
      <c r="D9150" s="3"/>
      <c r="E9150" s="3"/>
      <c r="F9150" s="3"/>
    </row>
    <row r="9151" spans="3:6" x14ac:dyDescent="0.3">
      <c r="C9151" s="3"/>
      <c r="D9151" s="3"/>
      <c r="E9151" s="3"/>
      <c r="F9151" s="3"/>
    </row>
    <row r="9152" spans="3:6" x14ac:dyDescent="0.3">
      <c r="C9152" s="3"/>
      <c r="D9152" s="3"/>
      <c r="E9152" s="3"/>
      <c r="F9152" s="3"/>
    </row>
    <row r="9153" spans="3:6" x14ac:dyDescent="0.3">
      <c r="C9153" s="3"/>
      <c r="D9153" s="3"/>
      <c r="E9153" s="3"/>
      <c r="F9153" s="3"/>
    </row>
    <row r="9154" spans="3:6" x14ac:dyDescent="0.3">
      <c r="C9154" s="3"/>
      <c r="D9154" s="3"/>
      <c r="E9154" s="3"/>
      <c r="F9154" s="3"/>
    </row>
    <row r="9155" spans="3:6" x14ac:dyDescent="0.3">
      <c r="C9155" s="3"/>
      <c r="D9155" s="3"/>
      <c r="E9155" s="3"/>
      <c r="F9155" s="3"/>
    </row>
    <row r="9156" spans="3:6" x14ac:dyDescent="0.3">
      <c r="C9156" s="3"/>
      <c r="D9156" s="3"/>
      <c r="E9156" s="3"/>
      <c r="F9156" s="3"/>
    </row>
    <row r="9157" spans="3:6" x14ac:dyDescent="0.3">
      <c r="C9157" s="3"/>
      <c r="D9157" s="3"/>
      <c r="E9157" s="3"/>
      <c r="F9157" s="3"/>
    </row>
    <row r="9158" spans="3:6" x14ac:dyDescent="0.3">
      <c r="C9158" s="3"/>
      <c r="D9158" s="3"/>
      <c r="E9158" s="3"/>
      <c r="F9158" s="3"/>
    </row>
    <row r="9159" spans="3:6" x14ac:dyDescent="0.3">
      <c r="C9159" s="3"/>
      <c r="D9159" s="3"/>
      <c r="E9159" s="3"/>
      <c r="F9159" s="3"/>
    </row>
    <row r="9160" spans="3:6" x14ac:dyDescent="0.3">
      <c r="C9160" s="3"/>
      <c r="D9160" s="3"/>
      <c r="E9160" s="3"/>
      <c r="F9160" s="3"/>
    </row>
    <row r="9161" spans="3:6" x14ac:dyDescent="0.3">
      <c r="C9161" s="3"/>
      <c r="D9161" s="3"/>
      <c r="E9161" s="3"/>
      <c r="F9161" s="3"/>
    </row>
    <row r="9162" spans="3:6" x14ac:dyDescent="0.3">
      <c r="C9162" s="3"/>
      <c r="D9162" s="3"/>
      <c r="E9162" s="3"/>
      <c r="F9162" s="3"/>
    </row>
    <row r="9163" spans="3:6" x14ac:dyDescent="0.3">
      <c r="C9163" s="3"/>
      <c r="D9163" s="3"/>
      <c r="E9163" s="3"/>
      <c r="F9163" s="3"/>
    </row>
    <row r="9164" spans="3:6" x14ac:dyDescent="0.3">
      <c r="C9164" s="3"/>
      <c r="D9164" s="3"/>
      <c r="E9164" s="3"/>
      <c r="F9164" s="3"/>
    </row>
    <row r="9165" spans="3:6" x14ac:dyDescent="0.3">
      <c r="C9165" s="3"/>
      <c r="D9165" s="3"/>
      <c r="E9165" s="3"/>
      <c r="F9165" s="3"/>
    </row>
    <row r="9166" spans="3:6" x14ac:dyDescent="0.3">
      <c r="C9166" s="3"/>
      <c r="D9166" s="3"/>
      <c r="E9166" s="3"/>
      <c r="F9166" s="3"/>
    </row>
    <row r="9167" spans="3:6" x14ac:dyDescent="0.3">
      <c r="C9167" s="3"/>
      <c r="D9167" s="3"/>
      <c r="E9167" s="3"/>
      <c r="F9167" s="3"/>
    </row>
    <row r="9168" spans="3:6" x14ac:dyDescent="0.3">
      <c r="C9168" s="3"/>
      <c r="D9168" s="3"/>
      <c r="E9168" s="3"/>
      <c r="F9168" s="3"/>
    </row>
    <row r="9169" spans="3:6" x14ac:dyDescent="0.3">
      <c r="C9169" s="3"/>
      <c r="D9169" s="3"/>
      <c r="E9169" s="3"/>
      <c r="F9169" s="3"/>
    </row>
    <row r="9170" spans="3:6" x14ac:dyDescent="0.3">
      <c r="C9170" s="3"/>
      <c r="D9170" s="3"/>
      <c r="E9170" s="3"/>
      <c r="F9170" s="3"/>
    </row>
    <row r="9171" spans="3:6" x14ac:dyDescent="0.3">
      <c r="C9171" s="3"/>
      <c r="D9171" s="3"/>
      <c r="E9171" s="3"/>
      <c r="F9171" s="3"/>
    </row>
    <row r="9172" spans="3:6" x14ac:dyDescent="0.3">
      <c r="C9172" s="3"/>
      <c r="D9172" s="3"/>
      <c r="E9172" s="3"/>
      <c r="F9172" s="3"/>
    </row>
    <row r="9173" spans="3:6" x14ac:dyDescent="0.3">
      <c r="C9173" s="3"/>
      <c r="D9173" s="3"/>
      <c r="E9173" s="3"/>
      <c r="F9173" s="3"/>
    </row>
    <row r="9174" spans="3:6" x14ac:dyDescent="0.3">
      <c r="C9174" s="3"/>
      <c r="D9174" s="3"/>
      <c r="E9174" s="3"/>
      <c r="F9174" s="3"/>
    </row>
    <row r="9175" spans="3:6" x14ac:dyDescent="0.3">
      <c r="C9175" s="3"/>
      <c r="D9175" s="3"/>
      <c r="E9175" s="3"/>
      <c r="F9175" s="3"/>
    </row>
    <row r="9176" spans="3:6" x14ac:dyDescent="0.3">
      <c r="C9176" s="3"/>
      <c r="D9176" s="3"/>
      <c r="E9176" s="3"/>
      <c r="F9176" s="3"/>
    </row>
    <row r="9177" spans="3:6" x14ac:dyDescent="0.3">
      <c r="C9177" s="3"/>
      <c r="D9177" s="3"/>
      <c r="E9177" s="3"/>
      <c r="F9177" s="3"/>
    </row>
    <row r="9178" spans="3:6" x14ac:dyDescent="0.3">
      <c r="C9178" s="3"/>
      <c r="D9178" s="3"/>
      <c r="E9178" s="3"/>
      <c r="F9178" s="3"/>
    </row>
    <row r="9179" spans="3:6" x14ac:dyDescent="0.3">
      <c r="C9179" s="3"/>
      <c r="D9179" s="3"/>
      <c r="E9179" s="3"/>
      <c r="F9179" s="3"/>
    </row>
    <row r="9180" spans="3:6" x14ac:dyDescent="0.3">
      <c r="C9180" s="3"/>
      <c r="D9180" s="3"/>
      <c r="E9180" s="3"/>
      <c r="F9180" s="3"/>
    </row>
    <row r="9181" spans="3:6" x14ac:dyDescent="0.3">
      <c r="C9181" s="3"/>
      <c r="D9181" s="3"/>
      <c r="E9181" s="3"/>
      <c r="F9181" s="3"/>
    </row>
    <row r="9182" spans="3:6" x14ac:dyDescent="0.3">
      <c r="C9182" s="3"/>
      <c r="D9182" s="3"/>
      <c r="E9182" s="3"/>
      <c r="F9182" s="3"/>
    </row>
    <row r="9183" spans="3:6" x14ac:dyDescent="0.3">
      <c r="C9183" s="3"/>
      <c r="D9183" s="3"/>
      <c r="E9183" s="3"/>
      <c r="F9183" s="3"/>
    </row>
    <row r="9184" spans="3:6" x14ac:dyDescent="0.3">
      <c r="C9184" s="3"/>
      <c r="D9184" s="3"/>
      <c r="E9184" s="3"/>
      <c r="F9184" s="3"/>
    </row>
    <row r="9185" spans="3:6" x14ac:dyDescent="0.3">
      <c r="C9185" s="3"/>
      <c r="D9185" s="3"/>
      <c r="E9185" s="3"/>
      <c r="F9185" s="3"/>
    </row>
    <row r="9186" spans="3:6" x14ac:dyDescent="0.3">
      <c r="C9186" s="3"/>
      <c r="D9186" s="3"/>
      <c r="E9186" s="3"/>
      <c r="F9186" s="3"/>
    </row>
    <row r="9187" spans="3:6" x14ac:dyDescent="0.3">
      <c r="C9187" s="3"/>
      <c r="D9187" s="3"/>
      <c r="E9187" s="3"/>
      <c r="F9187" s="3"/>
    </row>
    <row r="9188" spans="3:6" x14ac:dyDescent="0.3">
      <c r="C9188" s="3"/>
      <c r="D9188" s="3"/>
      <c r="E9188" s="3"/>
      <c r="F9188" s="3"/>
    </row>
    <row r="9189" spans="3:6" x14ac:dyDescent="0.3">
      <c r="C9189" s="3"/>
      <c r="D9189" s="3"/>
      <c r="E9189" s="3"/>
      <c r="F9189" s="3"/>
    </row>
    <row r="9190" spans="3:6" x14ac:dyDescent="0.3">
      <c r="C9190" s="3"/>
      <c r="D9190" s="3"/>
      <c r="E9190" s="3"/>
      <c r="F9190" s="3"/>
    </row>
    <row r="9191" spans="3:6" x14ac:dyDescent="0.3">
      <c r="C9191" s="3"/>
      <c r="D9191" s="3"/>
      <c r="E9191" s="3"/>
      <c r="F9191" s="3"/>
    </row>
    <row r="9192" spans="3:6" x14ac:dyDescent="0.3">
      <c r="C9192" s="3"/>
      <c r="D9192" s="3"/>
      <c r="E9192" s="3"/>
      <c r="F9192" s="3"/>
    </row>
    <row r="9193" spans="3:6" x14ac:dyDescent="0.3">
      <c r="C9193" s="3"/>
      <c r="D9193" s="3"/>
      <c r="E9193" s="3"/>
      <c r="F9193" s="3"/>
    </row>
    <row r="9194" spans="3:6" x14ac:dyDescent="0.3">
      <c r="C9194" s="3"/>
      <c r="D9194" s="3"/>
      <c r="E9194" s="3"/>
      <c r="F9194" s="3"/>
    </row>
    <row r="9195" spans="3:6" x14ac:dyDescent="0.3">
      <c r="C9195" s="3"/>
      <c r="D9195" s="3"/>
      <c r="E9195" s="3"/>
      <c r="F9195" s="3"/>
    </row>
    <row r="9196" spans="3:6" x14ac:dyDescent="0.3">
      <c r="C9196" s="3"/>
      <c r="D9196" s="3"/>
      <c r="E9196" s="3"/>
      <c r="F9196" s="3"/>
    </row>
    <row r="9197" spans="3:6" x14ac:dyDescent="0.3">
      <c r="C9197" s="3"/>
      <c r="D9197" s="3"/>
      <c r="E9197" s="3"/>
      <c r="F9197" s="3"/>
    </row>
    <row r="9198" spans="3:6" x14ac:dyDescent="0.3">
      <c r="C9198" s="3"/>
      <c r="D9198" s="3"/>
      <c r="E9198" s="3"/>
      <c r="F9198" s="3"/>
    </row>
    <row r="9199" spans="3:6" x14ac:dyDescent="0.3">
      <c r="C9199" s="3"/>
      <c r="D9199" s="3"/>
      <c r="E9199" s="3"/>
      <c r="F9199" s="3"/>
    </row>
    <row r="9200" spans="3:6" x14ac:dyDescent="0.3">
      <c r="C9200" s="3"/>
      <c r="D9200" s="3"/>
      <c r="E9200" s="3"/>
      <c r="F9200" s="3"/>
    </row>
    <row r="9201" spans="3:6" x14ac:dyDescent="0.3">
      <c r="C9201" s="3"/>
      <c r="D9201" s="3"/>
      <c r="E9201" s="3"/>
      <c r="F9201" s="3"/>
    </row>
    <row r="9202" spans="3:6" x14ac:dyDescent="0.3">
      <c r="C9202" s="3"/>
      <c r="D9202" s="3"/>
      <c r="E9202" s="3"/>
      <c r="F9202" s="3"/>
    </row>
    <row r="9203" spans="3:6" x14ac:dyDescent="0.3">
      <c r="C9203" s="3"/>
      <c r="D9203" s="3"/>
      <c r="E9203" s="3"/>
      <c r="F9203" s="3"/>
    </row>
    <row r="9204" spans="3:6" x14ac:dyDescent="0.3">
      <c r="C9204" s="3"/>
      <c r="D9204" s="3"/>
      <c r="E9204" s="3"/>
      <c r="F9204" s="3"/>
    </row>
    <row r="9205" spans="3:6" x14ac:dyDescent="0.3">
      <c r="C9205" s="3"/>
      <c r="D9205" s="3"/>
      <c r="E9205" s="3"/>
      <c r="F9205" s="3"/>
    </row>
    <row r="9206" spans="3:6" x14ac:dyDescent="0.3">
      <c r="C9206" s="3"/>
      <c r="D9206" s="3"/>
      <c r="E9206" s="3"/>
      <c r="F9206" s="3"/>
    </row>
    <row r="9207" spans="3:6" x14ac:dyDescent="0.3">
      <c r="C9207" s="3"/>
      <c r="D9207" s="3"/>
      <c r="E9207" s="3"/>
      <c r="F9207" s="3"/>
    </row>
    <row r="9208" spans="3:6" x14ac:dyDescent="0.3">
      <c r="C9208" s="3"/>
      <c r="D9208" s="3"/>
      <c r="E9208" s="3"/>
      <c r="F9208" s="3"/>
    </row>
    <row r="9209" spans="3:6" x14ac:dyDescent="0.3">
      <c r="C9209" s="3"/>
      <c r="D9209" s="3"/>
      <c r="E9209" s="3"/>
      <c r="F9209" s="3"/>
    </row>
    <row r="9210" spans="3:6" x14ac:dyDescent="0.3">
      <c r="C9210" s="3"/>
      <c r="D9210" s="3"/>
      <c r="E9210" s="3"/>
      <c r="F9210" s="3"/>
    </row>
    <row r="9211" spans="3:6" x14ac:dyDescent="0.3">
      <c r="C9211" s="3"/>
      <c r="D9211" s="3"/>
      <c r="E9211" s="3"/>
      <c r="F9211" s="3"/>
    </row>
    <row r="9212" spans="3:6" x14ac:dyDescent="0.3">
      <c r="C9212" s="3"/>
      <c r="D9212" s="3"/>
      <c r="E9212" s="3"/>
      <c r="F9212" s="3"/>
    </row>
    <row r="9213" spans="3:6" x14ac:dyDescent="0.3">
      <c r="C9213" s="3"/>
      <c r="D9213" s="3"/>
      <c r="E9213" s="3"/>
      <c r="F9213" s="3"/>
    </row>
    <row r="9214" spans="3:6" x14ac:dyDescent="0.3">
      <c r="C9214" s="3"/>
      <c r="D9214" s="3"/>
      <c r="E9214" s="3"/>
      <c r="F9214" s="3"/>
    </row>
    <row r="9215" spans="3:6" x14ac:dyDescent="0.3">
      <c r="C9215" s="3"/>
      <c r="D9215" s="3"/>
      <c r="E9215" s="3"/>
      <c r="F9215" s="3"/>
    </row>
    <row r="9216" spans="3:6" x14ac:dyDescent="0.3">
      <c r="C9216" s="3"/>
      <c r="D9216" s="3"/>
      <c r="E9216" s="3"/>
      <c r="F9216" s="3"/>
    </row>
    <row r="9217" spans="3:6" x14ac:dyDescent="0.3">
      <c r="C9217" s="3"/>
      <c r="D9217" s="3"/>
      <c r="E9217" s="3"/>
      <c r="F9217" s="3"/>
    </row>
    <row r="9218" spans="3:6" x14ac:dyDescent="0.3">
      <c r="C9218" s="3"/>
      <c r="D9218" s="3"/>
      <c r="E9218" s="3"/>
      <c r="F9218" s="3"/>
    </row>
    <row r="9219" spans="3:6" x14ac:dyDescent="0.3">
      <c r="C9219" s="3"/>
      <c r="D9219" s="3"/>
      <c r="E9219" s="3"/>
      <c r="F9219" s="3"/>
    </row>
    <row r="9220" spans="3:6" x14ac:dyDescent="0.3">
      <c r="C9220" s="3"/>
      <c r="D9220" s="3"/>
      <c r="E9220" s="3"/>
      <c r="F9220" s="3"/>
    </row>
    <row r="9221" spans="3:6" x14ac:dyDescent="0.3">
      <c r="C9221" s="3"/>
      <c r="D9221" s="3"/>
      <c r="E9221" s="3"/>
      <c r="F9221" s="3"/>
    </row>
    <row r="9222" spans="3:6" x14ac:dyDescent="0.3">
      <c r="C9222" s="3"/>
      <c r="D9222" s="3"/>
      <c r="E9222" s="3"/>
      <c r="F9222" s="3"/>
    </row>
    <row r="9223" spans="3:6" x14ac:dyDescent="0.3">
      <c r="C9223" s="3"/>
      <c r="D9223" s="3"/>
      <c r="E9223" s="3"/>
      <c r="F9223" s="3"/>
    </row>
    <row r="9224" spans="3:6" x14ac:dyDescent="0.3">
      <c r="C9224" s="3"/>
      <c r="D9224" s="3"/>
      <c r="E9224" s="3"/>
      <c r="F9224" s="3"/>
    </row>
    <row r="9225" spans="3:6" x14ac:dyDescent="0.3">
      <c r="C9225" s="3"/>
      <c r="D9225" s="3"/>
      <c r="E9225" s="3"/>
      <c r="F9225" s="3"/>
    </row>
    <row r="9226" spans="3:6" x14ac:dyDescent="0.3">
      <c r="C9226" s="3"/>
      <c r="D9226" s="3"/>
      <c r="E9226" s="3"/>
      <c r="F9226" s="3"/>
    </row>
    <row r="9227" spans="3:6" x14ac:dyDescent="0.3">
      <c r="C9227" s="3"/>
      <c r="D9227" s="3"/>
      <c r="E9227" s="3"/>
      <c r="F9227" s="3"/>
    </row>
    <row r="9228" spans="3:6" x14ac:dyDescent="0.3">
      <c r="C9228" s="3"/>
      <c r="D9228" s="3"/>
      <c r="E9228" s="3"/>
      <c r="F9228" s="3"/>
    </row>
    <row r="9229" spans="3:6" x14ac:dyDescent="0.3">
      <c r="C9229" s="3"/>
      <c r="D9229" s="3"/>
      <c r="E9229" s="3"/>
      <c r="F9229" s="3"/>
    </row>
    <row r="9230" spans="3:6" x14ac:dyDescent="0.3">
      <c r="C9230" s="3"/>
      <c r="D9230" s="3"/>
      <c r="E9230" s="3"/>
      <c r="F9230" s="3"/>
    </row>
    <row r="9231" spans="3:6" x14ac:dyDescent="0.3">
      <c r="C9231" s="3"/>
      <c r="D9231" s="3"/>
      <c r="E9231" s="3"/>
      <c r="F9231" s="3"/>
    </row>
    <row r="9232" spans="3:6" x14ac:dyDescent="0.3">
      <c r="C9232" s="3"/>
      <c r="D9232" s="3"/>
      <c r="E9232" s="3"/>
      <c r="F9232" s="3"/>
    </row>
    <row r="9233" spans="3:6" x14ac:dyDescent="0.3">
      <c r="C9233" s="3"/>
      <c r="D9233" s="3"/>
      <c r="E9233" s="3"/>
      <c r="F9233" s="3"/>
    </row>
    <row r="9234" spans="3:6" x14ac:dyDescent="0.3">
      <c r="C9234" s="3"/>
      <c r="D9234" s="3"/>
      <c r="E9234" s="3"/>
      <c r="F9234" s="3"/>
    </row>
    <row r="9235" spans="3:6" x14ac:dyDescent="0.3">
      <c r="C9235" s="3"/>
      <c r="D9235" s="3"/>
      <c r="E9235" s="3"/>
      <c r="F9235" s="3"/>
    </row>
    <row r="9236" spans="3:6" x14ac:dyDescent="0.3">
      <c r="C9236" s="3"/>
      <c r="D9236" s="3"/>
      <c r="E9236" s="3"/>
      <c r="F9236" s="3"/>
    </row>
    <row r="9237" spans="3:6" x14ac:dyDescent="0.3">
      <c r="C9237" s="3"/>
      <c r="D9237" s="3"/>
      <c r="E9237" s="3"/>
      <c r="F9237" s="3"/>
    </row>
    <row r="9238" spans="3:6" x14ac:dyDescent="0.3">
      <c r="C9238" s="3"/>
      <c r="D9238" s="3"/>
      <c r="E9238" s="3"/>
      <c r="F9238" s="3"/>
    </row>
    <row r="9239" spans="3:6" x14ac:dyDescent="0.3">
      <c r="C9239" s="3"/>
      <c r="D9239" s="3"/>
      <c r="E9239" s="3"/>
      <c r="F9239" s="3"/>
    </row>
    <row r="9240" spans="3:6" x14ac:dyDescent="0.3">
      <c r="C9240" s="3"/>
      <c r="D9240" s="3"/>
      <c r="E9240" s="3"/>
      <c r="F9240" s="3"/>
    </row>
    <row r="9241" spans="3:6" x14ac:dyDescent="0.3">
      <c r="C9241" s="3"/>
      <c r="D9241" s="3"/>
      <c r="E9241" s="3"/>
      <c r="F9241" s="3"/>
    </row>
    <row r="9242" spans="3:6" x14ac:dyDescent="0.3">
      <c r="C9242" s="3"/>
      <c r="D9242" s="3"/>
      <c r="E9242" s="3"/>
      <c r="F9242" s="3"/>
    </row>
    <row r="9243" spans="3:6" x14ac:dyDescent="0.3">
      <c r="C9243" s="3"/>
      <c r="D9243" s="3"/>
      <c r="E9243" s="3"/>
      <c r="F9243" s="3"/>
    </row>
    <row r="9244" spans="3:6" x14ac:dyDescent="0.3">
      <c r="C9244" s="3"/>
      <c r="D9244" s="3"/>
      <c r="E9244" s="3"/>
      <c r="F9244" s="3"/>
    </row>
    <row r="9245" spans="3:6" x14ac:dyDescent="0.3">
      <c r="C9245" s="3"/>
      <c r="D9245" s="3"/>
      <c r="E9245" s="3"/>
      <c r="F9245" s="3"/>
    </row>
    <row r="9246" spans="3:6" x14ac:dyDescent="0.3">
      <c r="C9246" s="3"/>
      <c r="D9246" s="3"/>
      <c r="E9246" s="3"/>
      <c r="F9246" s="3"/>
    </row>
    <row r="9247" spans="3:6" x14ac:dyDescent="0.3">
      <c r="C9247" s="3"/>
      <c r="D9247" s="3"/>
      <c r="E9247" s="3"/>
      <c r="F9247" s="3"/>
    </row>
    <row r="9248" spans="3:6" x14ac:dyDescent="0.3">
      <c r="C9248" s="3"/>
      <c r="D9248" s="3"/>
      <c r="E9248" s="3"/>
      <c r="F9248" s="3"/>
    </row>
    <row r="9249" spans="3:6" x14ac:dyDescent="0.3">
      <c r="C9249" s="3"/>
      <c r="D9249" s="3"/>
      <c r="E9249" s="3"/>
      <c r="F9249" s="3"/>
    </row>
    <row r="9250" spans="3:6" x14ac:dyDescent="0.3">
      <c r="C9250" s="3"/>
      <c r="D9250" s="3"/>
      <c r="E9250" s="3"/>
      <c r="F9250" s="3"/>
    </row>
    <row r="9251" spans="3:6" x14ac:dyDescent="0.3">
      <c r="C9251" s="3"/>
      <c r="D9251" s="3"/>
      <c r="E9251" s="3"/>
      <c r="F9251" s="3"/>
    </row>
    <row r="9252" spans="3:6" x14ac:dyDescent="0.3">
      <c r="C9252" s="3"/>
      <c r="D9252" s="3"/>
      <c r="E9252" s="3"/>
      <c r="F9252" s="3"/>
    </row>
    <row r="9253" spans="3:6" x14ac:dyDescent="0.3">
      <c r="C9253" s="3"/>
      <c r="D9253" s="3"/>
      <c r="E9253" s="3"/>
      <c r="F9253" s="3"/>
    </row>
    <row r="9254" spans="3:6" x14ac:dyDescent="0.3">
      <c r="C9254" s="3"/>
      <c r="D9254" s="3"/>
      <c r="E9254" s="3"/>
      <c r="F9254" s="3"/>
    </row>
    <row r="9255" spans="3:6" x14ac:dyDescent="0.3">
      <c r="C9255" s="3"/>
      <c r="D9255" s="3"/>
      <c r="E9255" s="3"/>
      <c r="F9255" s="3"/>
    </row>
    <row r="9256" spans="3:6" x14ac:dyDescent="0.3">
      <c r="C9256" s="3"/>
      <c r="D9256" s="3"/>
      <c r="E9256" s="3"/>
      <c r="F9256" s="3"/>
    </row>
    <row r="9257" spans="3:6" x14ac:dyDescent="0.3">
      <c r="C9257" s="3"/>
      <c r="D9257" s="3"/>
      <c r="E9257" s="3"/>
      <c r="F9257" s="3"/>
    </row>
    <row r="9258" spans="3:6" x14ac:dyDescent="0.3">
      <c r="C9258" s="3"/>
      <c r="D9258" s="3"/>
      <c r="E9258" s="3"/>
      <c r="F9258" s="3"/>
    </row>
    <row r="9259" spans="3:6" x14ac:dyDescent="0.3">
      <c r="C9259" s="3"/>
      <c r="D9259" s="3"/>
      <c r="E9259" s="3"/>
      <c r="F9259" s="3"/>
    </row>
    <row r="9260" spans="3:6" x14ac:dyDescent="0.3">
      <c r="C9260" s="3"/>
      <c r="D9260" s="3"/>
      <c r="E9260" s="3"/>
      <c r="F9260" s="3"/>
    </row>
    <row r="9261" spans="3:6" x14ac:dyDescent="0.3">
      <c r="C9261" s="3"/>
      <c r="D9261" s="3"/>
      <c r="E9261" s="3"/>
      <c r="F9261" s="3"/>
    </row>
    <row r="9262" spans="3:6" x14ac:dyDescent="0.3">
      <c r="C9262" s="3"/>
      <c r="D9262" s="3"/>
      <c r="E9262" s="3"/>
      <c r="F9262" s="3"/>
    </row>
    <row r="9263" spans="3:6" x14ac:dyDescent="0.3">
      <c r="C9263" s="3"/>
      <c r="D9263" s="3"/>
      <c r="E9263" s="3"/>
      <c r="F9263" s="3"/>
    </row>
    <row r="9264" spans="3:6" x14ac:dyDescent="0.3">
      <c r="C9264" s="3"/>
      <c r="D9264" s="3"/>
      <c r="E9264" s="3"/>
      <c r="F9264" s="3"/>
    </row>
    <row r="9265" spans="3:6" x14ac:dyDescent="0.3">
      <c r="C9265" s="3"/>
      <c r="D9265" s="3"/>
      <c r="E9265" s="3"/>
      <c r="F9265" s="3"/>
    </row>
    <row r="9266" spans="3:6" x14ac:dyDescent="0.3">
      <c r="C9266" s="3"/>
      <c r="D9266" s="3"/>
      <c r="E9266" s="3"/>
      <c r="F9266" s="3"/>
    </row>
    <row r="9267" spans="3:6" x14ac:dyDescent="0.3">
      <c r="C9267" s="3"/>
      <c r="D9267" s="3"/>
      <c r="E9267" s="3"/>
      <c r="F9267" s="3"/>
    </row>
    <row r="9268" spans="3:6" x14ac:dyDescent="0.3">
      <c r="C9268" s="3"/>
      <c r="D9268" s="3"/>
      <c r="E9268" s="3"/>
      <c r="F9268" s="3"/>
    </row>
    <row r="9269" spans="3:6" x14ac:dyDescent="0.3">
      <c r="C9269" s="3"/>
      <c r="D9269" s="3"/>
      <c r="E9269" s="3"/>
      <c r="F9269" s="3"/>
    </row>
    <row r="9270" spans="3:6" x14ac:dyDescent="0.3">
      <c r="C9270" s="3"/>
      <c r="D9270" s="3"/>
      <c r="E9270" s="3"/>
      <c r="F9270" s="3"/>
    </row>
    <row r="9271" spans="3:6" x14ac:dyDescent="0.3">
      <c r="C9271" s="3"/>
      <c r="D9271" s="3"/>
      <c r="E9271" s="3"/>
      <c r="F9271" s="3"/>
    </row>
    <row r="9272" spans="3:6" x14ac:dyDescent="0.3">
      <c r="C9272" s="3"/>
      <c r="D9272" s="3"/>
      <c r="E9272" s="3"/>
      <c r="F9272" s="3"/>
    </row>
    <row r="9273" spans="3:6" x14ac:dyDescent="0.3">
      <c r="C9273" s="3"/>
      <c r="D9273" s="3"/>
      <c r="E9273" s="3"/>
      <c r="F9273" s="3"/>
    </row>
    <row r="9274" spans="3:6" x14ac:dyDescent="0.3">
      <c r="C9274" s="3"/>
      <c r="D9274" s="3"/>
      <c r="E9274" s="3"/>
      <c r="F9274" s="3"/>
    </row>
    <row r="9275" spans="3:6" x14ac:dyDescent="0.3">
      <c r="C9275" s="3"/>
      <c r="D9275" s="3"/>
      <c r="E9275" s="3"/>
      <c r="F9275" s="3"/>
    </row>
    <row r="9276" spans="3:6" x14ac:dyDescent="0.3">
      <c r="C9276" s="3"/>
      <c r="D9276" s="3"/>
      <c r="E9276" s="3"/>
      <c r="F9276" s="3"/>
    </row>
    <row r="9277" spans="3:6" x14ac:dyDescent="0.3">
      <c r="C9277" s="3"/>
      <c r="D9277" s="3"/>
      <c r="E9277" s="3"/>
      <c r="F9277" s="3"/>
    </row>
    <row r="9278" spans="3:6" x14ac:dyDescent="0.3">
      <c r="C9278" s="3"/>
      <c r="D9278" s="3"/>
      <c r="E9278" s="3"/>
      <c r="F9278" s="3"/>
    </row>
    <row r="9279" spans="3:6" x14ac:dyDescent="0.3">
      <c r="C9279" s="3"/>
      <c r="D9279" s="3"/>
      <c r="E9279" s="3"/>
      <c r="F9279" s="3"/>
    </row>
    <row r="9280" spans="3:6" x14ac:dyDescent="0.3">
      <c r="C9280" s="3"/>
      <c r="D9280" s="3"/>
      <c r="E9280" s="3"/>
      <c r="F9280" s="3"/>
    </row>
    <row r="9281" spans="3:6" x14ac:dyDescent="0.3">
      <c r="C9281" s="3"/>
      <c r="D9281" s="3"/>
      <c r="E9281" s="3"/>
      <c r="F9281" s="3"/>
    </row>
    <row r="9282" spans="3:6" x14ac:dyDescent="0.3">
      <c r="C9282" s="3"/>
      <c r="D9282" s="3"/>
      <c r="E9282" s="3"/>
      <c r="F9282" s="3"/>
    </row>
    <row r="9283" spans="3:6" x14ac:dyDescent="0.3">
      <c r="C9283" s="3"/>
      <c r="D9283" s="3"/>
      <c r="E9283" s="3"/>
      <c r="F9283" s="3"/>
    </row>
    <row r="9284" spans="3:6" x14ac:dyDescent="0.3">
      <c r="C9284" s="3"/>
      <c r="D9284" s="3"/>
      <c r="E9284" s="3"/>
      <c r="F9284" s="3"/>
    </row>
    <row r="9285" spans="3:6" x14ac:dyDescent="0.3">
      <c r="C9285" s="3"/>
      <c r="D9285" s="3"/>
      <c r="E9285" s="3"/>
      <c r="F9285" s="3"/>
    </row>
    <row r="9286" spans="3:6" x14ac:dyDescent="0.3">
      <c r="C9286" s="3"/>
      <c r="D9286" s="3"/>
      <c r="E9286" s="3"/>
      <c r="F9286" s="3"/>
    </row>
    <row r="9287" spans="3:6" x14ac:dyDescent="0.3">
      <c r="C9287" s="3"/>
      <c r="D9287" s="3"/>
      <c r="E9287" s="3"/>
      <c r="F9287" s="3"/>
    </row>
    <row r="9288" spans="3:6" x14ac:dyDescent="0.3">
      <c r="C9288" s="3"/>
      <c r="D9288" s="3"/>
      <c r="E9288" s="3"/>
      <c r="F9288" s="3"/>
    </row>
    <row r="9289" spans="3:6" x14ac:dyDescent="0.3">
      <c r="C9289" s="3"/>
      <c r="D9289" s="3"/>
      <c r="E9289" s="3"/>
      <c r="F9289" s="3"/>
    </row>
    <row r="9290" spans="3:6" x14ac:dyDescent="0.3">
      <c r="C9290" s="3"/>
      <c r="D9290" s="3"/>
      <c r="E9290" s="3"/>
      <c r="F9290" s="3"/>
    </row>
    <row r="9291" spans="3:6" x14ac:dyDescent="0.3">
      <c r="C9291" s="3"/>
      <c r="D9291" s="3"/>
      <c r="E9291" s="3"/>
      <c r="F9291" s="3"/>
    </row>
    <row r="9292" spans="3:6" x14ac:dyDescent="0.3">
      <c r="C9292" s="3"/>
      <c r="D9292" s="3"/>
      <c r="E9292" s="3"/>
      <c r="F9292" s="3"/>
    </row>
    <row r="9293" spans="3:6" x14ac:dyDescent="0.3">
      <c r="C9293" s="3"/>
      <c r="D9293" s="3"/>
      <c r="E9293" s="3"/>
      <c r="F9293" s="3"/>
    </row>
    <row r="9294" spans="3:6" x14ac:dyDescent="0.3">
      <c r="C9294" s="3"/>
      <c r="D9294" s="3"/>
      <c r="E9294" s="3"/>
      <c r="F9294" s="3"/>
    </row>
    <row r="9295" spans="3:6" x14ac:dyDescent="0.3">
      <c r="C9295" s="3"/>
      <c r="D9295" s="3"/>
      <c r="E9295" s="3"/>
      <c r="F9295" s="3"/>
    </row>
    <row r="9296" spans="3:6" x14ac:dyDescent="0.3">
      <c r="C9296" s="3"/>
      <c r="D9296" s="3"/>
      <c r="E9296" s="3"/>
      <c r="F9296" s="3"/>
    </row>
    <row r="9297" spans="3:6" x14ac:dyDescent="0.3">
      <c r="C9297" s="3"/>
      <c r="D9297" s="3"/>
      <c r="E9297" s="3"/>
      <c r="F9297" s="3"/>
    </row>
    <row r="9298" spans="3:6" x14ac:dyDescent="0.3">
      <c r="C9298" s="3"/>
      <c r="D9298" s="3"/>
      <c r="E9298" s="3"/>
      <c r="F9298" s="3"/>
    </row>
    <row r="9299" spans="3:6" x14ac:dyDescent="0.3">
      <c r="C9299" s="3"/>
      <c r="D9299" s="3"/>
      <c r="E9299" s="3"/>
      <c r="F9299" s="3"/>
    </row>
    <row r="9300" spans="3:6" x14ac:dyDescent="0.3">
      <c r="C9300" s="3"/>
      <c r="D9300" s="3"/>
      <c r="E9300" s="3"/>
      <c r="F9300" s="3"/>
    </row>
    <row r="9301" spans="3:6" x14ac:dyDescent="0.3">
      <c r="C9301" s="3"/>
      <c r="D9301" s="3"/>
      <c r="E9301" s="3"/>
      <c r="F9301" s="3"/>
    </row>
    <row r="9302" spans="3:6" x14ac:dyDescent="0.3">
      <c r="C9302" s="3"/>
      <c r="D9302" s="3"/>
      <c r="E9302" s="3"/>
      <c r="F9302" s="3"/>
    </row>
    <row r="9303" spans="3:6" x14ac:dyDescent="0.3">
      <c r="C9303" s="3"/>
      <c r="D9303" s="3"/>
      <c r="E9303" s="3"/>
      <c r="F9303" s="3"/>
    </row>
    <row r="9304" spans="3:6" x14ac:dyDescent="0.3">
      <c r="C9304" s="3"/>
      <c r="D9304" s="3"/>
      <c r="E9304" s="3"/>
      <c r="F9304" s="3"/>
    </row>
    <row r="9305" spans="3:6" x14ac:dyDescent="0.3">
      <c r="C9305" s="3"/>
      <c r="D9305" s="3"/>
      <c r="E9305" s="3"/>
      <c r="F9305" s="3"/>
    </row>
    <row r="9306" spans="3:6" x14ac:dyDescent="0.3">
      <c r="C9306" s="3"/>
      <c r="D9306" s="3"/>
      <c r="E9306" s="3"/>
      <c r="F9306" s="3"/>
    </row>
    <row r="9307" spans="3:6" x14ac:dyDescent="0.3">
      <c r="C9307" s="3"/>
      <c r="D9307" s="3"/>
      <c r="E9307" s="3"/>
      <c r="F9307" s="3"/>
    </row>
    <row r="9308" spans="3:6" x14ac:dyDescent="0.3">
      <c r="C9308" s="3"/>
      <c r="D9308" s="3"/>
      <c r="E9308" s="3"/>
      <c r="F9308" s="3"/>
    </row>
    <row r="9309" spans="3:6" x14ac:dyDescent="0.3">
      <c r="C9309" s="3"/>
      <c r="D9309" s="3"/>
      <c r="E9309" s="3"/>
      <c r="F9309" s="3"/>
    </row>
    <row r="9310" spans="3:6" x14ac:dyDescent="0.3">
      <c r="C9310" s="3"/>
      <c r="D9310" s="3"/>
      <c r="E9310" s="3"/>
      <c r="F9310" s="3"/>
    </row>
    <row r="9311" spans="3:6" x14ac:dyDescent="0.3">
      <c r="C9311" s="3"/>
      <c r="D9311" s="3"/>
      <c r="E9311" s="3"/>
      <c r="F9311" s="3"/>
    </row>
    <row r="9312" spans="3:6" x14ac:dyDescent="0.3">
      <c r="C9312" s="3"/>
      <c r="D9312" s="3"/>
      <c r="E9312" s="3"/>
      <c r="F9312" s="3"/>
    </row>
    <row r="9313" spans="3:6" x14ac:dyDescent="0.3">
      <c r="C9313" s="3"/>
      <c r="D9313" s="3"/>
      <c r="E9313" s="3"/>
      <c r="F9313" s="3"/>
    </row>
    <row r="9314" spans="3:6" x14ac:dyDescent="0.3">
      <c r="C9314" s="3"/>
      <c r="D9314" s="3"/>
      <c r="E9314" s="3"/>
      <c r="F9314" s="3"/>
    </row>
    <row r="9315" spans="3:6" x14ac:dyDescent="0.3">
      <c r="C9315" s="3"/>
      <c r="D9315" s="3"/>
      <c r="E9315" s="3"/>
      <c r="F9315" s="3"/>
    </row>
    <row r="9316" spans="3:6" x14ac:dyDescent="0.3">
      <c r="C9316" s="3"/>
      <c r="D9316" s="3"/>
      <c r="E9316" s="3"/>
      <c r="F9316" s="3"/>
    </row>
    <row r="9317" spans="3:6" x14ac:dyDescent="0.3">
      <c r="C9317" s="3"/>
      <c r="D9317" s="3"/>
      <c r="E9317" s="3"/>
      <c r="F9317" s="3"/>
    </row>
    <row r="9318" spans="3:6" x14ac:dyDescent="0.3">
      <c r="C9318" s="3"/>
      <c r="D9318" s="3"/>
      <c r="E9318" s="3"/>
      <c r="F9318" s="3"/>
    </row>
    <row r="9319" spans="3:6" x14ac:dyDescent="0.3">
      <c r="C9319" s="3"/>
      <c r="D9319" s="3"/>
      <c r="E9319" s="3"/>
      <c r="F9319" s="3"/>
    </row>
    <row r="9320" spans="3:6" x14ac:dyDescent="0.3">
      <c r="C9320" s="3"/>
      <c r="D9320" s="3"/>
      <c r="E9320" s="3"/>
      <c r="F9320" s="3"/>
    </row>
    <row r="9321" spans="3:6" x14ac:dyDescent="0.3">
      <c r="C9321" s="3"/>
      <c r="D9321" s="3"/>
      <c r="E9321" s="3"/>
      <c r="F9321" s="3"/>
    </row>
    <row r="9322" spans="3:6" x14ac:dyDescent="0.3">
      <c r="C9322" s="3"/>
      <c r="D9322" s="3"/>
      <c r="E9322" s="3"/>
      <c r="F9322" s="3"/>
    </row>
    <row r="9323" spans="3:6" x14ac:dyDescent="0.3">
      <c r="C9323" s="3"/>
      <c r="D9323" s="3"/>
      <c r="E9323" s="3"/>
      <c r="F9323" s="3"/>
    </row>
    <row r="9324" spans="3:6" x14ac:dyDescent="0.3">
      <c r="C9324" s="3"/>
      <c r="D9324" s="3"/>
      <c r="E9324" s="3"/>
      <c r="F9324" s="3"/>
    </row>
    <row r="9325" spans="3:6" x14ac:dyDescent="0.3">
      <c r="C9325" s="3"/>
      <c r="D9325" s="3"/>
      <c r="E9325" s="3"/>
      <c r="F9325" s="3"/>
    </row>
    <row r="9326" spans="3:6" x14ac:dyDescent="0.3">
      <c r="C9326" s="3"/>
      <c r="D9326" s="3"/>
      <c r="E9326" s="3"/>
      <c r="F9326" s="3"/>
    </row>
    <row r="9327" spans="3:6" x14ac:dyDescent="0.3">
      <c r="C9327" s="3"/>
      <c r="D9327" s="3"/>
      <c r="E9327" s="3"/>
      <c r="F9327" s="3"/>
    </row>
    <row r="9328" spans="3:6" x14ac:dyDescent="0.3">
      <c r="C9328" s="3"/>
      <c r="D9328" s="3"/>
      <c r="E9328" s="3"/>
      <c r="F9328" s="3"/>
    </row>
    <row r="9329" spans="3:6" x14ac:dyDescent="0.3">
      <c r="C9329" s="3"/>
      <c r="D9329" s="3"/>
      <c r="E9329" s="3"/>
      <c r="F9329" s="3"/>
    </row>
    <row r="9330" spans="3:6" x14ac:dyDescent="0.3">
      <c r="C9330" s="3"/>
      <c r="D9330" s="3"/>
      <c r="E9330" s="3"/>
      <c r="F9330" s="3"/>
    </row>
    <row r="9331" spans="3:6" x14ac:dyDescent="0.3">
      <c r="C9331" s="3"/>
      <c r="D9331" s="3"/>
      <c r="E9331" s="3"/>
      <c r="F9331" s="3"/>
    </row>
    <row r="9332" spans="3:6" x14ac:dyDescent="0.3">
      <c r="C9332" s="3"/>
      <c r="D9332" s="3"/>
      <c r="E9332" s="3"/>
      <c r="F9332" s="3"/>
    </row>
    <row r="9333" spans="3:6" x14ac:dyDescent="0.3">
      <c r="C9333" s="3"/>
      <c r="D9333" s="3"/>
      <c r="E9333" s="3"/>
      <c r="F9333" s="3"/>
    </row>
    <row r="9334" spans="3:6" x14ac:dyDescent="0.3">
      <c r="C9334" s="3"/>
      <c r="D9334" s="3"/>
      <c r="E9334" s="3"/>
      <c r="F9334" s="3"/>
    </row>
    <row r="9335" spans="3:6" x14ac:dyDescent="0.3">
      <c r="C9335" s="3"/>
      <c r="D9335" s="3"/>
      <c r="E9335" s="3"/>
      <c r="F9335" s="3"/>
    </row>
    <row r="9336" spans="3:6" x14ac:dyDescent="0.3">
      <c r="C9336" s="3"/>
      <c r="D9336" s="3"/>
      <c r="E9336" s="3"/>
      <c r="F9336" s="3"/>
    </row>
    <row r="9337" spans="3:6" x14ac:dyDescent="0.3">
      <c r="C9337" s="3"/>
      <c r="D9337" s="3"/>
      <c r="E9337" s="3"/>
      <c r="F9337" s="3"/>
    </row>
    <row r="9338" spans="3:6" x14ac:dyDescent="0.3">
      <c r="C9338" s="3"/>
      <c r="D9338" s="3"/>
      <c r="E9338" s="3"/>
      <c r="F9338" s="3"/>
    </row>
    <row r="9339" spans="3:6" x14ac:dyDescent="0.3">
      <c r="C9339" s="3"/>
      <c r="D9339" s="3"/>
      <c r="E9339" s="3"/>
      <c r="F9339" s="3"/>
    </row>
    <row r="9340" spans="3:6" x14ac:dyDescent="0.3">
      <c r="C9340" s="3"/>
      <c r="D9340" s="3"/>
      <c r="E9340" s="3"/>
      <c r="F9340" s="3"/>
    </row>
    <row r="9341" spans="3:6" x14ac:dyDescent="0.3">
      <c r="C9341" s="3"/>
      <c r="D9341" s="3"/>
      <c r="E9341" s="3"/>
      <c r="F9341" s="3"/>
    </row>
    <row r="9342" spans="3:6" x14ac:dyDescent="0.3">
      <c r="C9342" s="3"/>
      <c r="D9342" s="3"/>
      <c r="E9342" s="3"/>
      <c r="F9342" s="3"/>
    </row>
    <row r="9343" spans="3:6" x14ac:dyDescent="0.3">
      <c r="C9343" s="3"/>
      <c r="D9343" s="3"/>
      <c r="E9343" s="3"/>
      <c r="F9343" s="3"/>
    </row>
    <row r="9344" spans="3:6" x14ac:dyDescent="0.3">
      <c r="C9344" s="3"/>
      <c r="D9344" s="3"/>
      <c r="E9344" s="3"/>
      <c r="F9344" s="3"/>
    </row>
    <row r="9345" spans="3:6" x14ac:dyDescent="0.3">
      <c r="C9345" s="3"/>
      <c r="D9345" s="3"/>
      <c r="E9345" s="3"/>
      <c r="F9345" s="3"/>
    </row>
    <row r="9346" spans="3:6" x14ac:dyDescent="0.3">
      <c r="C9346" s="3"/>
      <c r="D9346" s="3"/>
      <c r="E9346" s="3"/>
      <c r="F9346" s="3"/>
    </row>
    <row r="9347" spans="3:6" x14ac:dyDescent="0.3">
      <c r="C9347" s="3"/>
      <c r="D9347" s="3"/>
      <c r="E9347" s="3"/>
      <c r="F9347" s="3"/>
    </row>
    <row r="9348" spans="3:6" x14ac:dyDescent="0.3">
      <c r="C9348" s="3"/>
      <c r="D9348" s="3"/>
      <c r="E9348" s="3"/>
      <c r="F9348" s="3"/>
    </row>
    <row r="9349" spans="3:6" x14ac:dyDescent="0.3">
      <c r="C9349" s="3"/>
      <c r="D9349" s="3"/>
      <c r="E9349" s="3"/>
      <c r="F9349" s="3"/>
    </row>
    <row r="9350" spans="3:6" x14ac:dyDescent="0.3">
      <c r="C9350" s="3"/>
      <c r="D9350" s="3"/>
      <c r="E9350" s="3"/>
      <c r="F9350" s="3"/>
    </row>
    <row r="9351" spans="3:6" x14ac:dyDescent="0.3">
      <c r="C9351" s="3"/>
      <c r="D9351" s="3"/>
      <c r="E9351" s="3"/>
      <c r="F9351" s="3"/>
    </row>
    <row r="9352" spans="3:6" x14ac:dyDescent="0.3">
      <c r="C9352" s="3"/>
      <c r="D9352" s="3"/>
      <c r="E9352" s="3"/>
      <c r="F9352" s="3"/>
    </row>
    <row r="9353" spans="3:6" x14ac:dyDescent="0.3">
      <c r="C9353" s="3"/>
      <c r="D9353" s="3"/>
      <c r="E9353" s="3"/>
      <c r="F9353" s="3"/>
    </row>
    <row r="9354" spans="3:6" x14ac:dyDescent="0.3">
      <c r="C9354" s="3"/>
      <c r="D9354" s="3"/>
      <c r="E9354" s="3"/>
      <c r="F9354" s="3"/>
    </row>
    <row r="9355" spans="3:6" x14ac:dyDescent="0.3">
      <c r="C9355" s="3"/>
      <c r="D9355" s="3"/>
      <c r="E9355" s="3"/>
      <c r="F9355" s="3"/>
    </row>
    <row r="9356" spans="3:6" x14ac:dyDescent="0.3">
      <c r="C9356" s="3"/>
      <c r="D9356" s="3"/>
      <c r="E9356" s="3"/>
      <c r="F9356" s="3"/>
    </row>
    <row r="9357" spans="3:6" x14ac:dyDescent="0.3">
      <c r="C9357" s="3"/>
      <c r="D9357" s="3"/>
      <c r="E9357" s="3"/>
      <c r="F9357" s="3"/>
    </row>
    <row r="9358" spans="3:6" x14ac:dyDescent="0.3">
      <c r="C9358" s="3"/>
      <c r="D9358" s="3"/>
      <c r="E9358" s="3"/>
      <c r="F9358" s="3"/>
    </row>
    <row r="9359" spans="3:6" x14ac:dyDescent="0.3">
      <c r="C9359" s="3"/>
      <c r="D9359" s="3"/>
      <c r="E9359" s="3"/>
      <c r="F9359" s="3"/>
    </row>
    <row r="9360" spans="3:6" x14ac:dyDescent="0.3">
      <c r="C9360" s="3"/>
      <c r="D9360" s="3"/>
      <c r="E9360" s="3"/>
      <c r="F9360" s="3"/>
    </row>
    <row r="9361" spans="3:6" x14ac:dyDescent="0.3">
      <c r="C9361" s="3"/>
      <c r="D9361" s="3"/>
      <c r="E9361" s="3"/>
      <c r="F9361" s="3"/>
    </row>
    <row r="9362" spans="3:6" x14ac:dyDescent="0.3">
      <c r="C9362" s="3"/>
      <c r="D9362" s="3"/>
      <c r="E9362" s="3"/>
      <c r="F9362" s="3"/>
    </row>
    <row r="9363" spans="3:6" x14ac:dyDescent="0.3">
      <c r="C9363" s="3"/>
      <c r="D9363" s="3"/>
      <c r="E9363" s="3"/>
      <c r="F9363" s="3"/>
    </row>
    <row r="9364" spans="3:6" x14ac:dyDescent="0.3">
      <c r="C9364" s="3"/>
      <c r="D9364" s="3"/>
      <c r="E9364" s="3"/>
      <c r="F9364" s="3"/>
    </row>
    <row r="9365" spans="3:6" x14ac:dyDescent="0.3">
      <c r="C9365" s="3"/>
      <c r="D9365" s="3"/>
      <c r="E9365" s="3"/>
      <c r="F9365" s="3"/>
    </row>
    <row r="9366" spans="3:6" x14ac:dyDescent="0.3">
      <c r="C9366" s="3"/>
      <c r="D9366" s="3"/>
      <c r="E9366" s="3"/>
      <c r="F9366" s="3"/>
    </row>
    <row r="9367" spans="3:6" x14ac:dyDescent="0.3">
      <c r="C9367" s="3"/>
      <c r="D9367" s="3"/>
      <c r="E9367" s="3"/>
      <c r="F9367" s="3"/>
    </row>
    <row r="9368" spans="3:6" x14ac:dyDescent="0.3">
      <c r="C9368" s="3"/>
      <c r="D9368" s="3"/>
      <c r="E9368" s="3"/>
      <c r="F9368" s="3"/>
    </row>
    <row r="9369" spans="3:6" x14ac:dyDescent="0.3">
      <c r="C9369" s="3"/>
      <c r="D9369" s="3"/>
      <c r="E9369" s="3"/>
      <c r="F9369" s="3"/>
    </row>
    <row r="9370" spans="3:6" x14ac:dyDescent="0.3">
      <c r="C9370" s="3"/>
      <c r="D9370" s="3"/>
      <c r="E9370" s="3"/>
      <c r="F9370" s="3"/>
    </row>
    <row r="9371" spans="3:6" x14ac:dyDescent="0.3">
      <c r="C9371" s="3"/>
      <c r="D9371" s="3"/>
      <c r="E9371" s="3"/>
      <c r="F9371" s="3"/>
    </row>
    <row r="9372" spans="3:6" x14ac:dyDescent="0.3">
      <c r="C9372" s="3"/>
      <c r="D9372" s="3"/>
      <c r="E9372" s="3"/>
      <c r="F9372" s="3"/>
    </row>
    <row r="9373" spans="3:6" x14ac:dyDescent="0.3">
      <c r="C9373" s="3"/>
      <c r="D9373" s="3"/>
      <c r="E9373" s="3"/>
      <c r="F9373" s="3"/>
    </row>
    <row r="9374" spans="3:6" x14ac:dyDescent="0.3">
      <c r="C9374" s="3"/>
      <c r="D9374" s="3"/>
      <c r="E9374" s="3"/>
      <c r="F9374" s="3"/>
    </row>
    <row r="9375" spans="3:6" x14ac:dyDescent="0.3">
      <c r="C9375" s="3"/>
      <c r="D9375" s="3"/>
      <c r="E9375" s="3"/>
      <c r="F9375" s="3"/>
    </row>
    <row r="9376" spans="3:6" x14ac:dyDescent="0.3">
      <c r="C9376" s="3"/>
      <c r="D9376" s="3"/>
      <c r="E9376" s="3"/>
      <c r="F9376" s="3"/>
    </row>
    <row r="9377" spans="3:6" x14ac:dyDescent="0.3">
      <c r="C9377" s="3"/>
      <c r="D9377" s="3"/>
      <c r="E9377" s="3"/>
      <c r="F9377" s="3"/>
    </row>
    <row r="9378" spans="3:6" x14ac:dyDescent="0.3">
      <c r="C9378" s="3"/>
      <c r="D9378" s="3"/>
      <c r="E9378" s="3"/>
      <c r="F9378" s="3"/>
    </row>
    <row r="9379" spans="3:6" x14ac:dyDescent="0.3">
      <c r="C9379" s="3"/>
      <c r="D9379" s="3"/>
      <c r="E9379" s="3"/>
      <c r="F9379" s="3"/>
    </row>
    <row r="9380" spans="3:6" x14ac:dyDescent="0.3">
      <c r="C9380" s="3"/>
      <c r="D9380" s="3"/>
      <c r="E9380" s="3"/>
      <c r="F9380" s="3"/>
    </row>
    <row r="9381" spans="3:6" x14ac:dyDescent="0.3">
      <c r="C9381" s="3"/>
      <c r="D9381" s="3"/>
      <c r="E9381" s="3"/>
      <c r="F9381" s="3"/>
    </row>
    <row r="9382" spans="3:6" x14ac:dyDescent="0.3">
      <c r="C9382" s="3"/>
      <c r="D9382" s="3"/>
      <c r="E9382" s="3"/>
      <c r="F9382" s="3"/>
    </row>
    <row r="9383" spans="3:6" x14ac:dyDescent="0.3">
      <c r="C9383" s="3"/>
      <c r="D9383" s="3"/>
      <c r="E9383" s="3"/>
      <c r="F9383" s="3"/>
    </row>
    <row r="9384" spans="3:6" x14ac:dyDescent="0.3">
      <c r="C9384" s="3"/>
      <c r="D9384" s="3"/>
      <c r="E9384" s="3"/>
      <c r="F9384" s="3"/>
    </row>
    <row r="9385" spans="3:6" x14ac:dyDescent="0.3">
      <c r="C9385" s="3"/>
      <c r="D9385" s="3"/>
      <c r="E9385" s="3"/>
      <c r="F9385" s="3"/>
    </row>
    <row r="9386" spans="3:6" x14ac:dyDescent="0.3">
      <c r="C9386" s="3"/>
      <c r="D9386" s="3"/>
      <c r="E9386" s="3"/>
      <c r="F9386" s="3"/>
    </row>
    <row r="9387" spans="3:6" x14ac:dyDescent="0.3">
      <c r="C9387" s="3"/>
      <c r="D9387" s="3"/>
      <c r="E9387" s="3"/>
      <c r="F9387" s="3"/>
    </row>
    <row r="9388" spans="3:6" x14ac:dyDescent="0.3">
      <c r="C9388" s="3"/>
      <c r="D9388" s="3"/>
      <c r="E9388" s="3"/>
      <c r="F9388" s="3"/>
    </row>
    <row r="9389" spans="3:6" x14ac:dyDescent="0.3">
      <c r="C9389" s="3"/>
      <c r="D9389" s="3"/>
      <c r="E9389" s="3"/>
      <c r="F9389" s="3"/>
    </row>
    <row r="9390" spans="3:6" x14ac:dyDescent="0.3">
      <c r="C9390" s="3"/>
      <c r="D9390" s="3"/>
      <c r="E9390" s="3"/>
      <c r="F9390" s="3"/>
    </row>
    <row r="9391" spans="3:6" x14ac:dyDescent="0.3">
      <c r="C9391" s="3"/>
      <c r="D9391" s="3"/>
      <c r="E9391" s="3"/>
      <c r="F9391" s="3"/>
    </row>
    <row r="9392" spans="3:6" x14ac:dyDescent="0.3">
      <c r="C9392" s="3"/>
      <c r="D9392" s="3"/>
      <c r="E9392" s="3"/>
      <c r="F9392" s="3"/>
    </row>
    <row r="9393" spans="3:6" x14ac:dyDescent="0.3">
      <c r="C9393" s="3"/>
      <c r="D9393" s="3"/>
      <c r="E9393" s="3"/>
      <c r="F9393" s="3"/>
    </row>
    <row r="9394" spans="3:6" x14ac:dyDescent="0.3">
      <c r="C9394" s="3"/>
      <c r="D9394" s="3"/>
      <c r="E9394" s="3"/>
      <c r="F9394" s="3"/>
    </row>
    <row r="9395" spans="3:6" x14ac:dyDescent="0.3">
      <c r="C9395" s="3"/>
      <c r="D9395" s="3"/>
      <c r="E9395" s="3"/>
      <c r="F9395" s="3"/>
    </row>
    <row r="9396" spans="3:6" x14ac:dyDescent="0.3">
      <c r="C9396" s="3"/>
      <c r="D9396" s="3"/>
      <c r="E9396" s="3"/>
      <c r="F9396" s="3"/>
    </row>
    <row r="9397" spans="3:6" x14ac:dyDescent="0.3">
      <c r="C9397" s="3"/>
      <c r="D9397" s="3"/>
      <c r="E9397" s="3"/>
      <c r="F9397" s="3"/>
    </row>
    <row r="9398" spans="3:6" x14ac:dyDescent="0.3">
      <c r="C9398" s="3"/>
      <c r="D9398" s="3"/>
      <c r="E9398" s="3"/>
      <c r="F9398" s="3"/>
    </row>
    <row r="9399" spans="3:6" x14ac:dyDescent="0.3">
      <c r="C9399" s="3"/>
      <c r="D9399" s="3"/>
      <c r="E9399" s="3"/>
      <c r="F9399" s="3"/>
    </row>
    <row r="9400" spans="3:6" x14ac:dyDescent="0.3">
      <c r="C9400" s="3"/>
      <c r="D9400" s="3"/>
      <c r="E9400" s="3"/>
      <c r="F9400" s="3"/>
    </row>
    <row r="9401" spans="3:6" x14ac:dyDescent="0.3">
      <c r="C9401" s="3"/>
      <c r="D9401" s="3"/>
      <c r="E9401" s="3"/>
      <c r="F9401" s="3"/>
    </row>
    <row r="9402" spans="3:6" x14ac:dyDescent="0.3">
      <c r="C9402" s="3"/>
      <c r="D9402" s="3"/>
      <c r="E9402" s="3"/>
      <c r="F9402" s="3"/>
    </row>
    <row r="9403" spans="3:6" x14ac:dyDescent="0.3">
      <c r="C9403" s="3"/>
      <c r="D9403" s="3"/>
      <c r="E9403" s="3"/>
      <c r="F9403" s="3"/>
    </row>
    <row r="9404" spans="3:6" x14ac:dyDescent="0.3">
      <c r="C9404" s="3"/>
      <c r="D9404" s="3"/>
      <c r="E9404" s="3"/>
      <c r="F9404" s="3"/>
    </row>
    <row r="9405" spans="3:6" x14ac:dyDescent="0.3">
      <c r="C9405" s="3"/>
      <c r="D9405" s="3"/>
      <c r="E9405" s="3"/>
      <c r="F9405" s="3"/>
    </row>
    <row r="9406" spans="3:6" x14ac:dyDescent="0.3">
      <c r="C9406" s="3"/>
      <c r="D9406" s="3"/>
      <c r="E9406" s="3"/>
      <c r="F9406" s="3"/>
    </row>
    <row r="9407" spans="3:6" x14ac:dyDescent="0.3">
      <c r="C9407" s="3"/>
      <c r="D9407" s="3"/>
      <c r="E9407" s="3"/>
      <c r="F9407" s="3"/>
    </row>
    <row r="9408" spans="3:6" x14ac:dyDescent="0.3">
      <c r="C9408" s="3"/>
      <c r="D9408" s="3"/>
      <c r="E9408" s="3"/>
      <c r="F9408" s="3"/>
    </row>
    <row r="9409" spans="3:6" x14ac:dyDescent="0.3">
      <c r="C9409" s="3"/>
      <c r="D9409" s="3"/>
      <c r="E9409" s="3"/>
      <c r="F9409" s="3"/>
    </row>
    <row r="9410" spans="3:6" x14ac:dyDescent="0.3">
      <c r="C9410" s="3"/>
      <c r="D9410" s="3"/>
      <c r="E9410" s="3"/>
      <c r="F9410" s="3"/>
    </row>
    <row r="9411" spans="3:6" x14ac:dyDescent="0.3">
      <c r="C9411" s="3"/>
      <c r="D9411" s="3"/>
      <c r="E9411" s="3"/>
      <c r="F9411" s="3"/>
    </row>
    <row r="9412" spans="3:6" x14ac:dyDescent="0.3">
      <c r="C9412" s="3"/>
      <c r="D9412" s="3"/>
      <c r="E9412" s="3"/>
      <c r="F9412" s="3"/>
    </row>
    <row r="9413" spans="3:6" x14ac:dyDescent="0.3">
      <c r="C9413" s="3"/>
      <c r="D9413" s="3"/>
      <c r="E9413" s="3"/>
      <c r="F9413" s="3"/>
    </row>
    <row r="9414" spans="3:6" x14ac:dyDescent="0.3">
      <c r="C9414" s="3"/>
      <c r="D9414" s="3"/>
      <c r="E9414" s="3"/>
      <c r="F9414" s="3"/>
    </row>
    <row r="9415" spans="3:6" x14ac:dyDescent="0.3">
      <c r="C9415" s="3"/>
      <c r="D9415" s="3"/>
      <c r="E9415" s="3"/>
      <c r="F9415" s="3"/>
    </row>
    <row r="9416" spans="3:6" x14ac:dyDescent="0.3">
      <c r="C9416" s="3"/>
      <c r="D9416" s="3"/>
      <c r="E9416" s="3"/>
      <c r="F9416" s="3"/>
    </row>
    <row r="9417" spans="3:6" x14ac:dyDescent="0.3">
      <c r="C9417" s="3"/>
      <c r="D9417" s="3"/>
      <c r="E9417" s="3"/>
      <c r="F9417" s="3"/>
    </row>
    <row r="9418" spans="3:6" x14ac:dyDescent="0.3">
      <c r="C9418" s="3"/>
      <c r="D9418" s="3"/>
      <c r="E9418" s="3"/>
      <c r="F9418" s="3"/>
    </row>
    <row r="9419" spans="3:6" x14ac:dyDescent="0.3">
      <c r="C9419" s="3"/>
      <c r="D9419" s="3"/>
      <c r="E9419" s="3"/>
      <c r="F9419" s="3"/>
    </row>
    <row r="9420" spans="3:6" x14ac:dyDescent="0.3">
      <c r="C9420" s="3"/>
      <c r="D9420" s="3"/>
      <c r="E9420" s="3"/>
      <c r="F9420" s="3"/>
    </row>
    <row r="9421" spans="3:6" x14ac:dyDescent="0.3">
      <c r="C9421" s="3"/>
      <c r="D9421" s="3"/>
      <c r="E9421" s="3"/>
      <c r="F9421" s="3"/>
    </row>
    <row r="9422" spans="3:6" x14ac:dyDescent="0.3">
      <c r="C9422" s="3"/>
      <c r="D9422" s="3"/>
      <c r="E9422" s="3"/>
      <c r="F9422" s="3"/>
    </row>
    <row r="9423" spans="3:6" x14ac:dyDescent="0.3">
      <c r="C9423" s="3"/>
      <c r="D9423" s="3"/>
      <c r="E9423" s="3"/>
      <c r="F9423" s="3"/>
    </row>
    <row r="9424" spans="3:6" x14ac:dyDescent="0.3">
      <c r="C9424" s="3"/>
      <c r="D9424" s="3"/>
      <c r="E9424" s="3"/>
      <c r="F9424" s="3"/>
    </row>
    <row r="9425" spans="3:6" x14ac:dyDescent="0.3">
      <c r="C9425" s="3"/>
      <c r="D9425" s="3"/>
      <c r="E9425" s="3"/>
      <c r="F9425" s="3"/>
    </row>
    <row r="9426" spans="3:6" x14ac:dyDescent="0.3">
      <c r="C9426" s="3"/>
      <c r="D9426" s="3"/>
      <c r="E9426" s="3"/>
      <c r="F9426" s="3"/>
    </row>
    <row r="9427" spans="3:6" x14ac:dyDescent="0.3">
      <c r="C9427" s="3"/>
      <c r="D9427" s="3"/>
      <c r="E9427" s="3"/>
      <c r="F9427" s="3"/>
    </row>
    <row r="9428" spans="3:6" x14ac:dyDescent="0.3">
      <c r="C9428" s="3"/>
      <c r="D9428" s="3"/>
      <c r="E9428" s="3"/>
      <c r="F9428" s="3"/>
    </row>
    <row r="9429" spans="3:6" x14ac:dyDescent="0.3">
      <c r="C9429" s="3"/>
      <c r="D9429" s="3"/>
      <c r="E9429" s="3"/>
      <c r="F9429" s="3"/>
    </row>
    <row r="9430" spans="3:6" x14ac:dyDescent="0.3">
      <c r="C9430" s="3"/>
      <c r="D9430" s="3"/>
      <c r="E9430" s="3"/>
      <c r="F9430" s="3"/>
    </row>
    <row r="9431" spans="3:6" x14ac:dyDescent="0.3">
      <c r="C9431" s="3"/>
      <c r="D9431" s="3"/>
      <c r="E9431" s="3"/>
      <c r="F9431" s="3"/>
    </row>
    <row r="9432" spans="3:6" x14ac:dyDescent="0.3">
      <c r="C9432" s="3"/>
      <c r="D9432" s="3"/>
      <c r="E9432" s="3"/>
      <c r="F9432" s="3"/>
    </row>
    <row r="9433" spans="3:6" x14ac:dyDescent="0.3">
      <c r="C9433" s="3"/>
      <c r="D9433" s="3"/>
      <c r="E9433" s="3"/>
      <c r="F9433" s="3"/>
    </row>
    <row r="9434" spans="3:6" x14ac:dyDescent="0.3">
      <c r="C9434" s="3"/>
      <c r="D9434" s="3"/>
      <c r="E9434" s="3"/>
      <c r="F9434" s="3"/>
    </row>
    <row r="9435" spans="3:6" x14ac:dyDescent="0.3">
      <c r="C9435" s="3"/>
      <c r="D9435" s="3"/>
      <c r="E9435" s="3"/>
      <c r="F9435" s="3"/>
    </row>
    <row r="9436" spans="3:6" x14ac:dyDescent="0.3">
      <c r="C9436" s="3"/>
      <c r="D9436" s="3"/>
      <c r="E9436" s="3"/>
      <c r="F9436" s="3"/>
    </row>
    <row r="9437" spans="3:6" x14ac:dyDescent="0.3">
      <c r="C9437" s="3"/>
      <c r="D9437" s="3"/>
      <c r="E9437" s="3"/>
      <c r="F9437" s="3"/>
    </row>
    <row r="9438" spans="3:6" x14ac:dyDescent="0.3">
      <c r="C9438" s="3"/>
      <c r="D9438" s="3"/>
      <c r="E9438" s="3"/>
      <c r="F9438" s="3"/>
    </row>
    <row r="9439" spans="3:6" x14ac:dyDescent="0.3">
      <c r="C9439" s="3"/>
      <c r="D9439" s="3"/>
      <c r="E9439" s="3"/>
      <c r="F9439" s="3"/>
    </row>
    <row r="9440" spans="3:6" x14ac:dyDescent="0.3">
      <c r="C9440" s="3"/>
      <c r="D9440" s="3"/>
      <c r="E9440" s="3"/>
      <c r="F9440" s="3"/>
    </row>
    <row r="9441" spans="3:6" x14ac:dyDescent="0.3">
      <c r="C9441" s="3"/>
      <c r="D9441" s="3"/>
      <c r="E9441" s="3"/>
      <c r="F9441" s="3"/>
    </row>
    <row r="9442" spans="3:6" x14ac:dyDescent="0.3">
      <c r="C9442" s="3"/>
      <c r="D9442" s="3"/>
      <c r="E9442" s="3"/>
      <c r="F9442" s="3"/>
    </row>
    <row r="9443" spans="3:6" x14ac:dyDescent="0.3">
      <c r="C9443" s="3"/>
      <c r="D9443" s="3"/>
      <c r="E9443" s="3"/>
      <c r="F9443" s="3"/>
    </row>
    <row r="9444" spans="3:6" x14ac:dyDescent="0.3">
      <c r="C9444" s="3"/>
      <c r="D9444" s="3"/>
      <c r="E9444" s="3"/>
      <c r="F9444" s="3"/>
    </row>
    <row r="9445" spans="3:6" x14ac:dyDescent="0.3">
      <c r="C9445" s="3"/>
      <c r="D9445" s="3"/>
      <c r="E9445" s="3"/>
      <c r="F9445" s="3"/>
    </row>
    <row r="9446" spans="3:6" x14ac:dyDescent="0.3">
      <c r="C9446" s="3"/>
      <c r="D9446" s="3"/>
      <c r="E9446" s="3"/>
      <c r="F9446" s="3"/>
    </row>
    <row r="9447" spans="3:6" x14ac:dyDescent="0.3">
      <c r="C9447" s="3"/>
      <c r="D9447" s="3"/>
      <c r="E9447" s="3"/>
      <c r="F9447" s="3"/>
    </row>
    <row r="9448" spans="3:6" x14ac:dyDescent="0.3">
      <c r="C9448" s="3"/>
      <c r="D9448" s="3"/>
      <c r="E9448" s="3"/>
      <c r="F9448" s="3"/>
    </row>
    <row r="9449" spans="3:6" x14ac:dyDescent="0.3">
      <c r="C9449" s="3"/>
      <c r="D9449" s="3"/>
      <c r="E9449" s="3"/>
      <c r="F9449" s="3"/>
    </row>
    <row r="9450" spans="3:6" x14ac:dyDescent="0.3">
      <c r="C9450" s="3"/>
      <c r="D9450" s="3"/>
      <c r="E9450" s="3"/>
      <c r="F9450" s="3"/>
    </row>
    <row r="9451" spans="3:6" x14ac:dyDescent="0.3">
      <c r="C9451" s="3"/>
      <c r="D9451" s="3"/>
      <c r="E9451" s="3"/>
      <c r="F9451" s="3"/>
    </row>
    <row r="9452" spans="3:6" x14ac:dyDescent="0.3">
      <c r="C9452" s="3"/>
      <c r="D9452" s="3"/>
      <c r="E9452" s="3"/>
      <c r="F9452" s="3"/>
    </row>
    <row r="9453" spans="3:6" x14ac:dyDescent="0.3">
      <c r="C9453" s="3"/>
      <c r="D9453" s="3"/>
      <c r="E9453" s="3"/>
      <c r="F9453" s="3"/>
    </row>
    <row r="9454" spans="3:6" x14ac:dyDescent="0.3">
      <c r="C9454" s="3"/>
      <c r="D9454" s="3"/>
      <c r="E9454" s="3"/>
      <c r="F9454" s="3"/>
    </row>
    <row r="9455" spans="3:6" x14ac:dyDescent="0.3">
      <c r="C9455" s="3"/>
      <c r="D9455" s="3"/>
      <c r="E9455" s="3"/>
      <c r="F9455" s="3"/>
    </row>
    <row r="9456" spans="3:6" x14ac:dyDescent="0.3">
      <c r="C9456" s="3"/>
      <c r="D9456" s="3"/>
      <c r="E9456" s="3"/>
      <c r="F9456" s="3"/>
    </row>
    <row r="9457" spans="3:6" x14ac:dyDescent="0.3">
      <c r="C9457" s="3"/>
      <c r="D9457" s="3"/>
      <c r="E9457" s="3"/>
      <c r="F9457" s="3"/>
    </row>
    <row r="9458" spans="3:6" x14ac:dyDescent="0.3">
      <c r="C9458" s="3"/>
      <c r="D9458" s="3"/>
      <c r="E9458" s="3"/>
      <c r="F9458" s="3"/>
    </row>
    <row r="9459" spans="3:6" x14ac:dyDescent="0.3">
      <c r="C9459" s="3"/>
      <c r="D9459" s="3"/>
      <c r="E9459" s="3"/>
      <c r="F9459" s="3"/>
    </row>
    <row r="9460" spans="3:6" x14ac:dyDescent="0.3">
      <c r="C9460" s="3"/>
      <c r="D9460" s="3"/>
      <c r="E9460" s="3"/>
      <c r="F9460" s="3"/>
    </row>
    <row r="9461" spans="3:6" x14ac:dyDescent="0.3">
      <c r="C9461" s="3"/>
      <c r="D9461" s="3"/>
      <c r="E9461" s="3"/>
      <c r="F9461" s="3"/>
    </row>
    <row r="9462" spans="3:6" x14ac:dyDescent="0.3">
      <c r="C9462" s="3"/>
      <c r="D9462" s="3"/>
      <c r="E9462" s="3"/>
      <c r="F9462" s="3"/>
    </row>
    <row r="9463" spans="3:6" x14ac:dyDescent="0.3">
      <c r="C9463" s="3"/>
      <c r="D9463" s="3"/>
      <c r="E9463" s="3"/>
      <c r="F9463" s="3"/>
    </row>
    <row r="9464" spans="3:6" x14ac:dyDescent="0.3">
      <c r="C9464" s="3"/>
      <c r="D9464" s="3"/>
      <c r="E9464" s="3"/>
      <c r="F9464" s="3"/>
    </row>
    <row r="9465" spans="3:6" x14ac:dyDescent="0.3">
      <c r="C9465" s="3"/>
      <c r="D9465" s="3"/>
      <c r="E9465" s="3"/>
      <c r="F9465" s="3"/>
    </row>
    <row r="9466" spans="3:6" x14ac:dyDescent="0.3">
      <c r="C9466" s="3"/>
      <c r="D9466" s="3"/>
      <c r="E9466" s="3"/>
      <c r="F9466" s="3"/>
    </row>
    <row r="9467" spans="3:6" x14ac:dyDescent="0.3">
      <c r="C9467" s="3"/>
      <c r="D9467" s="3"/>
      <c r="E9467" s="3"/>
      <c r="F9467" s="3"/>
    </row>
    <row r="9468" spans="3:6" x14ac:dyDescent="0.3">
      <c r="C9468" s="3"/>
      <c r="D9468" s="3"/>
      <c r="E9468" s="3"/>
      <c r="F9468" s="3"/>
    </row>
    <row r="9469" spans="3:6" x14ac:dyDescent="0.3">
      <c r="C9469" s="3"/>
      <c r="D9469" s="3"/>
      <c r="E9469" s="3"/>
      <c r="F9469" s="3"/>
    </row>
    <row r="9470" spans="3:6" x14ac:dyDescent="0.3">
      <c r="C9470" s="3"/>
      <c r="D9470" s="3"/>
      <c r="E9470" s="3"/>
      <c r="F9470" s="3"/>
    </row>
    <row r="9471" spans="3:6" x14ac:dyDescent="0.3">
      <c r="C9471" s="3"/>
      <c r="D9471" s="3"/>
      <c r="E9471" s="3"/>
      <c r="F9471" s="3"/>
    </row>
    <row r="9472" spans="3:6" x14ac:dyDescent="0.3">
      <c r="C9472" s="3"/>
      <c r="D9472" s="3"/>
      <c r="E9472" s="3"/>
      <c r="F9472" s="3"/>
    </row>
    <row r="9473" spans="3:6" x14ac:dyDescent="0.3">
      <c r="C9473" s="3"/>
      <c r="D9473" s="3"/>
      <c r="E9473" s="3"/>
      <c r="F9473" s="3"/>
    </row>
    <row r="9474" spans="3:6" x14ac:dyDescent="0.3">
      <c r="C9474" s="3"/>
      <c r="D9474" s="3"/>
      <c r="E9474" s="3"/>
      <c r="F9474" s="3"/>
    </row>
    <row r="9475" spans="3:6" x14ac:dyDescent="0.3">
      <c r="C9475" s="3"/>
      <c r="D9475" s="3"/>
      <c r="E9475" s="3"/>
      <c r="F9475" s="3"/>
    </row>
    <row r="9476" spans="3:6" x14ac:dyDescent="0.3">
      <c r="C9476" s="3"/>
      <c r="D9476" s="3"/>
      <c r="E9476" s="3"/>
      <c r="F9476" s="3"/>
    </row>
    <row r="9477" spans="3:6" x14ac:dyDescent="0.3">
      <c r="C9477" s="3"/>
      <c r="D9477" s="3"/>
      <c r="E9477" s="3"/>
      <c r="F9477" s="3"/>
    </row>
    <row r="9478" spans="3:6" x14ac:dyDescent="0.3">
      <c r="C9478" s="3"/>
      <c r="D9478" s="3"/>
      <c r="E9478" s="3"/>
      <c r="F9478" s="3"/>
    </row>
    <row r="9479" spans="3:6" x14ac:dyDescent="0.3">
      <c r="C9479" s="3"/>
      <c r="D9479" s="3"/>
      <c r="E9479" s="3"/>
      <c r="F9479" s="3"/>
    </row>
    <row r="9480" spans="3:6" x14ac:dyDescent="0.3">
      <c r="C9480" s="3"/>
      <c r="D9480" s="3"/>
      <c r="E9480" s="3"/>
      <c r="F9480" s="3"/>
    </row>
    <row r="9481" spans="3:6" x14ac:dyDescent="0.3">
      <c r="C9481" s="3"/>
      <c r="D9481" s="3"/>
      <c r="E9481" s="3"/>
      <c r="F9481" s="3"/>
    </row>
    <row r="9482" spans="3:6" x14ac:dyDescent="0.3">
      <c r="C9482" s="3"/>
      <c r="D9482" s="3"/>
      <c r="E9482" s="3"/>
      <c r="F9482" s="3"/>
    </row>
    <row r="9483" spans="3:6" x14ac:dyDescent="0.3">
      <c r="C9483" s="3"/>
      <c r="D9483" s="3"/>
      <c r="E9483" s="3"/>
      <c r="F9483" s="3"/>
    </row>
    <row r="9484" spans="3:6" x14ac:dyDescent="0.3">
      <c r="C9484" s="3"/>
      <c r="D9484" s="3"/>
      <c r="E9484" s="3"/>
      <c r="F9484" s="3"/>
    </row>
    <row r="9485" spans="3:6" x14ac:dyDescent="0.3">
      <c r="C9485" s="3"/>
      <c r="D9485" s="3"/>
      <c r="E9485" s="3"/>
      <c r="F9485" s="3"/>
    </row>
    <row r="9486" spans="3:6" x14ac:dyDescent="0.3">
      <c r="C9486" s="3"/>
      <c r="D9486" s="3"/>
      <c r="E9486" s="3"/>
      <c r="F9486" s="3"/>
    </row>
    <row r="9487" spans="3:6" x14ac:dyDescent="0.3">
      <c r="C9487" s="3"/>
      <c r="D9487" s="3"/>
      <c r="E9487" s="3"/>
      <c r="F9487" s="3"/>
    </row>
    <row r="9488" spans="3:6" x14ac:dyDescent="0.3">
      <c r="C9488" s="3"/>
      <c r="D9488" s="3"/>
      <c r="E9488" s="3"/>
      <c r="F9488" s="3"/>
    </row>
    <row r="9489" spans="3:6" x14ac:dyDescent="0.3">
      <c r="C9489" s="3"/>
      <c r="D9489" s="3"/>
      <c r="E9489" s="3"/>
      <c r="F9489" s="3"/>
    </row>
    <row r="9490" spans="3:6" x14ac:dyDescent="0.3">
      <c r="C9490" s="3"/>
      <c r="D9490" s="3"/>
      <c r="E9490" s="3"/>
      <c r="F9490" s="3"/>
    </row>
    <row r="9491" spans="3:6" x14ac:dyDescent="0.3">
      <c r="C9491" s="3"/>
      <c r="D9491" s="3"/>
      <c r="E9491" s="3"/>
      <c r="F9491" s="3"/>
    </row>
    <row r="9492" spans="3:6" x14ac:dyDescent="0.3">
      <c r="C9492" s="3"/>
      <c r="D9492" s="3"/>
      <c r="E9492" s="3"/>
      <c r="F9492" s="3"/>
    </row>
    <row r="9493" spans="3:6" x14ac:dyDescent="0.3">
      <c r="C9493" s="3"/>
      <c r="D9493" s="3"/>
      <c r="E9493" s="3"/>
      <c r="F9493" s="3"/>
    </row>
    <row r="9494" spans="3:6" x14ac:dyDescent="0.3">
      <c r="C9494" s="3"/>
      <c r="D9494" s="3"/>
      <c r="E9494" s="3"/>
      <c r="F9494" s="3"/>
    </row>
    <row r="9495" spans="3:6" x14ac:dyDescent="0.3">
      <c r="C9495" s="3"/>
      <c r="D9495" s="3"/>
      <c r="E9495" s="3"/>
      <c r="F9495" s="3"/>
    </row>
    <row r="9496" spans="3:6" x14ac:dyDescent="0.3">
      <c r="C9496" s="3"/>
      <c r="D9496" s="3"/>
      <c r="E9496" s="3"/>
      <c r="F9496" s="3"/>
    </row>
    <row r="9497" spans="3:6" x14ac:dyDescent="0.3">
      <c r="C9497" s="3"/>
      <c r="D9497" s="3"/>
      <c r="E9497" s="3"/>
      <c r="F9497" s="3"/>
    </row>
    <row r="9498" spans="3:6" x14ac:dyDescent="0.3">
      <c r="C9498" s="3"/>
      <c r="D9498" s="3"/>
      <c r="E9498" s="3"/>
      <c r="F9498" s="3"/>
    </row>
    <row r="9499" spans="3:6" x14ac:dyDescent="0.3">
      <c r="C9499" s="3"/>
      <c r="D9499" s="3"/>
      <c r="E9499" s="3"/>
      <c r="F9499" s="3"/>
    </row>
    <row r="9500" spans="3:6" x14ac:dyDescent="0.3">
      <c r="C9500" s="3"/>
      <c r="D9500" s="3"/>
      <c r="E9500" s="3"/>
      <c r="F9500" s="3"/>
    </row>
    <row r="9501" spans="3:6" x14ac:dyDescent="0.3">
      <c r="C9501" s="3"/>
      <c r="D9501" s="3"/>
      <c r="E9501" s="3"/>
      <c r="F9501" s="3"/>
    </row>
    <row r="9502" spans="3:6" x14ac:dyDescent="0.3">
      <c r="C9502" s="3"/>
      <c r="D9502" s="3"/>
      <c r="E9502" s="3"/>
      <c r="F9502" s="3"/>
    </row>
    <row r="9503" spans="3:6" x14ac:dyDescent="0.3">
      <c r="C9503" s="3"/>
      <c r="D9503" s="3"/>
      <c r="E9503" s="3"/>
      <c r="F9503" s="3"/>
    </row>
    <row r="9504" spans="3:6" x14ac:dyDescent="0.3">
      <c r="C9504" s="3"/>
      <c r="D9504" s="3"/>
      <c r="E9504" s="3"/>
      <c r="F9504" s="3"/>
    </row>
    <row r="9505" spans="3:6" x14ac:dyDescent="0.3">
      <c r="C9505" s="3"/>
      <c r="D9505" s="3"/>
      <c r="E9505" s="3"/>
      <c r="F9505" s="3"/>
    </row>
    <row r="9506" spans="3:6" x14ac:dyDescent="0.3">
      <c r="C9506" s="3"/>
      <c r="D9506" s="3"/>
      <c r="E9506" s="3"/>
      <c r="F9506" s="3"/>
    </row>
    <row r="9507" spans="3:6" x14ac:dyDescent="0.3">
      <c r="C9507" s="3"/>
      <c r="D9507" s="3"/>
      <c r="E9507" s="3"/>
      <c r="F9507" s="3"/>
    </row>
    <row r="9508" spans="3:6" x14ac:dyDescent="0.3">
      <c r="C9508" s="3"/>
      <c r="D9508" s="3"/>
      <c r="E9508" s="3"/>
      <c r="F9508" s="3"/>
    </row>
    <row r="9509" spans="3:6" x14ac:dyDescent="0.3">
      <c r="C9509" s="3"/>
      <c r="D9509" s="3"/>
      <c r="E9509" s="3"/>
      <c r="F9509" s="3"/>
    </row>
    <row r="9510" spans="3:6" x14ac:dyDescent="0.3">
      <c r="C9510" s="3"/>
      <c r="D9510" s="3"/>
      <c r="E9510" s="3"/>
      <c r="F9510" s="3"/>
    </row>
    <row r="9511" spans="3:6" x14ac:dyDescent="0.3">
      <c r="C9511" s="3"/>
      <c r="D9511" s="3"/>
      <c r="E9511" s="3"/>
      <c r="F9511" s="3"/>
    </row>
    <row r="9512" spans="3:6" x14ac:dyDescent="0.3">
      <c r="C9512" s="3"/>
      <c r="D9512" s="3"/>
      <c r="E9512" s="3"/>
      <c r="F9512" s="3"/>
    </row>
    <row r="9513" spans="3:6" x14ac:dyDescent="0.3">
      <c r="C9513" s="3"/>
      <c r="D9513" s="3"/>
      <c r="E9513" s="3"/>
      <c r="F9513" s="3"/>
    </row>
    <row r="9514" spans="3:6" x14ac:dyDescent="0.3">
      <c r="C9514" s="3"/>
      <c r="D9514" s="3"/>
      <c r="E9514" s="3"/>
      <c r="F9514" s="3"/>
    </row>
    <row r="9515" spans="3:6" x14ac:dyDescent="0.3">
      <c r="C9515" s="3"/>
      <c r="D9515" s="3"/>
      <c r="E9515" s="3"/>
      <c r="F9515" s="3"/>
    </row>
    <row r="9516" spans="3:6" x14ac:dyDescent="0.3">
      <c r="C9516" s="3"/>
      <c r="D9516" s="3"/>
      <c r="E9516" s="3"/>
      <c r="F9516" s="3"/>
    </row>
    <row r="9517" spans="3:6" x14ac:dyDescent="0.3">
      <c r="C9517" s="3"/>
      <c r="D9517" s="3"/>
      <c r="E9517" s="3"/>
      <c r="F9517" s="3"/>
    </row>
    <row r="9518" spans="3:6" x14ac:dyDescent="0.3">
      <c r="C9518" s="3"/>
      <c r="D9518" s="3"/>
      <c r="E9518" s="3"/>
      <c r="F9518" s="3"/>
    </row>
    <row r="9519" spans="3:6" x14ac:dyDescent="0.3">
      <c r="C9519" s="3"/>
      <c r="D9519" s="3"/>
      <c r="E9519" s="3"/>
      <c r="F9519" s="3"/>
    </row>
    <row r="9520" spans="3:6" x14ac:dyDescent="0.3">
      <c r="C9520" s="3"/>
      <c r="D9520" s="3"/>
      <c r="E9520" s="3"/>
      <c r="F9520" s="3"/>
    </row>
    <row r="9521" spans="3:6" x14ac:dyDescent="0.3">
      <c r="C9521" s="3"/>
      <c r="D9521" s="3"/>
      <c r="E9521" s="3"/>
      <c r="F9521" s="3"/>
    </row>
    <row r="9522" spans="3:6" x14ac:dyDescent="0.3">
      <c r="C9522" s="3"/>
      <c r="D9522" s="3"/>
      <c r="E9522" s="3"/>
      <c r="F9522" s="3"/>
    </row>
    <row r="9523" spans="3:6" x14ac:dyDescent="0.3">
      <c r="C9523" s="3"/>
      <c r="D9523" s="3"/>
      <c r="E9523" s="3"/>
      <c r="F9523" s="3"/>
    </row>
    <row r="9524" spans="3:6" x14ac:dyDescent="0.3">
      <c r="C9524" s="3"/>
      <c r="D9524" s="3"/>
      <c r="E9524" s="3"/>
      <c r="F9524" s="3"/>
    </row>
    <row r="9525" spans="3:6" x14ac:dyDescent="0.3">
      <c r="C9525" s="3"/>
      <c r="D9525" s="3"/>
      <c r="E9525" s="3"/>
      <c r="F9525" s="3"/>
    </row>
    <row r="9526" spans="3:6" x14ac:dyDescent="0.3">
      <c r="C9526" s="3"/>
      <c r="D9526" s="3"/>
      <c r="E9526" s="3"/>
      <c r="F9526" s="3"/>
    </row>
    <row r="9527" spans="3:6" x14ac:dyDescent="0.3">
      <c r="C9527" s="3"/>
      <c r="D9527" s="3"/>
      <c r="E9527" s="3"/>
      <c r="F9527" s="3"/>
    </row>
    <row r="9528" spans="3:6" x14ac:dyDescent="0.3">
      <c r="C9528" s="3"/>
      <c r="D9528" s="3"/>
      <c r="E9528" s="3"/>
      <c r="F9528" s="3"/>
    </row>
    <row r="9529" spans="3:6" x14ac:dyDescent="0.3">
      <c r="C9529" s="3"/>
      <c r="D9529" s="3"/>
      <c r="E9529" s="3"/>
      <c r="F9529" s="3"/>
    </row>
    <row r="9530" spans="3:6" x14ac:dyDescent="0.3">
      <c r="C9530" s="3"/>
      <c r="D9530" s="3"/>
      <c r="E9530" s="3"/>
      <c r="F9530" s="3"/>
    </row>
    <row r="9531" spans="3:6" x14ac:dyDescent="0.3">
      <c r="C9531" s="3"/>
      <c r="D9531" s="3"/>
      <c r="E9531" s="3"/>
      <c r="F9531" s="3"/>
    </row>
    <row r="9532" spans="3:6" x14ac:dyDescent="0.3">
      <c r="C9532" s="3"/>
      <c r="D9532" s="3"/>
      <c r="E9532" s="3"/>
      <c r="F9532" s="3"/>
    </row>
    <row r="9533" spans="3:6" x14ac:dyDescent="0.3">
      <c r="C9533" s="3"/>
      <c r="D9533" s="3"/>
      <c r="E9533" s="3"/>
      <c r="F9533" s="3"/>
    </row>
    <row r="9534" spans="3:6" x14ac:dyDescent="0.3">
      <c r="C9534" s="3"/>
      <c r="D9534" s="3"/>
      <c r="E9534" s="3"/>
      <c r="F9534" s="3"/>
    </row>
    <row r="9535" spans="3:6" x14ac:dyDescent="0.3">
      <c r="C9535" s="3"/>
      <c r="D9535" s="3"/>
      <c r="E9535" s="3"/>
      <c r="F9535" s="3"/>
    </row>
    <row r="9536" spans="3:6" x14ac:dyDescent="0.3">
      <c r="C9536" s="3"/>
      <c r="D9536" s="3"/>
      <c r="E9536" s="3"/>
      <c r="F9536" s="3"/>
    </row>
    <row r="9537" spans="3:6" x14ac:dyDescent="0.3">
      <c r="C9537" s="3"/>
      <c r="D9537" s="3"/>
      <c r="E9537" s="3"/>
      <c r="F9537" s="3"/>
    </row>
    <row r="9538" spans="3:6" x14ac:dyDescent="0.3">
      <c r="C9538" s="3"/>
      <c r="D9538" s="3"/>
      <c r="E9538" s="3"/>
      <c r="F9538" s="3"/>
    </row>
    <row r="9539" spans="3:6" x14ac:dyDescent="0.3">
      <c r="C9539" s="3"/>
      <c r="D9539" s="3"/>
      <c r="E9539" s="3"/>
      <c r="F9539" s="3"/>
    </row>
    <row r="9540" spans="3:6" x14ac:dyDescent="0.3">
      <c r="C9540" s="3"/>
      <c r="D9540" s="3"/>
      <c r="E9540" s="3"/>
      <c r="F9540" s="3"/>
    </row>
    <row r="9541" spans="3:6" x14ac:dyDescent="0.3">
      <c r="C9541" s="3"/>
      <c r="D9541" s="3"/>
      <c r="E9541" s="3"/>
      <c r="F9541" s="3"/>
    </row>
    <row r="9542" spans="3:6" x14ac:dyDescent="0.3">
      <c r="C9542" s="3"/>
      <c r="D9542" s="3"/>
      <c r="E9542" s="3"/>
      <c r="F9542" s="3"/>
    </row>
    <row r="9543" spans="3:6" x14ac:dyDescent="0.3">
      <c r="C9543" s="3"/>
      <c r="D9543" s="3"/>
      <c r="E9543" s="3"/>
      <c r="F9543" s="3"/>
    </row>
    <row r="9544" spans="3:6" x14ac:dyDescent="0.3">
      <c r="C9544" s="3"/>
      <c r="D9544" s="3"/>
      <c r="E9544" s="3"/>
      <c r="F9544" s="3"/>
    </row>
    <row r="9545" spans="3:6" x14ac:dyDescent="0.3">
      <c r="C9545" s="3"/>
      <c r="D9545" s="3"/>
      <c r="E9545" s="3"/>
      <c r="F9545" s="3"/>
    </row>
    <row r="9546" spans="3:6" x14ac:dyDescent="0.3">
      <c r="C9546" s="3"/>
      <c r="D9546" s="3"/>
      <c r="E9546" s="3"/>
      <c r="F9546" s="3"/>
    </row>
    <row r="9547" spans="3:6" x14ac:dyDescent="0.3">
      <c r="C9547" s="3"/>
      <c r="D9547" s="3"/>
      <c r="E9547" s="3"/>
      <c r="F9547" s="3"/>
    </row>
    <row r="9548" spans="3:6" x14ac:dyDescent="0.3">
      <c r="C9548" s="3"/>
      <c r="D9548" s="3"/>
      <c r="E9548" s="3"/>
      <c r="F9548" s="3"/>
    </row>
    <row r="9549" spans="3:6" x14ac:dyDescent="0.3">
      <c r="C9549" s="3"/>
      <c r="D9549" s="3"/>
      <c r="E9549" s="3"/>
      <c r="F9549" s="3"/>
    </row>
    <row r="9550" spans="3:6" x14ac:dyDescent="0.3">
      <c r="C9550" s="3"/>
      <c r="D9550" s="3"/>
      <c r="E9550" s="3"/>
      <c r="F9550" s="3"/>
    </row>
    <row r="9551" spans="3:6" x14ac:dyDescent="0.3">
      <c r="C9551" s="3"/>
      <c r="D9551" s="3"/>
      <c r="E9551" s="3"/>
      <c r="F9551" s="3"/>
    </row>
    <row r="9552" spans="3:6" x14ac:dyDescent="0.3">
      <c r="C9552" s="3"/>
      <c r="D9552" s="3"/>
      <c r="E9552" s="3"/>
      <c r="F9552" s="3"/>
    </row>
    <row r="9553" spans="3:6" x14ac:dyDescent="0.3">
      <c r="C9553" s="3"/>
      <c r="D9553" s="3"/>
      <c r="E9553" s="3"/>
      <c r="F9553" s="3"/>
    </row>
    <row r="9554" spans="3:6" x14ac:dyDescent="0.3">
      <c r="C9554" s="3"/>
      <c r="D9554" s="3"/>
      <c r="E9554" s="3"/>
      <c r="F9554" s="3"/>
    </row>
    <row r="9555" spans="3:6" x14ac:dyDescent="0.3">
      <c r="C9555" s="3"/>
      <c r="D9555" s="3"/>
      <c r="E9555" s="3"/>
      <c r="F9555" s="3"/>
    </row>
    <row r="9556" spans="3:6" x14ac:dyDescent="0.3">
      <c r="C9556" s="3"/>
      <c r="D9556" s="3"/>
      <c r="E9556" s="3"/>
      <c r="F9556" s="3"/>
    </row>
    <row r="9557" spans="3:6" x14ac:dyDescent="0.3">
      <c r="C9557" s="3"/>
      <c r="D9557" s="3"/>
      <c r="E9557" s="3"/>
      <c r="F9557" s="3"/>
    </row>
    <row r="9558" spans="3:6" x14ac:dyDescent="0.3">
      <c r="C9558" s="3"/>
      <c r="D9558" s="3"/>
      <c r="E9558" s="3"/>
      <c r="F9558" s="3"/>
    </row>
    <row r="9559" spans="3:6" x14ac:dyDescent="0.3">
      <c r="C9559" s="3"/>
      <c r="D9559" s="3"/>
      <c r="E9559" s="3"/>
      <c r="F9559" s="3"/>
    </row>
    <row r="9560" spans="3:6" x14ac:dyDescent="0.3">
      <c r="C9560" s="3"/>
      <c r="D9560" s="3"/>
      <c r="E9560" s="3"/>
      <c r="F9560" s="3"/>
    </row>
    <row r="9561" spans="3:6" x14ac:dyDescent="0.3">
      <c r="C9561" s="3"/>
      <c r="D9561" s="3"/>
      <c r="E9561" s="3"/>
      <c r="F9561" s="3"/>
    </row>
    <row r="9562" spans="3:6" x14ac:dyDescent="0.3">
      <c r="C9562" s="3"/>
      <c r="D9562" s="3"/>
      <c r="E9562" s="3"/>
      <c r="F9562" s="3"/>
    </row>
    <row r="9563" spans="3:6" x14ac:dyDescent="0.3">
      <c r="C9563" s="3"/>
      <c r="D9563" s="3"/>
      <c r="E9563" s="3"/>
      <c r="F9563" s="3"/>
    </row>
    <row r="9564" spans="3:6" x14ac:dyDescent="0.3">
      <c r="C9564" s="3"/>
      <c r="D9564" s="3"/>
      <c r="E9564" s="3"/>
      <c r="F9564" s="3"/>
    </row>
    <row r="9565" spans="3:6" x14ac:dyDescent="0.3">
      <c r="C9565" s="3"/>
      <c r="D9565" s="3"/>
      <c r="E9565" s="3"/>
      <c r="F9565" s="3"/>
    </row>
    <row r="9566" spans="3:6" x14ac:dyDescent="0.3">
      <c r="C9566" s="3"/>
      <c r="D9566" s="3"/>
      <c r="E9566" s="3"/>
      <c r="F9566" s="3"/>
    </row>
    <row r="9567" spans="3:6" x14ac:dyDescent="0.3">
      <c r="C9567" s="3"/>
      <c r="D9567" s="3"/>
      <c r="E9567" s="3"/>
      <c r="F9567" s="3"/>
    </row>
    <row r="9568" spans="3:6" x14ac:dyDescent="0.3">
      <c r="C9568" s="3"/>
      <c r="D9568" s="3"/>
      <c r="E9568" s="3"/>
      <c r="F9568" s="3"/>
    </row>
    <row r="9569" spans="3:6" x14ac:dyDescent="0.3">
      <c r="C9569" s="3"/>
      <c r="D9569" s="3"/>
      <c r="E9569" s="3"/>
      <c r="F9569" s="3"/>
    </row>
    <row r="9570" spans="3:6" x14ac:dyDescent="0.3">
      <c r="C9570" s="3"/>
      <c r="D9570" s="3"/>
      <c r="E9570" s="3"/>
      <c r="F9570" s="3"/>
    </row>
    <row r="9571" spans="3:6" x14ac:dyDescent="0.3">
      <c r="C9571" s="3"/>
      <c r="D9571" s="3"/>
      <c r="E9571" s="3"/>
      <c r="F9571" s="3"/>
    </row>
    <row r="9572" spans="3:6" x14ac:dyDescent="0.3">
      <c r="C9572" s="3"/>
      <c r="D9572" s="3"/>
      <c r="E9572" s="3"/>
      <c r="F9572" s="3"/>
    </row>
    <row r="9573" spans="3:6" x14ac:dyDescent="0.3">
      <c r="C9573" s="3"/>
      <c r="D9573" s="3"/>
      <c r="E9573" s="3"/>
      <c r="F9573" s="3"/>
    </row>
    <row r="9574" spans="3:6" x14ac:dyDescent="0.3">
      <c r="C9574" s="3"/>
      <c r="D9574" s="3"/>
      <c r="E9574" s="3"/>
      <c r="F9574" s="3"/>
    </row>
    <row r="9575" spans="3:6" x14ac:dyDescent="0.3">
      <c r="C9575" s="3"/>
      <c r="D9575" s="3"/>
      <c r="E9575" s="3"/>
      <c r="F9575" s="3"/>
    </row>
    <row r="9576" spans="3:6" x14ac:dyDescent="0.3">
      <c r="C9576" s="3"/>
      <c r="D9576" s="3"/>
      <c r="E9576" s="3"/>
      <c r="F9576" s="3"/>
    </row>
    <row r="9577" spans="3:6" x14ac:dyDescent="0.3">
      <c r="C9577" s="3"/>
      <c r="D9577" s="3"/>
      <c r="E9577" s="3"/>
      <c r="F9577" s="3"/>
    </row>
    <row r="9578" spans="3:6" x14ac:dyDescent="0.3">
      <c r="C9578" s="3"/>
      <c r="D9578" s="3"/>
      <c r="E9578" s="3"/>
      <c r="F9578" s="3"/>
    </row>
    <row r="9579" spans="3:6" x14ac:dyDescent="0.3">
      <c r="C9579" s="3"/>
      <c r="D9579" s="3"/>
      <c r="E9579" s="3"/>
      <c r="F9579" s="3"/>
    </row>
    <row r="9580" spans="3:6" x14ac:dyDescent="0.3">
      <c r="C9580" s="3"/>
      <c r="D9580" s="3"/>
      <c r="E9580" s="3"/>
      <c r="F9580" s="3"/>
    </row>
    <row r="9581" spans="3:6" x14ac:dyDescent="0.3">
      <c r="C9581" s="3"/>
      <c r="D9581" s="3"/>
      <c r="E9581" s="3"/>
      <c r="F9581" s="3"/>
    </row>
    <row r="9582" spans="3:6" x14ac:dyDescent="0.3">
      <c r="C9582" s="3"/>
      <c r="D9582" s="3"/>
      <c r="E9582" s="3"/>
      <c r="F9582" s="3"/>
    </row>
    <row r="9583" spans="3:6" x14ac:dyDescent="0.3">
      <c r="C9583" s="3"/>
      <c r="D9583" s="3"/>
      <c r="E9583" s="3"/>
      <c r="F9583" s="3"/>
    </row>
    <row r="9584" spans="3:6" x14ac:dyDescent="0.3">
      <c r="C9584" s="3"/>
      <c r="D9584" s="3"/>
      <c r="E9584" s="3"/>
      <c r="F9584" s="3"/>
    </row>
    <row r="9585" spans="3:6" x14ac:dyDescent="0.3">
      <c r="C9585" s="3"/>
      <c r="D9585" s="3"/>
      <c r="E9585" s="3"/>
      <c r="F9585" s="3"/>
    </row>
    <row r="9586" spans="3:6" x14ac:dyDescent="0.3">
      <c r="C9586" s="3"/>
      <c r="D9586" s="3"/>
      <c r="E9586" s="3"/>
      <c r="F9586" s="3"/>
    </row>
    <row r="9587" spans="3:6" x14ac:dyDescent="0.3">
      <c r="C9587" s="3"/>
      <c r="D9587" s="3"/>
      <c r="E9587" s="3"/>
      <c r="F9587" s="3"/>
    </row>
    <row r="9588" spans="3:6" x14ac:dyDescent="0.3">
      <c r="C9588" s="3"/>
      <c r="D9588" s="3"/>
      <c r="E9588" s="3"/>
      <c r="F9588" s="3"/>
    </row>
    <row r="9589" spans="3:6" x14ac:dyDescent="0.3">
      <c r="C9589" s="3"/>
      <c r="D9589" s="3"/>
      <c r="E9589" s="3"/>
      <c r="F9589" s="3"/>
    </row>
    <row r="9590" spans="3:6" x14ac:dyDescent="0.3">
      <c r="C9590" s="3"/>
      <c r="D9590" s="3"/>
      <c r="E9590" s="3"/>
      <c r="F9590" s="3"/>
    </row>
    <row r="9591" spans="3:6" x14ac:dyDescent="0.3">
      <c r="C9591" s="3"/>
      <c r="D9591" s="3"/>
      <c r="E9591" s="3"/>
      <c r="F9591" s="3"/>
    </row>
    <row r="9592" spans="3:6" x14ac:dyDescent="0.3">
      <c r="C9592" s="3"/>
      <c r="D9592" s="3"/>
      <c r="E9592" s="3"/>
      <c r="F9592" s="3"/>
    </row>
    <row r="9593" spans="3:6" x14ac:dyDescent="0.3">
      <c r="C9593" s="3"/>
      <c r="D9593" s="3"/>
      <c r="E9593" s="3"/>
      <c r="F9593" s="3"/>
    </row>
    <row r="9594" spans="3:6" x14ac:dyDescent="0.3">
      <c r="C9594" s="3"/>
      <c r="D9594" s="3"/>
      <c r="E9594" s="3"/>
      <c r="F9594" s="3"/>
    </row>
    <row r="9595" spans="3:6" x14ac:dyDescent="0.3">
      <c r="C9595" s="3"/>
      <c r="D9595" s="3"/>
      <c r="E9595" s="3"/>
      <c r="F9595" s="3"/>
    </row>
    <row r="9596" spans="3:6" x14ac:dyDescent="0.3">
      <c r="C9596" s="3"/>
      <c r="D9596" s="3"/>
      <c r="E9596" s="3"/>
      <c r="F9596" s="3"/>
    </row>
    <row r="9597" spans="3:6" x14ac:dyDescent="0.3">
      <c r="C9597" s="3"/>
      <c r="D9597" s="3"/>
      <c r="E9597" s="3"/>
      <c r="F9597" s="3"/>
    </row>
    <row r="9598" spans="3:6" x14ac:dyDescent="0.3">
      <c r="C9598" s="3"/>
      <c r="D9598" s="3"/>
      <c r="E9598" s="3"/>
      <c r="F9598" s="3"/>
    </row>
    <row r="9599" spans="3:6" x14ac:dyDescent="0.3">
      <c r="C9599" s="3"/>
      <c r="D9599" s="3"/>
      <c r="E9599" s="3"/>
      <c r="F9599" s="3"/>
    </row>
    <row r="9600" spans="3:6" x14ac:dyDescent="0.3">
      <c r="C9600" s="3"/>
      <c r="D9600" s="3"/>
      <c r="E9600" s="3"/>
      <c r="F9600" s="3"/>
    </row>
    <row r="9601" spans="3:6" x14ac:dyDescent="0.3">
      <c r="C9601" s="3"/>
      <c r="D9601" s="3"/>
      <c r="E9601" s="3"/>
      <c r="F9601" s="3"/>
    </row>
    <row r="9602" spans="3:6" x14ac:dyDescent="0.3">
      <c r="C9602" s="3"/>
      <c r="D9602" s="3"/>
      <c r="E9602" s="3"/>
      <c r="F9602" s="3"/>
    </row>
    <row r="9603" spans="3:6" x14ac:dyDescent="0.3">
      <c r="C9603" s="3"/>
      <c r="D9603" s="3"/>
      <c r="E9603" s="3"/>
      <c r="F9603" s="3"/>
    </row>
    <row r="9604" spans="3:6" x14ac:dyDescent="0.3">
      <c r="C9604" s="3"/>
      <c r="D9604" s="3"/>
      <c r="E9604" s="3"/>
      <c r="F9604" s="3"/>
    </row>
    <row r="9605" spans="3:6" x14ac:dyDescent="0.3">
      <c r="C9605" s="3"/>
      <c r="D9605" s="3"/>
      <c r="E9605" s="3"/>
      <c r="F9605" s="3"/>
    </row>
    <row r="9606" spans="3:6" x14ac:dyDescent="0.3">
      <c r="C9606" s="3"/>
      <c r="D9606" s="3"/>
      <c r="E9606" s="3"/>
      <c r="F9606" s="3"/>
    </row>
    <row r="9607" spans="3:6" x14ac:dyDescent="0.3">
      <c r="C9607" s="3"/>
      <c r="D9607" s="3"/>
      <c r="E9607" s="3"/>
      <c r="F9607" s="3"/>
    </row>
    <row r="9608" spans="3:6" x14ac:dyDescent="0.3">
      <c r="C9608" s="3"/>
      <c r="D9608" s="3"/>
      <c r="E9608" s="3"/>
      <c r="F9608" s="3"/>
    </row>
    <row r="9609" spans="3:6" x14ac:dyDescent="0.3">
      <c r="C9609" s="3"/>
      <c r="D9609" s="3"/>
      <c r="E9609" s="3"/>
      <c r="F9609" s="3"/>
    </row>
    <row r="9610" spans="3:6" x14ac:dyDescent="0.3">
      <c r="C9610" s="3"/>
      <c r="D9610" s="3"/>
      <c r="E9610" s="3"/>
      <c r="F9610" s="3"/>
    </row>
    <row r="9611" spans="3:6" x14ac:dyDescent="0.3">
      <c r="C9611" s="3"/>
      <c r="D9611" s="3"/>
      <c r="E9611" s="3"/>
      <c r="F9611" s="3"/>
    </row>
    <row r="9612" spans="3:6" x14ac:dyDescent="0.3">
      <c r="C9612" s="3"/>
      <c r="D9612" s="3"/>
      <c r="E9612" s="3"/>
      <c r="F9612" s="3"/>
    </row>
    <row r="9613" spans="3:6" x14ac:dyDescent="0.3">
      <c r="C9613" s="3"/>
      <c r="D9613" s="3"/>
      <c r="E9613" s="3"/>
      <c r="F9613" s="3"/>
    </row>
    <row r="9614" spans="3:6" x14ac:dyDescent="0.3">
      <c r="C9614" s="3"/>
      <c r="D9614" s="3"/>
      <c r="E9614" s="3"/>
      <c r="F9614" s="3"/>
    </row>
    <row r="9615" spans="3:6" x14ac:dyDescent="0.3">
      <c r="C9615" s="3"/>
      <c r="D9615" s="3"/>
      <c r="E9615" s="3"/>
      <c r="F9615" s="3"/>
    </row>
    <row r="9616" spans="3:6" x14ac:dyDescent="0.3">
      <c r="C9616" s="3"/>
      <c r="D9616" s="3"/>
      <c r="E9616" s="3"/>
      <c r="F9616" s="3"/>
    </row>
    <row r="9617" spans="3:6" x14ac:dyDescent="0.3">
      <c r="C9617" s="3"/>
      <c r="D9617" s="3"/>
      <c r="E9617" s="3"/>
      <c r="F9617" s="3"/>
    </row>
    <row r="9618" spans="3:6" x14ac:dyDescent="0.3">
      <c r="C9618" s="3"/>
      <c r="D9618" s="3"/>
      <c r="E9618" s="3"/>
      <c r="F9618" s="3"/>
    </row>
    <row r="9619" spans="3:6" x14ac:dyDescent="0.3">
      <c r="C9619" s="3"/>
      <c r="D9619" s="3"/>
      <c r="E9619" s="3"/>
      <c r="F9619" s="3"/>
    </row>
    <row r="9620" spans="3:6" x14ac:dyDescent="0.3">
      <c r="C9620" s="3"/>
      <c r="D9620" s="3"/>
      <c r="E9620" s="3"/>
      <c r="F9620" s="3"/>
    </row>
    <row r="9621" spans="3:6" x14ac:dyDescent="0.3">
      <c r="C9621" s="3"/>
      <c r="D9621" s="3"/>
      <c r="E9621" s="3"/>
      <c r="F9621" s="3"/>
    </row>
    <row r="9622" spans="3:6" x14ac:dyDescent="0.3">
      <c r="C9622" s="3"/>
      <c r="D9622" s="3"/>
      <c r="E9622" s="3"/>
      <c r="F9622" s="3"/>
    </row>
    <row r="9623" spans="3:6" x14ac:dyDescent="0.3">
      <c r="C9623" s="3"/>
      <c r="D9623" s="3"/>
      <c r="E9623" s="3"/>
      <c r="F9623" s="3"/>
    </row>
    <row r="9624" spans="3:6" x14ac:dyDescent="0.3">
      <c r="C9624" s="3"/>
      <c r="D9624" s="3"/>
      <c r="E9624" s="3"/>
      <c r="F9624" s="3"/>
    </row>
    <row r="9625" spans="3:6" x14ac:dyDescent="0.3">
      <c r="C9625" s="3"/>
      <c r="D9625" s="3"/>
      <c r="E9625" s="3"/>
      <c r="F9625" s="3"/>
    </row>
    <row r="9626" spans="3:6" x14ac:dyDescent="0.3">
      <c r="C9626" s="3"/>
      <c r="D9626" s="3"/>
      <c r="E9626" s="3"/>
      <c r="F9626" s="3"/>
    </row>
    <row r="9627" spans="3:6" x14ac:dyDescent="0.3">
      <c r="C9627" s="3"/>
      <c r="D9627" s="3"/>
      <c r="E9627" s="3"/>
      <c r="F9627" s="3"/>
    </row>
    <row r="9628" spans="3:6" x14ac:dyDescent="0.3">
      <c r="C9628" s="3"/>
      <c r="D9628" s="3"/>
      <c r="E9628" s="3"/>
      <c r="F9628" s="3"/>
    </row>
    <row r="9629" spans="3:6" x14ac:dyDescent="0.3">
      <c r="C9629" s="3"/>
      <c r="D9629" s="3"/>
      <c r="E9629" s="3"/>
      <c r="F9629" s="3"/>
    </row>
    <row r="9630" spans="3:6" x14ac:dyDescent="0.3">
      <c r="C9630" s="3"/>
      <c r="D9630" s="3"/>
      <c r="E9630" s="3"/>
      <c r="F9630" s="3"/>
    </row>
    <row r="9631" spans="3:6" x14ac:dyDescent="0.3">
      <c r="C9631" s="3"/>
      <c r="D9631" s="3"/>
      <c r="E9631" s="3"/>
      <c r="F9631" s="3"/>
    </row>
    <row r="9632" spans="3:6" x14ac:dyDescent="0.3">
      <c r="C9632" s="3"/>
      <c r="D9632" s="3"/>
      <c r="E9632" s="3"/>
      <c r="F9632" s="3"/>
    </row>
    <row r="9633" spans="3:6" x14ac:dyDescent="0.3">
      <c r="C9633" s="3"/>
      <c r="D9633" s="3"/>
      <c r="E9633" s="3"/>
      <c r="F9633" s="3"/>
    </row>
    <row r="9634" spans="3:6" x14ac:dyDescent="0.3">
      <c r="C9634" s="3"/>
      <c r="D9634" s="3"/>
      <c r="E9634" s="3"/>
      <c r="F9634" s="3"/>
    </row>
    <row r="9635" spans="3:6" x14ac:dyDescent="0.3">
      <c r="C9635" s="3"/>
      <c r="D9635" s="3"/>
      <c r="E9635" s="3"/>
      <c r="F9635" s="3"/>
    </row>
    <row r="9636" spans="3:6" x14ac:dyDescent="0.3">
      <c r="C9636" s="3"/>
      <c r="D9636" s="3"/>
      <c r="E9636" s="3"/>
      <c r="F9636" s="3"/>
    </row>
    <row r="9637" spans="3:6" x14ac:dyDescent="0.3">
      <c r="C9637" s="3"/>
      <c r="D9637" s="3"/>
      <c r="E9637" s="3"/>
      <c r="F9637" s="3"/>
    </row>
    <row r="9638" spans="3:6" x14ac:dyDescent="0.3">
      <c r="C9638" s="3"/>
      <c r="D9638" s="3"/>
      <c r="E9638" s="3"/>
      <c r="F9638" s="3"/>
    </row>
    <row r="9639" spans="3:6" x14ac:dyDescent="0.3">
      <c r="C9639" s="3"/>
      <c r="D9639" s="3"/>
      <c r="E9639" s="3"/>
      <c r="F9639" s="3"/>
    </row>
    <row r="9640" spans="3:6" x14ac:dyDescent="0.3">
      <c r="C9640" s="3"/>
      <c r="D9640" s="3"/>
      <c r="E9640" s="3"/>
      <c r="F9640" s="3"/>
    </row>
    <row r="9641" spans="3:6" x14ac:dyDescent="0.3">
      <c r="C9641" s="3"/>
      <c r="D9641" s="3"/>
      <c r="E9641" s="3"/>
      <c r="F9641" s="3"/>
    </row>
    <row r="9642" spans="3:6" x14ac:dyDescent="0.3">
      <c r="C9642" s="3"/>
      <c r="D9642" s="3"/>
      <c r="E9642" s="3"/>
      <c r="F9642" s="3"/>
    </row>
    <row r="9643" spans="3:6" x14ac:dyDescent="0.3">
      <c r="C9643" s="3"/>
      <c r="D9643" s="3"/>
      <c r="E9643" s="3"/>
      <c r="F9643" s="3"/>
    </row>
    <row r="9644" spans="3:6" x14ac:dyDescent="0.3">
      <c r="C9644" s="3"/>
      <c r="D9644" s="3"/>
      <c r="E9644" s="3"/>
      <c r="F9644" s="3"/>
    </row>
    <row r="9645" spans="3:6" x14ac:dyDescent="0.3">
      <c r="C9645" s="3"/>
      <c r="D9645" s="3"/>
      <c r="E9645" s="3"/>
      <c r="F9645" s="3"/>
    </row>
    <row r="9646" spans="3:6" x14ac:dyDescent="0.3">
      <c r="C9646" s="3"/>
      <c r="D9646" s="3"/>
      <c r="E9646" s="3"/>
      <c r="F9646" s="3"/>
    </row>
    <row r="9647" spans="3:6" x14ac:dyDescent="0.3">
      <c r="C9647" s="3"/>
      <c r="D9647" s="3"/>
      <c r="E9647" s="3"/>
      <c r="F9647" s="3"/>
    </row>
    <row r="9648" spans="3:6" x14ac:dyDescent="0.3">
      <c r="C9648" s="3"/>
      <c r="D9648" s="3"/>
      <c r="E9648" s="3"/>
      <c r="F9648" s="3"/>
    </row>
    <row r="9649" spans="3:6" x14ac:dyDescent="0.3">
      <c r="C9649" s="3"/>
      <c r="D9649" s="3"/>
      <c r="E9649" s="3"/>
      <c r="F9649" s="3"/>
    </row>
    <row r="9650" spans="3:6" x14ac:dyDescent="0.3">
      <c r="C9650" s="3"/>
      <c r="D9650" s="3"/>
      <c r="E9650" s="3"/>
      <c r="F9650" s="3"/>
    </row>
    <row r="9651" spans="3:6" x14ac:dyDescent="0.3">
      <c r="C9651" s="3"/>
      <c r="D9651" s="3"/>
      <c r="E9651" s="3"/>
      <c r="F9651" s="3"/>
    </row>
    <row r="9652" spans="3:6" x14ac:dyDescent="0.3">
      <c r="C9652" s="3"/>
      <c r="D9652" s="3"/>
      <c r="E9652" s="3"/>
      <c r="F9652" s="3"/>
    </row>
    <row r="9653" spans="3:6" x14ac:dyDescent="0.3">
      <c r="C9653" s="3"/>
      <c r="D9653" s="3"/>
      <c r="E9653" s="3"/>
      <c r="F9653" s="3"/>
    </row>
    <row r="9654" spans="3:6" x14ac:dyDescent="0.3">
      <c r="C9654" s="3"/>
      <c r="D9654" s="3"/>
      <c r="E9654" s="3"/>
      <c r="F9654" s="3"/>
    </row>
    <row r="9655" spans="3:6" x14ac:dyDescent="0.3">
      <c r="C9655" s="3"/>
      <c r="D9655" s="3"/>
      <c r="E9655" s="3"/>
      <c r="F9655" s="3"/>
    </row>
    <row r="9656" spans="3:6" x14ac:dyDescent="0.3">
      <c r="C9656" s="3"/>
      <c r="D9656" s="3"/>
      <c r="E9656" s="3"/>
      <c r="F9656" s="3"/>
    </row>
    <row r="9657" spans="3:6" x14ac:dyDescent="0.3">
      <c r="C9657" s="3"/>
      <c r="D9657" s="3"/>
      <c r="E9657" s="3"/>
      <c r="F9657" s="3"/>
    </row>
    <row r="9658" spans="3:6" x14ac:dyDescent="0.3">
      <c r="C9658" s="3"/>
      <c r="D9658" s="3"/>
      <c r="E9658" s="3"/>
      <c r="F9658" s="3"/>
    </row>
    <row r="9659" spans="3:6" x14ac:dyDescent="0.3">
      <c r="C9659" s="3"/>
      <c r="D9659" s="3"/>
      <c r="E9659" s="3"/>
      <c r="F9659" s="3"/>
    </row>
    <row r="9660" spans="3:6" x14ac:dyDescent="0.3">
      <c r="C9660" s="3"/>
      <c r="D9660" s="3"/>
      <c r="E9660" s="3"/>
      <c r="F9660" s="3"/>
    </row>
    <row r="9661" spans="3:6" x14ac:dyDescent="0.3">
      <c r="C9661" s="3"/>
      <c r="D9661" s="3"/>
      <c r="E9661" s="3"/>
      <c r="F9661" s="3"/>
    </row>
    <row r="9662" spans="3:6" x14ac:dyDescent="0.3">
      <c r="C9662" s="3"/>
      <c r="D9662" s="3"/>
      <c r="E9662" s="3"/>
      <c r="F9662" s="3"/>
    </row>
    <row r="9663" spans="3:6" x14ac:dyDescent="0.3">
      <c r="C9663" s="3"/>
      <c r="D9663" s="3"/>
      <c r="E9663" s="3"/>
      <c r="F9663" s="3"/>
    </row>
    <row r="9664" spans="3:6" x14ac:dyDescent="0.3">
      <c r="C9664" s="3"/>
      <c r="D9664" s="3"/>
      <c r="E9664" s="3"/>
      <c r="F9664" s="3"/>
    </row>
    <row r="9665" spans="3:6" x14ac:dyDescent="0.3">
      <c r="C9665" s="3"/>
      <c r="D9665" s="3"/>
      <c r="E9665" s="3"/>
      <c r="F9665" s="3"/>
    </row>
    <row r="9666" spans="3:6" x14ac:dyDescent="0.3">
      <c r="C9666" s="3"/>
      <c r="D9666" s="3"/>
      <c r="E9666" s="3"/>
      <c r="F9666" s="3"/>
    </row>
    <row r="9667" spans="3:6" x14ac:dyDescent="0.3">
      <c r="C9667" s="3"/>
      <c r="D9667" s="3"/>
      <c r="E9667" s="3"/>
      <c r="F9667" s="3"/>
    </row>
    <row r="9668" spans="3:6" x14ac:dyDescent="0.3">
      <c r="C9668" s="3"/>
      <c r="D9668" s="3"/>
      <c r="E9668" s="3"/>
      <c r="F9668" s="3"/>
    </row>
    <row r="9669" spans="3:6" x14ac:dyDescent="0.3">
      <c r="C9669" s="3"/>
      <c r="D9669" s="3"/>
      <c r="E9669" s="3"/>
      <c r="F9669" s="3"/>
    </row>
    <row r="9670" spans="3:6" x14ac:dyDescent="0.3">
      <c r="C9670" s="3"/>
      <c r="D9670" s="3"/>
      <c r="E9670" s="3"/>
      <c r="F9670" s="3"/>
    </row>
    <row r="9671" spans="3:6" x14ac:dyDescent="0.3">
      <c r="C9671" s="3"/>
      <c r="D9671" s="3"/>
      <c r="E9671" s="3"/>
      <c r="F9671" s="3"/>
    </row>
    <row r="9672" spans="3:6" x14ac:dyDescent="0.3">
      <c r="C9672" s="3"/>
      <c r="D9672" s="3"/>
      <c r="E9672" s="3"/>
      <c r="F9672" s="3"/>
    </row>
    <row r="9673" spans="3:6" x14ac:dyDescent="0.3">
      <c r="C9673" s="3"/>
      <c r="D9673" s="3"/>
      <c r="E9673" s="3"/>
      <c r="F9673" s="3"/>
    </row>
    <row r="9674" spans="3:6" x14ac:dyDescent="0.3">
      <c r="C9674" s="3"/>
      <c r="D9674" s="3"/>
      <c r="E9674" s="3"/>
      <c r="F9674" s="3"/>
    </row>
    <row r="9675" spans="3:6" x14ac:dyDescent="0.3">
      <c r="C9675" s="3"/>
      <c r="D9675" s="3"/>
      <c r="E9675" s="3"/>
      <c r="F9675" s="3"/>
    </row>
    <row r="9676" spans="3:6" x14ac:dyDescent="0.3">
      <c r="C9676" s="3"/>
      <c r="D9676" s="3"/>
      <c r="E9676" s="3"/>
      <c r="F9676" s="3"/>
    </row>
    <row r="9677" spans="3:6" x14ac:dyDescent="0.3">
      <c r="C9677" s="3"/>
      <c r="D9677" s="3"/>
      <c r="E9677" s="3"/>
      <c r="F9677" s="3"/>
    </row>
    <row r="9678" spans="3:6" x14ac:dyDescent="0.3">
      <c r="C9678" s="3"/>
      <c r="D9678" s="3"/>
      <c r="E9678" s="3"/>
      <c r="F9678" s="3"/>
    </row>
    <row r="9679" spans="3:6" x14ac:dyDescent="0.3">
      <c r="C9679" s="3"/>
      <c r="D9679" s="3"/>
      <c r="E9679" s="3"/>
      <c r="F9679" s="3"/>
    </row>
    <row r="9680" spans="3:6" x14ac:dyDescent="0.3">
      <c r="C9680" s="3"/>
      <c r="D9680" s="3"/>
      <c r="E9680" s="3"/>
      <c r="F9680" s="3"/>
    </row>
    <row r="9681" spans="3:6" x14ac:dyDescent="0.3">
      <c r="C9681" s="3"/>
      <c r="D9681" s="3"/>
      <c r="E9681" s="3"/>
      <c r="F9681" s="3"/>
    </row>
    <row r="9682" spans="3:6" x14ac:dyDescent="0.3">
      <c r="C9682" s="3"/>
      <c r="D9682" s="3"/>
      <c r="E9682" s="3"/>
      <c r="F9682" s="3"/>
    </row>
    <row r="9683" spans="3:6" x14ac:dyDescent="0.3">
      <c r="C9683" s="3"/>
      <c r="D9683" s="3"/>
      <c r="E9683" s="3"/>
      <c r="F9683" s="3"/>
    </row>
    <row r="9684" spans="3:6" x14ac:dyDescent="0.3">
      <c r="C9684" s="3"/>
      <c r="D9684" s="3"/>
      <c r="E9684" s="3"/>
      <c r="F9684" s="3"/>
    </row>
    <row r="9685" spans="3:6" x14ac:dyDescent="0.3">
      <c r="C9685" s="3"/>
      <c r="D9685" s="3"/>
      <c r="E9685" s="3"/>
      <c r="F9685" s="3"/>
    </row>
    <row r="9686" spans="3:6" x14ac:dyDescent="0.3">
      <c r="C9686" s="3"/>
      <c r="D9686" s="3"/>
      <c r="E9686" s="3"/>
      <c r="F9686" s="3"/>
    </row>
    <row r="9687" spans="3:6" x14ac:dyDescent="0.3">
      <c r="C9687" s="3"/>
      <c r="D9687" s="3"/>
      <c r="E9687" s="3"/>
      <c r="F9687" s="3"/>
    </row>
    <row r="9688" spans="3:6" x14ac:dyDescent="0.3">
      <c r="C9688" s="3"/>
      <c r="D9688" s="3"/>
      <c r="E9688" s="3"/>
      <c r="F9688" s="3"/>
    </row>
    <row r="9689" spans="3:6" x14ac:dyDescent="0.3">
      <c r="C9689" s="3"/>
      <c r="D9689" s="3"/>
      <c r="E9689" s="3"/>
      <c r="F9689" s="3"/>
    </row>
    <row r="9690" spans="3:6" x14ac:dyDescent="0.3">
      <c r="C9690" s="3"/>
      <c r="D9690" s="3"/>
      <c r="E9690" s="3"/>
      <c r="F9690" s="3"/>
    </row>
    <row r="9691" spans="3:6" x14ac:dyDescent="0.3">
      <c r="C9691" s="3"/>
      <c r="D9691" s="3"/>
      <c r="E9691" s="3"/>
      <c r="F9691" s="3"/>
    </row>
    <row r="9692" spans="3:6" x14ac:dyDescent="0.3">
      <c r="C9692" s="3"/>
      <c r="D9692" s="3"/>
      <c r="E9692" s="3"/>
      <c r="F9692" s="3"/>
    </row>
    <row r="9693" spans="3:6" x14ac:dyDescent="0.3">
      <c r="C9693" s="3"/>
      <c r="D9693" s="3"/>
      <c r="E9693" s="3"/>
      <c r="F9693" s="3"/>
    </row>
    <row r="9694" spans="3:6" x14ac:dyDescent="0.3">
      <c r="C9694" s="3"/>
      <c r="D9694" s="3"/>
      <c r="E9694" s="3"/>
      <c r="F9694" s="3"/>
    </row>
    <row r="9695" spans="3:6" x14ac:dyDescent="0.3">
      <c r="C9695" s="3"/>
      <c r="D9695" s="3"/>
      <c r="E9695" s="3"/>
      <c r="F9695" s="3"/>
    </row>
    <row r="9696" spans="3:6" x14ac:dyDescent="0.3">
      <c r="C9696" s="3"/>
      <c r="D9696" s="3"/>
      <c r="E9696" s="3"/>
      <c r="F9696" s="3"/>
    </row>
    <row r="9697" spans="3:6" x14ac:dyDescent="0.3">
      <c r="C9697" s="3"/>
      <c r="D9697" s="3"/>
      <c r="E9697" s="3"/>
      <c r="F9697" s="3"/>
    </row>
    <row r="9698" spans="3:6" x14ac:dyDescent="0.3">
      <c r="C9698" s="3"/>
      <c r="D9698" s="3"/>
      <c r="E9698" s="3"/>
      <c r="F9698" s="3"/>
    </row>
    <row r="9699" spans="3:6" x14ac:dyDescent="0.3">
      <c r="C9699" s="3"/>
      <c r="D9699" s="3"/>
      <c r="E9699" s="3"/>
      <c r="F9699" s="3"/>
    </row>
    <row r="9700" spans="3:6" x14ac:dyDescent="0.3">
      <c r="C9700" s="3"/>
      <c r="D9700" s="3"/>
      <c r="E9700" s="3"/>
      <c r="F9700" s="3"/>
    </row>
    <row r="9701" spans="3:6" x14ac:dyDescent="0.3">
      <c r="C9701" s="3"/>
      <c r="D9701" s="3"/>
      <c r="E9701" s="3"/>
      <c r="F9701" s="3"/>
    </row>
    <row r="9702" spans="3:6" x14ac:dyDescent="0.3">
      <c r="C9702" s="3"/>
      <c r="D9702" s="3"/>
      <c r="E9702" s="3"/>
      <c r="F9702" s="3"/>
    </row>
    <row r="9703" spans="3:6" x14ac:dyDescent="0.3">
      <c r="C9703" s="3"/>
      <c r="D9703" s="3"/>
      <c r="E9703" s="3"/>
      <c r="F9703" s="3"/>
    </row>
    <row r="9704" spans="3:6" x14ac:dyDescent="0.3">
      <c r="C9704" s="3"/>
      <c r="D9704" s="3"/>
      <c r="E9704" s="3"/>
      <c r="F9704" s="3"/>
    </row>
    <row r="9705" spans="3:6" x14ac:dyDescent="0.3">
      <c r="C9705" s="3"/>
      <c r="D9705" s="3"/>
      <c r="E9705" s="3"/>
      <c r="F9705" s="3"/>
    </row>
    <row r="9706" spans="3:6" x14ac:dyDescent="0.3">
      <c r="C9706" s="3"/>
      <c r="D9706" s="3"/>
      <c r="E9706" s="3"/>
      <c r="F9706" s="3"/>
    </row>
    <row r="9707" spans="3:6" x14ac:dyDescent="0.3">
      <c r="C9707" s="3"/>
      <c r="D9707" s="3"/>
      <c r="E9707" s="3"/>
      <c r="F9707" s="3"/>
    </row>
    <row r="9708" spans="3:6" x14ac:dyDescent="0.3">
      <c r="C9708" s="3"/>
      <c r="D9708" s="3"/>
      <c r="E9708" s="3"/>
      <c r="F9708" s="3"/>
    </row>
    <row r="9709" spans="3:6" x14ac:dyDescent="0.3">
      <c r="C9709" s="3"/>
      <c r="D9709" s="3"/>
      <c r="E9709" s="3"/>
      <c r="F9709" s="3"/>
    </row>
    <row r="9710" spans="3:6" x14ac:dyDescent="0.3">
      <c r="C9710" s="3"/>
      <c r="D9710" s="3"/>
      <c r="E9710" s="3"/>
      <c r="F9710" s="3"/>
    </row>
    <row r="9711" spans="3:6" x14ac:dyDescent="0.3">
      <c r="C9711" s="3"/>
      <c r="D9711" s="3"/>
      <c r="E9711" s="3"/>
      <c r="F9711" s="3"/>
    </row>
    <row r="9712" spans="3:6" x14ac:dyDescent="0.3">
      <c r="C9712" s="3"/>
      <c r="D9712" s="3"/>
      <c r="E9712" s="3"/>
      <c r="F9712" s="3"/>
    </row>
    <row r="9713" spans="3:6" x14ac:dyDescent="0.3">
      <c r="C9713" s="3"/>
      <c r="D9713" s="3"/>
      <c r="E9713" s="3"/>
      <c r="F9713" s="3"/>
    </row>
    <row r="9714" spans="3:6" x14ac:dyDescent="0.3">
      <c r="C9714" s="3"/>
      <c r="D9714" s="3"/>
      <c r="E9714" s="3"/>
      <c r="F9714" s="3"/>
    </row>
    <row r="9715" spans="3:6" x14ac:dyDescent="0.3">
      <c r="C9715" s="3"/>
      <c r="D9715" s="3"/>
      <c r="E9715" s="3"/>
      <c r="F9715" s="3"/>
    </row>
    <row r="9716" spans="3:6" x14ac:dyDescent="0.3">
      <c r="C9716" s="3"/>
      <c r="D9716" s="3"/>
      <c r="E9716" s="3"/>
      <c r="F9716" s="3"/>
    </row>
    <row r="9717" spans="3:6" x14ac:dyDescent="0.3">
      <c r="C9717" s="3"/>
      <c r="D9717" s="3"/>
      <c r="E9717" s="3"/>
      <c r="F9717" s="3"/>
    </row>
    <row r="9718" spans="3:6" x14ac:dyDescent="0.3">
      <c r="C9718" s="3"/>
      <c r="D9718" s="3"/>
      <c r="E9718" s="3"/>
      <c r="F9718" s="3"/>
    </row>
    <row r="9719" spans="3:6" x14ac:dyDescent="0.3">
      <c r="C9719" s="3"/>
      <c r="D9719" s="3"/>
      <c r="E9719" s="3"/>
      <c r="F9719" s="3"/>
    </row>
    <row r="9720" spans="3:6" x14ac:dyDescent="0.3">
      <c r="C9720" s="3"/>
      <c r="D9720" s="3"/>
      <c r="E9720" s="3"/>
      <c r="F9720" s="3"/>
    </row>
    <row r="9721" spans="3:6" x14ac:dyDescent="0.3">
      <c r="C9721" s="3"/>
      <c r="D9721" s="3"/>
      <c r="E9721" s="3"/>
      <c r="F9721" s="3"/>
    </row>
    <row r="9722" spans="3:6" x14ac:dyDescent="0.3">
      <c r="C9722" s="3"/>
      <c r="D9722" s="3"/>
      <c r="E9722" s="3"/>
      <c r="F9722" s="3"/>
    </row>
    <row r="9723" spans="3:6" x14ac:dyDescent="0.3">
      <c r="C9723" s="3"/>
      <c r="D9723" s="3"/>
      <c r="E9723" s="3"/>
      <c r="F9723" s="3"/>
    </row>
    <row r="9724" spans="3:6" x14ac:dyDescent="0.3">
      <c r="C9724" s="3"/>
      <c r="D9724" s="3"/>
      <c r="E9724" s="3"/>
      <c r="F9724" s="3"/>
    </row>
    <row r="9725" spans="3:6" x14ac:dyDescent="0.3">
      <c r="C9725" s="3"/>
      <c r="D9725" s="3"/>
      <c r="E9725" s="3"/>
      <c r="F9725" s="3"/>
    </row>
    <row r="9726" spans="3:6" x14ac:dyDescent="0.3">
      <c r="C9726" s="3"/>
      <c r="D9726" s="3"/>
      <c r="E9726" s="3"/>
      <c r="F9726" s="3"/>
    </row>
    <row r="9727" spans="3:6" x14ac:dyDescent="0.3">
      <c r="C9727" s="3"/>
      <c r="D9727" s="3"/>
      <c r="E9727" s="3"/>
      <c r="F9727" s="3"/>
    </row>
    <row r="9728" spans="3:6" x14ac:dyDescent="0.3">
      <c r="C9728" s="3"/>
      <c r="D9728" s="3"/>
      <c r="E9728" s="3"/>
      <c r="F9728" s="3"/>
    </row>
    <row r="9729" spans="3:6" x14ac:dyDescent="0.3">
      <c r="C9729" s="3"/>
      <c r="D9729" s="3"/>
      <c r="E9729" s="3"/>
      <c r="F9729" s="3"/>
    </row>
    <row r="9730" spans="3:6" x14ac:dyDescent="0.3">
      <c r="C9730" s="3"/>
      <c r="D9730" s="3"/>
      <c r="E9730" s="3"/>
      <c r="F9730" s="3"/>
    </row>
    <row r="9731" spans="3:6" x14ac:dyDescent="0.3">
      <c r="C9731" s="3"/>
      <c r="D9731" s="3"/>
      <c r="E9731" s="3"/>
      <c r="F9731" s="3"/>
    </row>
    <row r="9732" spans="3:6" x14ac:dyDescent="0.3">
      <c r="C9732" s="3"/>
      <c r="D9732" s="3"/>
      <c r="E9732" s="3"/>
      <c r="F9732" s="3"/>
    </row>
    <row r="9733" spans="3:6" x14ac:dyDescent="0.3">
      <c r="C9733" s="3"/>
      <c r="D9733" s="3"/>
      <c r="E9733" s="3"/>
      <c r="F9733" s="3"/>
    </row>
    <row r="9734" spans="3:6" x14ac:dyDescent="0.3">
      <c r="C9734" s="3"/>
      <c r="D9734" s="3"/>
      <c r="E9734" s="3"/>
      <c r="F9734" s="3"/>
    </row>
    <row r="9735" spans="3:6" x14ac:dyDescent="0.3">
      <c r="C9735" s="3"/>
      <c r="D9735" s="3"/>
      <c r="E9735" s="3"/>
      <c r="F9735" s="3"/>
    </row>
    <row r="9736" spans="3:6" x14ac:dyDescent="0.3">
      <c r="C9736" s="3"/>
      <c r="D9736" s="3"/>
      <c r="E9736" s="3"/>
      <c r="F9736" s="3"/>
    </row>
    <row r="9737" spans="3:6" x14ac:dyDescent="0.3">
      <c r="C9737" s="3"/>
      <c r="D9737" s="3"/>
      <c r="E9737" s="3"/>
      <c r="F9737" s="3"/>
    </row>
    <row r="9738" spans="3:6" x14ac:dyDescent="0.3">
      <c r="C9738" s="3"/>
      <c r="D9738" s="3"/>
      <c r="E9738" s="3"/>
      <c r="F9738" s="3"/>
    </row>
    <row r="9739" spans="3:6" x14ac:dyDescent="0.3">
      <c r="C9739" s="3"/>
      <c r="D9739" s="3"/>
      <c r="E9739" s="3"/>
      <c r="F9739" s="3"/>
    </row>
    <row r="9740" spans="3:6" x14ac:dyDescent="0.3">
      <c r="C9740" s="3"/>
      <c r="D9740" s="3"/>
      <c r="E9740" s="3"/>
      <c r="F9740" s="3"/>
    </row>
    <row r="9741" spans="3:6" x14ac:dyDescent="0.3">
      <c r="C9741" s="3"/>
      <c r="D9741" s="3"/>
      <c r="E9741" s="3"/>
      <c r="F9741" s="3"/>
    </row>
    <row r="9742" spans="3:6" x14ac:dyDescent="0.3">
      <c r="C9742" s="3"/>
      <c r="D9742" s="3"/>
      <c r="E9742" s="3"/>
      <c r="F9742" s="3"/>
    </row>
    <row r="9743" spans="3:6" x14ac:dyDescent="0.3">
      <c r="C9743" s="3"/>
      <c r="D9743" s="3"/>
      <c r="E9743" s="3"/>
      <c r="F9743" s="3"/>
    </row>
    <row r="9744" spans="3:6" x14ac:dyDescent="0.3">
      <c r="C9744" s="3"/>
      <c r="D9744" s="3"/>
      <c r="E9744" s="3"/>
      <c r="F9744" s="3"/>
    </row>
    <row r="9745" spans="3:6" x14ac:dyDescent="0.3">
      <c r="C9745" s="3"/>
      <c r="D9745" s="3"/>
      <c r="E9745" s="3"/>
      <c r="F9745" s="3"/>
    </row>
    <row r="9746" spans="3:6" x14ac:dyDescent="0.3">
      <c r="C9746" s="3"/>
      <c r="D9746" s="3"/>
      <c r="E9746" s="3"/>
      <c r="F9746" s="3"/>
    </row>
    <row r="9747" spans="3:6" x14ac:dyDescent="0.3">
      <c r="C9747" s="3"/>
      <c r="D9747" s="3"/>
      <c r="E9747" s="3"/>
      <c r="F9747" s="3"/>
    </row>
    <row r="9748" spans="3:6" x14ac:dyDescent="0.3">
      <c r="C9748" s="3"/>
      <c r="D9748" s="3"/>
      <c r="E9748" s="3"/>
      <c r="F9748" s="3"/>
    </row>
    <row r="9749" spans="3:6" x14ac:dyDescent="0.3">
      <c r="C9749" s="3"/>
      <c r="D9749" s="3"/>
      <c r="E9749" s="3"/>
      <c r="F9749" s="3"/>
    </row>
    <row r="9750" spans="3:6" x14ac:dyDescent="0.3">
      <c r="C9750" s="3"/>
      <c r="D9750" s="3"/>
      <c r="E9750" s="3"/>
      <c r="F9750" s="3"/>
    </row>
    <row r="9751" spans="3:6" x14ac:dyDescent="0.3">
      <c r="C9751" s="3"/>
      <c r="D9751" s="3"/>
      <c r="E9751" s="3"/>
      <c r="F9751" s="3"/>
    </row>
    <row r="9752" spans="3:6" x14ac:dyDescent="0.3">
      <c r="C9752" s="3"/>
      <c r="D9752" s="3"/>
      <c r="E9752" s="3"/>
      <c r="F9752" s="3"/>
    </row>
    <row r="9753" spans="3:6" x14ac:dyDescent="0.3">
      <c r="C9753" s="3"/>
      <c r="D9753" s="3"/>
      <c r="E9753" s="3"/>
      <c r="F9753" s="3"/>
    </row>
    <row r="9754" spans="3:6" x14ac:dyDescent="0.3">
      <c r="C9754" s="3"/>
      <c r="D9754" s="3"/>
      <c r="E9754" s="3"/>
      <c r="F9754" s="3"/>
    </row>
    <row r="9755" spans="3:6" x14ac:dyDescent="0.3">
      <c r="C9755" s="3"/>
      <c r="D9755" s="3"/>
      <c r="E9755" s="3"/>
      <c r="F9755" s="3"/>
    </row>
    <row r="9756" spans="3:6" x14ac:dyDescent="0.3">
      <c r="C9756" s="3"/>
      <c r="D9756" s="3"/>
      <c r="E9756" s="3"/>
      <c r="F9756" s="3"/>
    </row>
    <row r="9757" spans="3:6" x14ac:dyDescent="0.3">
      <c r="C9757" s="3"/>
      <c r="D9757" s="3"/>
      <c r="E9757" s="3"/>
      <c r="F9757" s="3"/>
    </row>
    <row r="9758" spans="3:6" x14ac:dyDescent="0.3">
      <c r="C9758" s="3"/>
      <c r="D9758" s="3"/>
      <c r="E9758" s="3"/>
      <c r="F9758" s="3"/>
    </row>
    <row r="9759" spans="3:6" x14ac:dyDescent="0.3">
      <c r="C9759" s="3"/>
      <c r="D9759" s="3"/>
      <c r="E9759" s="3"/>
      <c r="F9759" s="3"/>
    </row>
    <row r="9760" spans="3:6" x14ac:dyDescent="0.3">
      <c r="C9760" s="3"/>
      <c r="D9760" s="3"/>
      <c r="E9760" s="3"/>
      <c r="F9760" s="3"/>
    </row>
    <row r="9761" spans="3:6" x14ac:dyDescent="0.3">
      <c r="C9761" s="3"/>
      <c r="D9761" s="3"/>
      <c r="E9761" s="3"/>
      <c r="F9761" s="3"/>
    </row>
    <row r="9762" spans="3:6" x14ac:dyDescent="0.3">
      <c r="C9762" s="3"/>
      <c r="D9762" s="3"/>
      <c r="E9762" s="3"/>
      <c r="F9762" s="3"/>
    </row>
    <row r="9763" spans="3:6" x14ac:dyDescent="0.3">
      <c r="C9763" s="3"/>
      <c r="D9763" s="3"/>
      <c r="E9763" s="3"/>
      <c r="F9763" s="3"/>
    </row>
    <row r="9764" spans="3:6" x14ac:dyDescent="0.3">
      <c r="C9764" s="3"/>
      <c r="D9764" s="3"/>
      <c r="E9764" s="3"/>
      <c r="F9764" s="3"/>
    </row>
    <row r="9765" spans="3:6" x14ac:dyDescent="0.3">
      <c r="C9765" s="3"/>
      <c r="D9765" s="3"/>
      <c r="E9765" s="3"/>
      <c r="F9765" s="3"/>
    </row>
    <row r="9766" spans="3:6" x14ac:dyDescent="0.3">
      <c r="C9766" s="3"/>
      <c r="D9766" s="3"/>
      <c r="E9766" s="3"/>
      <c r="F9766" s="3"/>
    </row>
    <row r="9767" spans="3:6" x14ac:dyDescent="0.3">
      <c r="C9767" s="3"/>
      <c r="D9767" s="3"/>
      <c r="E9767" s="3"/>
      <c r="F9767" s="3"/>
    </row>
    <row r="9768" spans="3:6" x14ac:dyDescent="0.3">
      <c r="C9768" s="3"/>
      <c r="D9768" s="3"/>
      <c r="E9768" s="3"/>
      <c r="F9768" s="3"/>
    </row>
    <row r="9769" spans="3:6" x14ac:dyDescent="0.3">
      <c r="C9769" s="3"/>
      <c r="D9769" s="3"/>
      <c r="E9769" s="3"/>
      <c r="F9769" s="3"/>
    </row>
    <row r="9770" spans="3:6" x14ac:dyDescent="0.3">
      <c r="C9770" s="3"/>
      <c r="D9770" s="3"/>
      <c r="E9770" s="3"/>
      <c r="F9770" s="3"/>
    </row>
    <row r="9771" spans="3:6" x14ac:dyDescent="0.3">
      <c r="C9771" s="3"/>
      <c r="D9771" s="3"/>
      <c r="E9771" s="3"/>
      <c r="F9771" s="3"/>
    </row>
    <row r="9772" spans="3:6" x14ac:dyDescent="0.3">
      <c r="C9772" s="3"/>
      <c r="D9772" s="3"/>
      <c r="E9772" s="3"/>
      <c r="F9772" s="3"/>
    </row>
    <row r="9773" spans="3:6" x14ac:dyDescent="0.3">
      <c r="C9773" s="3"/>
      <c r="D9773" s="3"/>
      <c r="E9773" s="3"/>
      <c r="F9773" s="3"/>
    </row>
    <row r="9774" spans="3:6" x14ac:dyDescent="0.3">
      <c r="C9774" s="3"/>
      <c r="D9774" s="3"/>
      <c r="E9774" s="3"/>
      <c r="F9774" s="3"/>
    </row>
    <row r="9775" spans="3:6" x14ac:dyDescent="0.3">
      <c r="C9775" s="3"/>
      <c r="D9775" s="3"/>
      <c r="E9775" s="3"/>
      <c r="F9775" s="3"/>
    </row>
    <row r="9776" spans="3:6" x14ac:dyDescent="0.3">
      <c r="C9776" s="3"/>
      <c r="D9776" s="3"/>
      <c r="E9776" s="3"/>
      <c r="F9776" s="3"/>
    </row>
    <row r="9777" spans="3:6" x14ac:dyDescent="0.3">
      <c r="C9777" s="3"/>
      <c r="D9777" s="3"/>
      <c r="E9777" s="3"/>
      <c r="F9777" s="3"/>
    </row>
    <row r="9778" spans="3:6" x14ac:dyDescent="0.3">
      <c r="C9778" s="3"/>
      <c r="D9778" s="3"/>
      <c r="E9778" s="3"/>
      <c r="F9778" s="3"/>
    </row>
    <row r="9779" spans="3:6" x14ac:dyDescent="0.3">
      <c r="C9779" s="3"/>
      <c r="D9779" s="3"/>
      <c r="E9779" s="3"/>
      <c r="F9779" s="3"/>
    </row>
    <row r="9780" spans="3:6" x14ac:dyDescent="0.3">
      <c r="C9780" s="3"/>
      <c r="D9780" s="3"/>
      <c r="E9780" s="3"/>
      <c r="F9780" s="3"/>
    </row>
    <row r="9781" spans="3:6" x14ac:dyDescent="0.3">
      <c r="C9781" s="3"/>
      <c r="D9781" s="3"/>
      <c r="E9781" s="3"/>
      <c r="F9781" s="3"/>
    </row>
    <row r="9782" spans="3:6" x14ac:dyDescent="0.3">
      <c r="C9782" s="3"/>
      <c r="D9782" s="3"/>
      <c r="E9782" s="3"/>
      <c r="F9782" s="3"/>
    </row>
    <row r="9783" spans="3:6" x14ac:dyDescent="0.3">
      <c r="C9783" s="3"/>
      <c r="D9783" s="3"/>
      <c r="E9783" s="3"/>
      <c r="F9783" s="3"/>
    </row>
    <row r="9784" spans="3:6" x14ac:dyDescent="0.3">
      <c r="C9784" s="3"/>
      <c r="D9784" s="3"/>
      <c r="E9784" s="3"/>
      <c r="F9784" s="3"/>
    </row>
    <row r="9785" spans="3:6" x14ac:dyDescent="0.3">
      <c r="C9785" s="3"/>
      <c r="D9785" s="3"/>
      <c r="E9785" s="3"/>
      <c r="F9785" s="3"/>
    </row>
    <row r="9786" spans="3:6" x14ac:dyDescent="0.3">
      <c r="C9786" s="3"/>
      <c r="D9786" s="3"/>
      <c r="E9786" s="3"/>
      <c r="F9786" s="3"/>
    </row>
    <row r="9787" spans="3:6" x14ac:dyDescent="0.3">
      <c r="C9787" s="3"/>
      <c r="D9787" s="3"/>
      <c r="E9787" s="3"/>
      <c r="F9787" s="3"/>
    </row>
    <row r="9788" spans="3:6" x14ac:dyDescent="0.3">
      <c r="C9788" s="3"/>
      <c r="D9788" s="3"/>
      <c r="E9788" s="3"/>
      <c r="F9788" s="3"/>
    </row>
    <row r="9789" spans="3:6" x14ac:dyDescent="0.3">
      <c r="C9789" s="3"/>
      <c r="D9789" s="3"/>
      <c r="E9789" s="3"/>
      <c r="F9789" s="3"/>
    </row>
    <row r="9790" spans="3:6" x14ac:dyDescent="0.3">
      <c r="C9790" s="3"/>
      <c r="D9790" s="3"/>
      <c r="E9790" s="3"/>
      <c r="F9790" s="3"/>
    </row>
    <row r="9791" spans="3:6" x14ac:dyDescent="0.3">
      <c r="C9791" s="3"/>
      <c r="D9791" s="3"/>
      <c r="E9791" s="3"/>
      <c r="F9791" s="3"/>
    </row>
    <row r="9792" spans="3:6" x14ac:dyDescent="0.3">
      <c r="C9792" s="3"/>
      <c r="D9792" s="3"/>
      <c r="E9792" s="3"/>
      <c r="F9792" s="3"/>
    </row>
    <row r="9793" spans="3:6" x14ac:dyDescent="0.3">
      <c r="C9793" s="3"/>
      <c r="D9793" s="3"/>
      <c r="E9793" s="3"/>
      <c r="F9793" s="3"/>
    </row>
    <row r="9794" spans="3:6" x14ac:dyDescent="0.3">
      <c r="C9794" s="3"/>
      <c r="D9794" s="3"/>
      <c r="E9794" s="3"/>
      <c r="F9794" s="3"/>
    </row>
    <row r="9795" spans="3:6" x14ac:dyDescent="0.3">
      <c r="C9795" s="3"/>
      <c r="D9795" s="3"/>
      <c r="E9795" s="3"/>
      <c r="F9795" s="3"/>
    </row>
    <row r="9796" spans="3:6" x14ac:dyDescent="0.3">
      <c r="C9796" s="3"/>
      <c r="D9796" s="3"/>
      <c r="E9796" s="3"/>
      <c r="F9796" s="3"/>
    </row>
    <row r="9797" spans="3:6" x14ac:dyDescent="0.3">
      <c r="C9797" s="3"/>
      <c r="D9797" s="3"/>
      <c r="E9797" s="3"/>
      <c r="F9797" s="3"/>
    </row>
    <row r="9798" spans="3:6" x14ac:dyDescent="0.3">
      <c r="C9798" s="3"/>
      <c r="D9798" s="3"/>
      <c r="E9798" s="3"/>
      <c r="F9798" s="3"/>
    </row>
    <row r="9799" spans="3:6" x14ac:dyDescent="0.3">
      <c r="C9799" s="3"/>
      <c r="D9799" s="3"/>
      <c r="E9799" s="3"/>
      <c r="F9799" s="3"/>
    </row>
    <row r="9800" spans="3:6" x14ac:dyDescent="0.3">
      <c r="C9800" s="3"/>
      <c r="D9800" s="3"/>
      <c r="E9800" s="3"/>
      <c r="F9800" s="3"/>
    </row>
    <row r="9801" spans="3:6" x14ac:dyDescent="0.3">
      <c r="C9801" s="3"/>
      <c r="D9801" s="3"/>
      <c r="E9801" s="3"/>
      <c r="F9801" s="3"/>
    </row>
    <row r="9802" spans="3:6" x14ac:dyDescent="0.3">
      <c r="C9802" s="3"/>
      <c r="D9802" s="3"/>
      <c r="E9802" s="3"/>
      <c r="F9802" s="3"/>
    </row>
    <row r="9803" spans="3:6" x14ac:dyDescent="0.3">
      <c r="C9803" s="3"/>
      <c r="D9803" s="3"/>
      <c r="E9803" s="3"/>
      <c r="F9803" s="3"/>
    </row>
    <row r="9804" spans="3:6" x14ac:dyDescent="0.3">
      <c r="C9804" s="3"/>
      <c r="D9804" s="3"/>
      <c r="E9804" s="3"/>
      <c r="F9804" s="3"/>
    </row>
    <row r="9805" spans="3:6" x14ac:dyDescent="0.3">
      <c r="C9805" s="3"/>
      <c r="D9805" s="3"/>
      <c r="E9805" s="3"/>
      <c r="F9805" s="3"/>
    </row>
    <row r="9806" spans="3:6" x14ac:dyDescent="0.3">
      <c r="C9806" s="3"/>
      <c r="D9806" s="3"/>
      <c r="E9806" s="3"/>
      <c r="F9806" s="3"/>
    </row>
    <row r="9807" spans="3:6" x14ac:dyDescent="0.3">
      <c r="C9807" s="3"/>
      <c r="D9807" s="3"/>
      <c r="E9807" s="3"/>
      <c r="F9807" s="3"/>
    </row>
    <row r="9808" spans="3:6" x14ac:dyDescent="0.3">
      <c r="C9808" s="3"/>
      <c r="D9808" s="3"/>
      <c r="E9808" s="3"/>
      <c r="F9808" s="3"/>
    </row>
    <row r="9809" spans="3:6" x14ac:dyDescent="0.3">
      <c r="C9809" s="3"/>
      <c r="D9809" s="3"/>
      <c r="E9809" s="3"/>
      <c r="F9809" s="3"/>
    </row>
    <row r="9810" spans="3:6" x14ac:dyDescent="0.3">
      <c r="C9810" s="3"/>
      <c r="D9810" s="3"/>
      <c r="E9810" s="3"/>
      <c r="F9810" s="3"/>
    </row>
    <row r="9811" spans="3:6" x14ac:dyDescent="0.3">
      <c r="C9811" s="3"/>
      <c r="D9811" s="3"/>
      <c r="E9811" s="3"/>
      <c r="F9811" s="3"/>
    </row>
    <row r="9812" spans="3:6" x14ac:dyDescent="0.3">
      <c r="C9812" s="3"/>
      <c r="D9812" s="3"/>
      <c r="E9812" s="3"/>
      <c r="F9812" s="3"/>
    </row>
    <row r="9813" spans="3:6" x14ac:dyDescent="0.3">
      <c r="C9813" s="3"/>
      <c r="D9813" s="3"/>
      <c r="E9813" s="3"/>
      <c r="F9813" s="3"/>
    </row>
    <row r="9814" spans="3:6" x14ac:dyDescent="0.3">
      <c r="C9814" s="3"/>
      <c r="D9814" s="3"/>
      <c r="E9814" s="3"/>
      <c r="F9814" s="3"/>
    </row>
    <row r="9815" spans="3:6" x14ac:dyDescent="0.3">
      <c r="C9815" s="3"/>
      <c r="D9815" s="3"/>
      <c r="E9815" s="3"/>
      <c r="F9815" s="3"/>
    </row>
    <row r="9816" spans="3:6" x14ac:dyDescent="0.3">
      <c r="C9816" s="3"/>
      <c r="D9816" s="3"/>
      <c r="E9816" s="3"/>
      <c r="F9816" s="3"/>
    </row>
    <row r="9817" spans="3:6" x14ac:dyDescent="0.3">
      <c r="C9817" s="3"/>
      <c r="D9817" s="3"/>
      <c r="E9817" s="3"/>
      <c r="F9817" s="3"/>
    </row>
    <row r="9818" spans="3:6" x14ac:dyDescent="0.3">
      <c r="C9818" s="3"/>
      <c r="D9818" s="3"/>
      <c r="E9818" s="3"/>
      <c r="F9818" s="3"/>
    </row>
    <row r="9819" spans="3:6" x14ac:dyDescent="0.3">
      <c r="C9819" s="3"/>
      <c r="D9819" s="3"/>
      <c r="E9819" s="3"/>
      <c r="F9819" s="3"/>
    </row>
    <row r="9820" spans="3:6" x14ac:dyDescent="0.3">
      <c r="C9820" s="3"/>
      <c r="D9820" s="3"/>
      <c r="E9820" s="3"/>
      <c r="F9820" s="3"/>
    </row>
    <row r="9821" spans="3:6" x14ac:dyDescent="0.3">
      <c r="C9821" s="3"/>
      <c r="D9821" s="3"/>
      <c r="E9821" s="3"/>
      <c r="F9821" s="3"/>
    </row>
    <row r="9822" spans="3:6" x14ac:dyDescent="0.3">
      <c r="C9822" s="3"/>
      <c r="D9822" s="3"/>
      <c r="E9822" s="3"/>
      <c r="F9822" s="3"/>
    </row>
    <row r="9823" spans="3:6" x14ac:dyDescent="0.3">
      <c r="C9823" s="3"/>
      <c r="D9823" s="3"/>
      <c r="E9823" s="3"/>
      <c r="F9823" s="3"/>
    </row>
    <row r="9824" spans="3:6" x14ac:dyDescent="0.3">
      <c r="C9824" s="3"/>
      <c r="D9824" s="3"/>
      <c r="E9824" s="3"/>
      <c r="F9824" s="3"/>
    </row>
    <row r="9825" spans="3:6" x14ac:dyDescent="0.3">
      <c r="C9825" s="3"/>
      <c r="D9825" s="3"/>
      <c r="E9825" s="3"/>
      <c r="F9825" s="3"/>
    </row>
    <row r="9826" spans="3:6" x14ac:dyDescent="0.3">
      <c r="C9826" s="3"/>
      <c r="D9826" s="3"/>
      <c r="E9826" s="3"/>
      <c r="F9826" s="3"/>
    </row>
    <row r="9827" spans="3:6" x14ac:dyDescent="0.3">
      <c r="C9827" s="3"/>
      <c r="D9827" s="3"/>
      <c r="E9827" s="3"/>
      <c r="F9827" s="3"/>
    </row>
    <row r="9828" spans="3:6" x14ac:dyDescent="0.3">
      <c r="C9828" s="3"/>
      <c r="D9828" s="3"/>
      <c r="E9828" s="3"/>
      <c r="F9828" s="3"/>
    </row>
    <row r="9829" spans="3:6" x14ac:dyDescent="0.3">
      <c r="C9829" s="3"/>
      <c r="D9829" s="3"/>
      <c r="E9829" s="3"/>
      <c r="F9829" s="3"/>
    </row>
    <row r="9830" spans="3:6" x14ac:dyDescent="0.3">
      <c r="C9830" s="3"/>
      <c r="D9830" s="3"/>
      <c r="E9830" s="3"/>
      <c r="F9830" s="3"/>
    </row>
    <row r="9831" spans="3:6" x14ac:dyDescent="0.3">
      <c r="C9831" s="3"/>
      <c r="D9831" s="3"/>
      <c r="E9831" s="3"/>
      <c r="F9831" s="3"/>
    </row>
    <row r="9832" spans="3:6" x14ac:dyDescent="0.3">
      <c r="C9832" s="3"/>
      <c r="D9832" s="3"/>
      <c r="E9832" s="3"/>
      <c r="F9832" s="3"/>
    </row>
    <row r="9833" spans="3:6" x14ac:dyDescent="0.3">
      <c r="C9833" s="3"/>
      <c r="D9833" s="3"/>
      <c r="E9833" s="3"/>
      <c r="F9833" s="3"/>
    </row>
    <row r="9834" spans="3:6" x14ac:dyDescent="0.3">
      <c r="C9834" s="3"/>
      <c r="D9834" s="3"/>
      <c r="E9834" s="3"/>
      <c r="F9834" s="3"/>
    </row>
    <row r="9835" spans="3:6" x14ac:dyDescent="0.3">
      <c r="C9835" s="3"/>
      <c r="D9835" s="3"/>
      <c r="E9835" s="3"/>
      <c r="F9835" s="3"/>
    </row>
    <row r="9836" spans="3:6" x14ac:dyDescent="0.3">
      <c r="C9836" s="3"/>
      <c r="D9836" s="3"/>
      <c r="E9836" s="3"/>
      <c r="F9836" s="3"/>
    </row>
    <row r="9837" spans="3:6" x14ac:dyDescent="0.3">
      <c r="C9837" s="3"/>
      <c r="D9837" s="3"/>
      <c r="E9837" s="3"/>
      <c r="F9837" s="3"/>
    </row>
    <row r="9838" spans="3:6" x14ac:dyDescent="0.3">
      <c r="C9838" s="3"/>
      <c r="D9838" s="3"/>
      <c r="E9838" s="3"/>
      <c r="F9838" s="3"/>
    </row>
    <row r="9839" spans="3:6" x14ac:dyDescent="0.3">
      <c r="C9839" s="3"/>
      <c r="D9839" s="3"/>
      <c r="E9839" s="3"/>
      <c r="F9839" s="3"/>
    </row>
    <row r="9840" spans="3:6" x14ac:dyDescent="0.3">
      <c r="C9840" s="3"/>
      <c r="D9840" s="3"/>
      <c r="E9840" s="3"/>
      <c r="F9840" s="3"/>
    </row>
    <row r="9841" spans="3:6" x14ac:dyDescent="0.3">
      <c r="C9841" s="3"/>
      <c r="D9841" s="3"/>
      <c r="E9841" s="3"/>
      <c r="F9841" s="3"/>
    </row>
    <row r="9842" spans="3:6" x14ac:dyDescent="0.3">
      <c r="C9842" s="3"/>
      <c r="D9842" s="3"/>
      <c r="E9842" s="3"/>
      <c r="F9842" s="3"/>
    </row>
    <row r="9843" spans="3:6" x14ac:dyDescent="0.3">
      <c r="C9843" s="3"/>
      <c r="D9843" s="3"/>
      <c r="E9843" s="3"/>
      <c r="F9843" s="3"/>
    </row>
    <row r="9844" spans="3:6" x14ac:dyDescent="0.3">
      <c r="C9844" s="3"/>
      <c r="D9844" s="3"/>
      <c r="E9844" s="3"/>
      <c r="F9844" s="3"/>
    </row>
    <row r="9845" spans="3:6" x14ac:dyDescent="0.3">
      <c r="C9845" s="3"/>
      <c r="D9845" s="3"/>
      <c r="E9845" s="3"/>
      <c r="F9845" s="3"/>
    </row>
    <row r="9846" spans="3:6" x14ac:dyDescent="0.3">
      <c r="C9846" s="3"/>
      <c r="D9846" s="3"/>
      <c r="E9846" s="3"/>
      <c r="F9846" s="3"/>
    </row>
    <row r="9847" spans="3:6" x14ac:dyDescent="0.3">
      <c r="C9847" s="3"/>
      <c r="D9847" s="3"/>
      <c r="E9847" s="3"/>
      <c r="F9847" s="3"/>
    </row>
    <row r="9848" spans="3:6" x14ac:dyDescent="0.3">
      <c r="C9848" s="3"/>
      <c r="D9848" s="3"/>
      <c r="E9848" s="3"/>
      <c r="F9848" s="3"/>
    </row>
    <row r="9849" spans="3:6" x14ac:dyDescent="0.3">
      <c r="C9849" s="3"/>
      <c r="D9849" s="3"/>
      <c r="E9849" s="3"/>
      <c r="F9849" s="3"/>
    </row>
    <row r="9850" spans="3:6" x14ac:dyDescent="0.3">
      <c r="C9850" s="3"/>
      <c r="D9850" s="3"/>
      <c r="E9850" s="3"/>
      <c r="F9850" s="3"/>
    </row>
    <row r="9851" spans="3:6" x14ac:dyDescent="0.3">
      <c r="C9851" s="3"/>
      <c r="D9851" s="3"/>
      <c r="E9851" s="3"/>
      <c r="F9851" s="3"/>
    </row>
    <row r="9852" spans="3:6" x14ac:dyDescent="0.3">
      <c r="C9852" s="3"/>
      <c r="D9852" s="3"/>
      <c r="E9852" s="3"/>
      <c r="F9852" s="3"/>
    </row>
    <row r="9853" spans="3:6" x14ac:dyDescent="0.3">
      <c r="C9853" s="3"/>
      <c r="D9853" s="3"/>
      <c r="E9853" s="3"/>
      <c r="F9853" s="3"/>
    </row>
    <row r="9854" spans="3:6" x14ac:dyDescent="0.3">
      <c r="C9854" s="3"/>
      <c r="D9854" s="3"/>
      <c r="E9854" s="3"/>
      <c r="F9854" s="3"/>
    </row>
    <row r="9855" spans="3:6" x14ac:dyDescent="0.3">
      <c r="C9855" s="3"/>
      <c r="D9855" s="3"/>
      <c r="E9855" s="3"/>
      <c r="F9855" s="3"/>
    </row>
    <row r="9856" spans="3:6" x14ac:dyDescent="0.3">
      <c r="C9856" s="3"/>
      <c r="D9856" s="3"/>
      <c r="E9856" s="3"/>
      <c r="F9856" s="3"/>
    </row>
    <row r="9857" spans="3:6" x14ac:dyDescent="0.3">
      <c r="C9857" s="3"/>
      <c r="D9857" s="3"/>
      <c r="E9857" s="3"/>
      <c r="F9857" s="3"/>
    </row>
    <row r="9858" spans="3:6" x14ac:dyDescent="0.3">
      <c r="C9858" s="3"/>
      <c r="D9858" s="3"/>
      <c r="E9858" s="3"/>
      <c r="F9858" s="3"/>
    </row>
    <row r="9859" spans="3:6" x14ac:dyDescent="0.3">
      <c r="C9859" s="3"/>
      <c r="D9859" s="3"/>
      <c r="E9859" s="3"/>
      <c r="F9859" s="3"/>
    </row>
    <row r="9860" spans="3:6" x14ac:dyDescent="0.3">
      <c r="C9860" s="3"/>
      <c r="D9860" s="3"/>
      <c r="E9860" s="3"/>
      <c r="F9860" s="3"/>
    </row>
    <row r="9861" spans="3:6" x14ac:dyDescent="0.3">
      <c r="C9861" s="3"/>
      <c r="D9861" s="3"/>
      <c r="E9861" s="3"/>
      <c r="F9861" s="3"/>
    </row>
    <row r="9862" spans="3:6" x14ac:dyDescent="0.3">
      <c r="C9862" s="3"/>
      <c r="D9862" s="3"/>
      <c r="E9862" s="3"/>
      <c r="F9862" s="3"/>
    </row>
    <row r="9863" spans="3:6" x14ac:dyDescent="0.3">
      <c r="C9863" s="3"/>
      <c r="D9863" s="3"/>
      <c r="E9863" s="3"/>
      <c r="F9863" s="3"/>
    </row>
    <row r="9864" spans="3:6" x14ac:dyDescent="0.3">
      <c r="C9864" s="3"/>
      <c r="D9864" s="3"/>
      <c r="E9864" s="3"/>
      <c r="F9864" s="3"/>
    </row>
    <row r="9865" spans="3:6" x14ac:dyDescent="0.3">
      <c r="C9865" s="3"/>
      <c r="D9865" s="3"/>
      <c r="E9865" s="3"/>
      <c r="F9865" s="3"/>
    </row>
    <row r="9866" spans="3:6" x14ac:dyDescent="0.3">
      <c r="C9866" s="3"/>
      <c r="D9866" s="3"/>
      <c r="E9866" s="3"/>
      <c r="F9866" s="3"/>
    </row>
    <row r="9867" spans="3:6" x14ac:dyDescent="0.3">
      <c r="C9867" s="3"/>
      <c r="D9867" s="3"/>
      <c r="E9867" s="3"/>
      <c r="F9867" s="3"/>
    </row>
    <row r="9868" spans="3:6" x14ac:dyDescent="0.3">
      <c r="C9868" s="3"/>
      <c r="D9868" s="3"/>
      <c r="E9868" s="3"/>
      <c r="F9868" s="3"/>
    </row>
    <row r="9869" spans="3:6" x14ac:dyDescent="0.3">
      <c r="C9869" s="3"/>
      <c r="D9869" s="3"/>
      <c r="E9869" s="3"/>
      <c r="F9869" s="3"/>
    </row>
    <row r="9870" spans="3:6" x14ac:dyDescent="0.3">
      <c r="C9870" s="3"/>
      <c r="D9870" s="3"/>
      <c r="E9870" s="3"/>
      <c r="F9870" s="3"/>
    </row>
    <row r="9871" spans="3:6" x14ac:dyDescent="0.3">
      <c r="C9871" s="3"/>
      <c r="D9871" s="3"/>
      <c r="E9871" s="3"/>
      <c r="F9871" s="3"/>
    </row>
    <row r="9872" spans="3:6" x14ac:dyDescent="0.3">
      <c r="C9872" s="3"/>
      <c r="D9872" s="3"/>
      <c r="E9872" s="3"/>
      <c r="F9872" s="3"/>
    </row>
    <row r="9873" spans="3:6" x14ac:dyDescent="0.3">
      <c r="C9873" s="3"/>
      <c r="D9873" s="3"/>
      <c r="E9873" s="3"/>
      <c r="F9873" s="3"/>
    </row>
    <row r="9874" spans="3:6" x14ac:dyDescent="0.3">
      <c r="C9874" s="3"/>
      <c r="D9874" s="3"/>
      <c r="E9874" s="3"/>
      <c r="F9874" s="3"/>
    </row>
    <row r="9875" spans="3:6" x14ac:dyDescent="0.3">
      <c r="C9875" s="3"/>
      <c r="D9875" s="3"/>
      <c r="E9875" s="3"/>
      <c r="F9875" s="3"/>
    </row>
    <row r="9876" spans="3:6" x14ac:dyDescent="0.3">
      <c r="C9876" s="3"/>
      <c r="D9876" s="3"/>
      <c r="E9876" s="3"/>
      <c r="F9876" s="3"/>
    </row>
    <row r="9877" spans="3:6" x14ac:dyDescent="0.3">
      <c r="C9877" s="3"/>
      <c r="D9877" s="3"/>
      <c r="E9877" s="3"/>
      <c r="F9877" s="3"/>
    </row>
    <row r="9878" spans="3:6" x14ac:dyDescent="0.3">
      <c r="C9878" s="3"/>
      <c r="D9878" s="3"/>
      <c r="E9878" s="3"/>
      <c r="F9878" s="3"/>
    </row>
    <row r="9879" spans="3:6" x14ac:dyDescent="0.3">
      <c r="C9879" s="3"/>
      <c r="D9879" s="3"/>
      <c r="E9879" s="3"/>
      <c r="F9879" s="3"/>
    </row>
    <row r="9880" spans="3:6" x14ac:dyDescent="0.3">
      <c r="C9880" s="3"/>
      <c r="D9880" s="3"/>
      <c r="E9880" s="3"/>
      <c r="F9880" s="3"/>
    </row>
    <row r="9881" spans="3:6" x14ac:dyDescent="0.3">
      <c r="C9881" s="3"/>
      <c r="D9881" s="3"/>
      <c r="E9881" s="3"/>
      <c r="F9881" s="3"/>
    </row>
    <row r="9882" spans="3:6" x14ac:dyDescent="0.3">
      <c r="C9882" s="3"/>
      <c r="D9882" s="3"/>
      <c r="E9882" s="3"/>
      <c r="F9882" s="3"/>
    </row>
    <row r="9883" spans="3:6" x14ac:dyDescent="0.3">
      <c r="C9883" s="3"/>
      <c r="D9883" s="3"/>
      <c r="E9883" s="3"/>
      <c r="F9883" s="3"/>
    </row>
    <row r="9884" spans="3:6" x14ac:dyDescent="0.3">
      <c r="C9884" s="3"/>
      <c r="D9884" s="3"/>
      <c r="E9884" s="3"/>
      <c r="F9884" s="3"/>
    </row>
    <row r="9885" spans="3:6" x14ac:dyDescent="0.3">
      <c r="C9885" s="3"/>
      <c r="D9885" s="3"/>
      <c r="E9885" s="3"/>
      <c r="F9885" s="3"/>
    </row>
    <row r="9886" spans="3:6" x14ac:dyDescent="0.3">
      <c r="C9886" s="3"/>
      <c r="D9886" s="3"/>
      <c r="E9886" s="3"/>
      <c r="F9886" s="3"/>
    </row>
    <row r="9887" spans="3:6" x14ac:dyDescent="0.3">
      <c r="C9887" s="3"/>
      <c r="D9887" s="3"/>
      <c r="E9887" s="3"/>
      <c r="F9887" s="3"/>
    </row>
    <row r="9888" spans="3:6" x14ac:dyDescent="0.3">
      <c r="C9888" s="3"/>
      <c r="D9888" s="3"/>
      <c r="E9888" s="3"/>
      <c r="F9888" s="3"/>
    </row>
    <row r="9889" spans="3:6" x14ac:dyDescent="0.3">
      <c r="C9889" s="3"/>
      <c r="D9889" s="3"/>
      <c r="E9889" s="3"/>
      <c r="F9889" s="3"/>
    </row>
    <row r="9890" spans="3:6" x14ac:dyDescent="0.3">
      <c r="C9890" s="3"/>
      <c r="D9890" s="3"/>
      <c r="E9890" s="3"/>
      <c r="F9890" s="3"/>
    </row>
    <row r="9891" spans="3:6" x14ac:dyDescent="0.3">
      <c r="C9891" s="3"/>
      <c r="D9891" s="3"/>
      <c r="E9891" s="3"/>
      <c r="F9891" s="3"/>
    </row>
    <row r="9892" spans="3:6" x14ac:dyDescent="0.3">
      <c r="C9892" s="3"/>
      <c r="D9892" s="3"/>
      <c r="E9892" s="3"/>
      <c r="F9892" s="3"/>
    </row>
    <row r="9893" spans="3:6" x14ac:dyDescent="0.3">
      <c r="C9893" s="3"/>
      <c r="D9893" s="3"/>
      <c r="E9893" s="3"/>
      <c r="F9893" s="3"/>
    </row>
    <row r="9894" spans="3:6" x14ac:dyDescent="0.3">
      <c r="C9894" s="3"/>
      <c r="D9894" s="3"/>
      <c r="E9894" s="3"/>
      <c r="F9894" s="3"/>
    </row>
    <row r="9895" spans="3:6" x14ac:dyDescent="0.3">
      <c r="C9895" s="3"/>
      <c r="D9895" s="3"/>
      <c r="E9895" s="3"/>
      <c r="F9895" s="3"/>
    </row>
    <row r="9896" spans="3:6" x14ac:dyDescent="0.3">
      <c r="C9896" s="3"/>
      <c r="D9896" s="3"/>
      <c r="E9896" s="3"/>
      <c r="F9896" s="3"/>
    </row>
    <row r="9897" spans="3:6" x14ac:dyDescent="0.3">
      <c r="C9897" s="3"/>
      <c r="D9897" s="3"/>
      <c r="E9897" s="3"/>
      <c r="F9897" s="3"/>
    </row>
    <row r="9898" spans="3:6" x14ac:dyDescent="0.3">
      <c r="C9898" s="3"/>
      <c r="D9898" s="3"/>
      <c r="E9898" s="3"/>
      <c r="F9898" s="3"/>
    </row>
    <row r="9899" spans="3:6" x14ac:dyDescent="0.3">
      <c r="C9899" s="3"/>
      <c r="D9899" s="3"/>
      <c r="E9899" s="3"/>
      <c r="F9899" s="3"/>
    </row>
    <row r="9900" spans="3:6" x14ac:dyDescent="0.3">
      <c r="C9900" s="3"/>
      <c r="D9900" s="3"/>
      <c r="E9900" s="3"/>
      <c r="F9900" s="3"/>
    </row>
    <row r="9901" spans="3:6" x14ac:dyDescent="0.3">
      <c r="C9901" s="3"/>
      <c r="D9901" s="3"/>
      <c r="E9901" s="3"/>
      <c r="F9901" s="3"/>
    </row>
    <row r="9902" spans="3:6" x14ac:dyDescent="0.3">
      <c r="C9902" s="3"/>
      <c r="D9902" s="3"/>
      <c r="E9902" s="3"/>
      <c r="F9902" s="3"/>
    </row>
    <row r="9903" spans="3:6" x14ac:dyDescent="0.3">
      <c r="C9903" s="3"/>
      <c r="D9903" s="3"/>
      <c r="E9903" s="3"/>
      <c r="F9903" s="3"/>
    </row>
    <row r="9904" spans="3:6" x14ac:dyDescent="0.3">
      <c r="C9904" s="3"/>
      <c r="D9904" s="3"/>
      <c r="E9904" s="3"/>
      <c r="F9904" s="3"/>
    </row>
    <row r="9905" spans="3:6" x14ac:dyDescent="0.3">
      <c r="C9905" s="3"/>
      <c r="D9905" s="3"/>
      <c r="E9905" s="3"/>
      <c r="F9905" s="3"/>
    </row>
    <row r="9906" spans="3:6" x14ac:dyDescent="0.3">
      <c r="C9906" s="3"/>
      <c r="D9906" s="3"/>
      <c r="E9906" s="3"/>
      <c r="F9906" s="3"/>
    </row>
    <row r="9907" spans="3:6" x14ac:dyDescent="0.3">
      <c r="C9907" s="3"/>
      <c r="D9907" s="3"/>
      <c r="E9907" s="3"/>
      <c r="F9907" s="3"/>
    </row>
    <row r="9908" spans="3:6" x14ac:dyDescent="0.3">
      <c r="C9908" s="3"/>
      <c r="D9908" s="3"/>
      <c r="E9908" s="3"/>
      <c r="F9908" s="3"/>
    </row>
    <row r="9909" spans="3:6" x14ac:dyDescent="0.3">
      <c r="C9909" s="3"/>
      <c r="D9909" s="3"/>
      <c r="E9909" s="3"/>
      <c r="F9909" s="3"/>
    </row>
    <row r="9910" spans="3:6" x14ac:dyDescent="0.3">
      <c r="C9910" s="3"/>
      <c r="D9910" s="3"/>
      <c r="E9910" s="3"/>
      <c r="F9910" s="3"/>
    </row>
    <row r="9911" spans="3:6" x14ac:dyDescent="0.3">
      <c r="C9911" s="3"/>
      <c r="D9911" s="3"/>
      <c r="E9911" s="3"/>
      <c r="F9911" s="3"/>
    </row>
    <row r="9912" spans="3:6" x14ac:dyDescent="0.3">
      <c r="C9912" s="3"/>
      <c r="D9912" s="3"/>
      <c r="E9912" s="3"/>
      <c r="F9912" s="3"/>
    </row>
    <row r="9913" spans="3:6" x14ac:dyDescent="0.3">
      <c r="C9913" s="3"/>
      <c r="D9913" s="3"/>
      <c r="E9913" s="3"/>
      <c r="F9913" s="3"/>
    </row>
    <row r="9914" spans="3:6" x14ac:dyDescent="0.3">
      <c r="C9914" s="3"/>
      <c r="D9914" s="3"/>
      <c r="E9914" s="3"/>
      <c r="F9914" s="3"/>
    </row>
    <row r="9915" spans="3:6" x14ac:dyDescent="0.3">
      <c r="C9915" s="3"/>
      <c r="D9915" s="3"/>
      <c r="E9915" s="3"/>
      <c r="F9915" s="3"/>
    </row>
    <row r="9916" spans="3:6" x14ac:dyDescent="0.3">
      <c r="C9916" s="3"/>
      <c r="D9916" s="3"/>
      <c r="E9916" s="3"/>
      <c r="F9916" s="3"/>
    </row>
    <row r="9917" spans="3:6" x14ac:dyDescent="0.3">
      <c r="C9917" s="3"/>
      <c r="D9917" s="3"/>
      <c r="E9917" s="3"/>
      <c r="F9917" s="3"/>
    </row>
    <row r="9918" spans="3:6" x14ac:dyDescent="0.3">
      <c r="C9918" s="3"/>
      <c r="D9918" s="3"/>
      <c r="E9918" s="3"/>
      <c r="F9918" s="3"/>
    </row>
    <row r="9919" spans="3:6" x14ac:dyDescent="0.3">
      <c r="C9919" s="3"/>
      <c r="D9919" s="3"/>
      <c r="E9919" s="3"/>
      <c r="F9919" s="3"/>
    </row>
    <row r="9920" spans="3:6" x14ac:dyDescent="0.3">
      <c r="C9920" s="3"/>
      <c r="D9920" s="3"/>
      <c r="E9920" s="3"/>
      <c r="F9920" s="3"/>
    </row>
    <row r="9921" spans="3:6" x14ac:dyDescent="0.3">
      <c r="C9921" s="3"/>
      <c r="D9921" s="3"/>
      <c r="E9921" s="3"/>
      <c r="F9921" s="3"/>
    </row>
    <row r="9922" spans="3:6" x14ac:dyDescent="0.3">
      <c r="C9922" s="3"/>
      <c r="D9922" s="3"/>
      <c r="E9922" s="3"/>
      <c r="F9922" s="3"/>
    </row>
    <row r="9923" spans="3:6" x14ac:dyDescent="0.3">
      <c r="C9923" s="3"/>
      <c r="D9923" s="3"/>
      <c r="E9923" s="3"/>
      <c r="F9923" s="3"/>
    </row>
    <row r="9924" spans="3:6" x14ac:dyDescent="0.3">
      <c r="C9924" s="3"/>
      <c r="D9924" s="3"/>
      <c r="E9924" s="3"/>
      <c r="F9924" s="3"/>
    </row>
    <row r="9925" spans="3:6" x14ac:dyDescent="0.3">
      <c r="C9925" s="3"/>
      <c r="D9925" s="3"/>
      <c r="E9925" s="3"/>
      <c r="F9925" s="3"/>
    </row>
    <row r="9926" spans="3:6" x14ac:dyDescent="0.3">
      <c r="C9926" s="3"/>
      <c r="D9926" s="3"/>
      <c r="E9926" s="3"/>
      <c r="F9926" s="3"/>
    </row>
    <row r="9927" spans="3:6" x14ac:dyDescent="0.3">
      <c r="C9927" s="3"/>
      <c r="D9927" s="3"/>
      <c r="E9927" s="3"/>
      <c r="F9927" s="3"/>
    </row>
    <row r="9928" spans="3:6" x14ac:dyDescent="0.3">
      <c r="C9928" s="3"/>
      <c r="D9928" s="3"/>
      <c r="E9928" s="3"/>
      <c r="F9928" s="3"/>
    </row>
    <row r="9929" spans="3:6" x14ac:dyDescent="0.3">
      <c r="C9929" s="3"/>
      <c r="D9929" s="3"/>
      <c r="E9929" s="3"/>
      <c r="F9929" s="3"/>
    </row>
    <row r="9930" spans="3:6" x14ac:dyDescent="0.3">
      <c r="C9930" s="3"/>
      <c r="D9930" s="3"/>
      <c r="E9930" s="3"/>
      <c r="F9930" s="3"/>
    </row>
    <row r="9931" spans="3:6" x14ac:dyDescent="0.3">
      <c r="C9931" s="3"/>
      <c r="D9931" s="3"/>
      <c r="E9931" s="3"/>
      <c r="F9931" s="3"/>
    </row>
    <row r="9932" spans="3:6" x14ac:dyDescent="0.3">
      <c r="C9932" s="3"/>
      <c r="D9932" s="3"/>
      <c r="E9932" s="3"/>
      <c r="F9932" s="3"/>
    </row>
    <row r="9933" spans="3:6" x14ac:dyDescent="0.3">
      <c r="C9933" s="3"/>
      <c r="D9933" s="3"/>
      <c r="E9933" s="3"/>
      <c r="F9933" s="3"/>
    </row>
    <row r="9934" spans="3:6" x14ac:dyDescent="0.3">
      <c r="C9934" s="3"/>
      <c r="D9934" s="3"/>
      <c r="E9934" s="3"/>
      <c r="F9934" s="3"/>
    </row>
    <row r="9935" spans="3:6" x14ac:dyDescent="0.3">
      <c r="C9935" s="3"/>
      <c r="D9935" s="3"/>
      <c r="E9935" s="3"/>
      <c r="F9935" s="3"/>
    </row>
    <row r="9936" spans="3:6" x14ac:dyDescent="0.3">
      <c r="C9936" s="3"/>
      <c r="D9936" s="3"/>
      <c r="E9936" s="3"/>
      <c r="F9936" s="3"/>
    </row>
    <row r="9937" spans="3:6" x14ac:dyDescent="0.3">
      <c r="C9937" s="3"/>
      <c r="D9937" s="3"/>
      <c r="E9937" s="3"/>
      <c r="F9937" s="3"/>
    </row>
    <row r="9938" spans="3:6" x14ac:dyDescent="0.3">
      <c r="C9938" s="3"/>
      <c r="D9938" s="3"/>
      <c r="E9938" s="3"/>
      <c r="F9938" s="3"/>
    </row>
    <row r="9939" spans="3:6" x14ac:dyDescent="0.3">
      <c r="C9939" s="3"/>
      <c r="D9939" s="3"/>
      <c r="E9939" s="3"/>
      <c r="F9939" s="3"/>
    </row>
    <row r="9940" spans="3:6" x14ac:dyDescent="0.3">
      <c r="C9940" s="3"/>
      <c r="D9940" s="3"/>
      <c r="E9940" s="3"/>
      <c r="F9940" s="3"/>
    </row>
    <row r="9941" spans="3:6" x14ac:dyDescent="0.3">
      <c r="C9941" s="3"/>
      <c r="D9941" s="3"/>
      <c r="E9941" s="3"/>
      <c r="F9941" s="3"/>
    </row>
    <row r="9942" spans="3:6" x14ac:dyDescent="0.3">
      <c r="C9942" s="3"/>
      <c r="D9942" s="3"/>
      <c r="E9942" s="3"/>
      <c r="F9942" s="3"/>
    </row>
    <row r="9943" spans="3:6" x14ac:dyDescent="0.3">
      <c r="C9943" s="3"/>
      <c r="D9943" s="3"/>
      <c r="E9943" s="3"/>
      <c r="F9943" s="3"/>
    </row>
    <row r="9944" spans="3:6" x14ac:dyDescent="0.3">
      <c r="C9944" s="3"/>
      <c r="D9944" s="3"/>
      <c r="E9944" s="3"/>
      <c r="F9944" s="3"/>
    </row>
    <row r="9945" spans="3:6" x14ac:dyDescent="0.3">
      <c r="C9945" s="3"/>
      <c r="D9945" s="3"/>
      <c r="E9945" s="3"/>
      <c r="F9945" s="3"/>
    </row>
    <row r="9946" spans="3:6" x14ac:dyDescent="0.3">
      <c r="C9946" s="3"/>
      <c r="D9946" s="3"/>
      <c r="E9946" s="3"/>
      <c r="F9946" s="3"/>
    </row>
    <row r="9947" spans="3:6" x14ac:dyDescent="0.3">
      <c r="C9947" s="3"/>
      <c r="D9947" s="3"/>
      <c r="E9947" s="3"/>
      <c r="F9947" s="3"/>
    </row>
    <row r="9948" spans="3:6" x14ac:dyDescent="0.3">
      <c r="C9948" s="3"/>
      <c r="D9948" s="3"/>
      <c r="E9948" s="3"/>
      <c r="F9948" s="3"/>
    </row>
    <row r="9949" spans="3:6" x14ac:dyDescent="0.3">
      <c r="C9949" s="3"/>
      <c r="D9949" s="3"/>
      <c r="E9949" s="3"/>
      <c r="F9949" s="3"/>
    </row>
    <row r="9950" spans="3:6" x14ac:dyDescent="0.3">
      <c r="C9950" s="3"/>
      <c r="D9950" s="3"/>
      <c r="E9950" s="3"/>
      <c r="F9950" s="3"/>
    </row>
    <row r="9951" spans="3:6" x14ac:dyDescent="0.3">
      <c r="C9951" s="3"/>
      <c r="D9951" s="3"/>
      <c r="E9951" s="3"/>
      <c r="F9951" s="3"/>
    </row>
    <row r="9952" spans="3:6" x14ac:dyDescent="0.3">
      <c r="C9952" s="3"/>
      <c r="D9952" s="3"/>
      <c r="E9952" s="3"/>
      <c r="F9952" s="3"/>
    </row>
    <row r="9953" spans="3:6" x14ac:dyDescent="0.3">
      <c r="C9953" s="3"/>
      <c r="D9953" s="3"/>
      <c r="E9953" s="3"/>
      <c r="F9953" s="3"/>
    </row>
    <row r="9954" spans="3:6" x14ac:dyDescent="0.3">
      <c r="C9954" s="3"/>
      <c r="D9954" s="3"/>
      <c r="E9954" s="3"/>
      <c r="F9954" s="3"/>
    </row>
    <row r="9955" spans="3:6" x14ac:dyDescent="0.3">
      <c r="C9955" s="3"/>
      <c r="D9955" s="3"/>
      <c r="E9955" s="3"/>
      <c r="F9955" s="3"/>
    </row>
    <row r="9956" spans="3:6" x14ac:dyDescent="0.3">
      <c r="C9956" s="3"/>
      <c r="D9956" s="3"/>
      <c r="E9956" s="3"/>
      <c r="F9956" s="3"/>
    </row>
    <row r="9957" spans="3:6" x14ac:dyDescent="0.3">
      <c r="C9957" s="3"/>
      <c r="D9957" s="3"/>
      <c r="E9957" s="3"/>
      <c r="F9957" s="3"/>
    </row>
    <row r="9958" spans="3:6" x14ac:dyDescent="0.3">
      <c r="C9958" s="3"/>
      <c r="D9958" s="3"/>
      <c r="E9958" s="3"/>
      <c r="F9958" s="3"/>
    </row>
    <row r="9959" spans="3:6" x14ac:dyDescent="0.3">
      <c r="C9959" s="3"/>
      <c r="D9959" s="3"/>
      <c r="E9959" s="3"/>
      <c r="F9959" s="3"/>
    </row>
    <row r="9960" spans="3:6" x14ac:dyDescent="0.3">
      <c r="C9960" s="3"/>
      <c r="D9960" s="3"/>
      <c r="E9960" s="3"/>
      <c r="F9960" s="3"/>
    </row>
    <row r="9961" spans="3:6" x14ac:dyDescent="0.3">
      <c r="C9961" s="3"/>
      <c r="D9961" s="3"/>
      <c r="E9961" s="3"/>
      <c r="F9961" s="3"/>
    </row>
    <row r="9962" spans="3:6" x14ac:dyDescent="0.3">
      <c r="C9962" s="3"/>
      <c r="D9962" s="3"/>
      <c r="E9962" s="3"/>
      <c r="F9962" s="3"/>
    </row>
    <row r="9963" spans="3:6" x14ac:dyDescent="0.3">
      <c r="C9963" s="3"/>
      <c r="D9963" s="3"/>
      <c r="E9963" s="3"/>
      <c r="F9963" s="3"/>
    </row>
    <row r="9964" spans="3:6" x14ac:dyDescent="0.3">
      <c r="C9964" s="3"/>
      <c r="D9964" s="3"/>
      <c r="E9964" s="3"/>
      <c r="F9964" s="3"/>
    </row>
    <row r="9965" spans="3:6" x14ac:dyDescent="0.3">
      <c r="C9965" s="3"/>
      <c r="D9965" s="3"/>
      <c r="E9965" s="3"/>
      <c r="F9965" s="3"/>
    </row>
    <row r="9966" spans="3:6" x14ac:dyDescent="0.3">
      <c r="C9966" s="3"/>
      <c r="D9966" s="3"/>
      <c r="E9966" s="3"/>
      <c r="F9966" s="3"/>
    </row>
    <row r="9967" spans="3:6" x14ac:dyDescent="0.3">
      <c r="C9967" s="3"/>
      <c r="D9967" s="3"/>
      <c r="E9967" s="3"/>
      <c r="F9967" s="3"/>
    </row>
    <row r="9968" spans="3:6" x14ac:dyDescent="0.3">
      <c r="C9968" s="3"/>
      <c r="D9968" s="3"/>
      <c r="E9968" s="3"/>
      <c r="F9968" s="3"/>
    </row>
    <row r="9969" spans="3:6" x14ac:dyDescent="0.3">
      <c r="C9969" s="3"/>
      <c r="D9969" s="3"/>
      <c r="E9969" s="3"/>
      <c r="F9969" s="3"/>
    </row>
    <row r="9970" spans="3:6" x14ac:dyDescent="0.3">
      <c r="C9970" s="3"/>
      <c r="D9970" s="3"/>
      <c r="E9970" s="3"/>
      <c r="F9970" s="3"/>
    </row>
    <row r="9971" spans="3:6" x14ac:dyDescent="0.3">
      <c r="C9971" s="3"/>
      <c r="D9971" s="3"/>
      <c r="E9971" s="3"/>
      <c r="F9971" s="3"/>
    </row>
    <row r="9972" spans="3:6" x14ac:dyDescent="0.3">
      <c r="C9972" s="3"/>
      <c r="D9972" s="3"/>
      <c r="E9972" s="3"/>
      <c r="F9972" s="3"/>
    </row>
    <row r="9973" spans="3:6" x14ac:dyDescent="0.3">
      <c r="C9973" s="3"/>
      <c r="D9973" s="3"/>
      <c r="E9973" s="3"/>
      <c r="F9973" s="3"/>
    </row>
    <row r="9974" spans="3:6" x14ac:dyDescent="0.3">
      <c r="C9974" s="3"/>
      <c r="D9974" s="3"/>
      <c r="E9974" s="3"/>
      <c r="F9974" s="3"/>
    </row>
    <row r="9975" spans="3:6" x14ac:dyDescent="0.3">
      <c r="C9975" s="3"/>
      <c r="D9975" s="3"/>
      <c r="E9975" s="3"/>
      <c r="F9975" s="3"/>
    </row>
    <row r="9976" spans="3:6" x14ac:dyDescent="0.3">
      <c r="C9976" s="3"/>
      <c r="D9976" s="3"/>
      <c r="E9976" s="3"/>
      <c r="F9976" s="3"/>
    </row>
    <row r="9977" spans="3:6" x14ac:dyDescent="0.3">
      <c r="C9977" s="3"/>
      <c r="D9977" s="3"/>
      <c r="E9977" s="3"/>
      <c r="F9977" s="3"/>
    </row>
    <row r="9978" spans="3:6" x14ac:dyDescent="0.3">
      <c r="C9978" s="3"/>
      <c r="D9978" s="3"/>
      <c r="E9978" s="3"/>
      <c r="F9978" s="3"/>
    </row>
    <row r="9979" spans="3:6" x14ac:dyDescent="0.3">
      <c r="C9979" s="3"/>
      <c r="D9979" s="3"/>
      <c r="E9979" s="3"/>
      <c r="F9979" s="3"/>
    </row>
    <row r="9980" spans="3:6" x14ac:dyDescent="0.3">
      <c r="C9980" s="3"/>
      <c r="D9980" s="3"/>
      <c r="E9980" s="3"/>
      <c r="F9980" s="3"/>
    </row>
    <row r="9981" spans="3:6" x14ac:dyDescent="0.3">
      <c r="C9981" s="3"/>
      <c r="D9981" s="3"/>
      <c r="E9981" s="3"/>
      <c r="F9981" s="3"/>
    </row>
    <row r="9982" spans="3:6" x14ac:dyDescent="0.3">
      <c r="C9982" s="3"/>
      <c r="D9982" s="3"/>
      <c r="E9982" s="3"/>
      <c r="F9982" s="3"/>
    </row>
    <row r="9983" spans="3:6" x14ac:dyDescent="0.3">
      <c r="C9983" s="3"/>
      <c r="D9983" s="3"/>
      <c r="E9983" s="3"/>
      <c r="F9983" s="3"/>
    </row>
    <row r="9984" spans="3:6" x14ac:dyDescent="0.3">
      <c r="C9984" s="3"/>
      <c r="D9984" s="3"/>
      <c r="E9984" s="3"/>
      <c r="F9984" s="3"/>
    </row>
    <row r="9985" spans="3:6" x14ac:dyDescent="0.3">
      <c r="C9985" s="3"/>
      <c r="D9985" s="3"/>
      <c r="E9985" s="3"/>
      <c r="F9985" s="3"/>
    </row>
    <row r="9986" spans="3:6" x14ac:dyDescent="0.3">
      <c r="C9986" s="3"/>
      <c r="D9986" s="3"/>
      <c r="E9986" s="3"/>
      <c r="F9986" s="3"/>
    </row>
    <row r="9987" spans="3:6" x14ac:dyDescent="0.3">
      <c r="C9987" s="3"/>
      <c r="D9987" s="3"/>
      <c r="E9987" s="3"/>
      <c r="F9987" s="3"/>
    </row>
    <row r="9988" spans="3:6" x14ac:dyDescent="0.3">
      <c r="C9988" s="3"/>
      <c r="D9988" s="3"/>
      <c r="E9988" s="3"/>
      <c r="F9988" s="3"/>
    </row>
    <row r="9989" spans="3:6" x14ac:dyDescent="0.3">
      <c r="C9989" s="3"/>
      <c r="D9989" s="3"/>
      <c r="E9989" s="3"/>
      <c r="F9989" s="3"/>
    </row>
    <row r="9990" spans="3:6" x14ac:dyDescent="0.3">
      <c r="C9990" s="3"/>
      <c r="D9990" s="3"/>
      <c r="E9990" s="3"/>
      <c r="F9990" s="3"/>
    </row>
    <row r="9991" spans="3:6" x14ac:dyDescent="0.3">
      <c r="C9991" s="3"/>
      <c r="D9991" s="3"/>
      <c r="E9991" s="3"/>
      <c r="F9991" s="3"/>
    </row>
    <row r="9992" spans="3:6" x14ac:dyDescent="0.3">
      <c r="C9992" s="3"/>
      <c r="D9992" s="3"/>
      <c r="E9992" s="3"/>
      <c r="F9992" s="3"/>
    </row>
    <row r="9993" spans="3:6" x14ac:dyDescent="0.3">
      <c r="C9993" s="3"/>
      <c r="D9993" s="3"/>
      <c r="E9993" s="3"/>
      <c r="F9993" s="3"/>
    </row>
    <row r="9994" spans="3:6" x14ac:dyDescent="0.3">
      <c r="C9994" s="3"/>
      <c r="D9994" s="3"/>
      <c r="E9994" s="3"/>
      <c r="F9994" s="3"/>
    </row>
    <row r="9995" spans="3:6" x14ac:dyDescent="0.3">
      <c r="C9995" s="3"/>
      <c r="D9995" s="3"/>
      <c r="E9995" s="3"/>
      <c r="F999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3023-87A9-4D6C-A0CB-27CBCF109324}">
  <dimension ref="A2:E21"/>
  <sheetViews>
    <sheetView workbookViewId="0">
      <selection activeCell="D20" sqref="D20"/>
    </sheetView>
  </sheetViews>
  <sheetFormatPr defaultRowHeight="14.4" x14ac:dyDescent="0.3"/>
  <cols>
    <col min="1" max="1" width="13.88671875" bestFit="1" customWidth="1"/>
    <col min="2" max="2" width="15.88671875" bestFit="1" customWidth="1"/>
    <col min="3" max="3" width="10.77734375" bestFit="1" customWidth="1"/>
    <col min="4" max="4" width="13.109375" bestFit="1" customWidth="1"/>
    <col min="5" max="5" width="12.109375" bestFit="1" customWidth="1"/>
    <col min="6" max="6" width="11.88671875" bestFit="1" customWidth="1"/>
  </cols>
  <sheetData>
    <row r="2" spans="1:5" x14ac:dyDescent="0.3">
      <c r="A2" t="s">
        <v>3017</v>
      </c>
      <c r="C2" s="5" t="s">
        <v>13</v>
      </c>
      <c r="D2" t="s">
        <v>3002</v>
      </c>
      <c r="E2" t="s">
        <v>3000</v>
      </c>
    </row>
    <row r="3" spans="1:5" x14ac:dyDescent="0.3">
      <c r="A3" s="8">
        <v>1000</v>
      </c>
      <c r="C3" s="6" t="s">
        <v>105</v>
      </c>
      <c r="D3" s="4">
        <v>67009.848399999988</v>
      </c>
      <c r="E3" s="4">
        <v>2169.6442000000002</v>
      </c>
    </row>
    <row r="4" spans="1:5" x14ac:dyDescent="0.3">
      <c r="C4" s="6" t="s">
        <v>148</v>
      </c>
      <c r="D4" s="4">
        <v>59491.641000000025</v>
      </c>
      <c r="E4" s="4">
        <v>2790.3042999999993</v>
      </c>
    </row>
    <row r="5" spans="1:5" x14ac:dyDescent="0.3">
      <c r="C5" s="6" t="s">
        <v>30</v>
      </c>
      <c r="D5" s="4">
        <v>43563.958499999979</v>
      </c>
      <c r="E5" s="4">
        <v>2860.7752</v>
      </c>
    </row>
    <row r="6" spans="1:5" x14ac:dyDescent="0.3">
      <c r="C6" s="6" t="s">
        <v>44</v>
      </c>
      <c r="D6" s="4">
        <v>71065.319999999963</v>
      </c>
      <c r="E6" s="4">
        <v>10925.455499999998</v>
      </c>
    </row>
    <row r="7" spans="1:5" x14ac:dyDescent="0.3">
      <c r="C7" s="6" t="s">
        <v>2999</v>
      </c>
      <c r="D7" s="4">
        <v>241130.76789999998</v>
      </c>
      <c r="E7" s="4">
        <v>18746.179199999999</v>
      </c>
    </row>
    <row r="9" spans="1:5" x14ac:dyDescent="0.3">
      <c r="A9" s="5" t="s">
        <v>3003</v>
      </c>
      <c r="B9" t="s">
        <v>3016</v>
      </c>
      <c r="D9" s="5" t="s">
        <v>15</v>
      </c>
      <c r="E9" t="s">
        <v>3001</v>
      </c>
    </row>
    <row r="10" spans="1:5" x14ac:dyDescent="0.3">
      <c r="A10" s="6" t="s">
        <v>3004</v>
      </c>
      <c r="B10" s="8">
        <v>111</v>
      </c>
      <c r="D10" s="6" t="s">
        <v>46</v>
      </c>
      <c r="E10" s="8">
        <v>2272</v>
      </c>
    </row>
    <row r="11" spans="1:5" x14ac:dyDescent="0.3">
      <c r="A11" s="6" t="s">
        <v>3007</v>
      </c>
      <c r="B11" s="8">
        <v>103</v>
      </c>
      <c r="D11" s="6" t="s">
        <v>32</v>
      </c>
      <c r="E11" s="8">
        <v>798</v>
      </c>
    </row>
    <row r="12" spans="1:5" x14ac:dyDescent="0.3">
      <c r="A12" s="6" t="s">
        <v>3006</v>
      </c>
      <c r="B12" s="8">
        <v>101</v>
      </c>
      <c r="D12" s="6" t="s">
        <v>71</v>
      </c>
      <c r="E12" s="8">
        <v>734</v>
      </c>
    </row>
    <row r="13" spans="1:5" x14ac:dyDescent="0.3">
      <c r="A13" s="6" t="s">
        <v>3008</v>
      </c>
      <c r="B13" s="8">
        <v>97</v>
      </c>
    </row>
    <row r="14" spans="1:5" x14ac:dyDescent="0.3">
      <c r="A14" s="6" t="s">
        <v>3012</v>
      </c>
      <c r="B14" s="8">
        <v>94</v>
      </c>
      <c r="D14" s="5" t="s">
        <v>3024</v>
      </c>
      <c r="E14" t="s">
        <v>3000</v>
      </c>
    </row>
    <row r="15" spans="1:5" x14ac:dyDescent="0.3">
      <c r="A15" s="6" t="s">
        <v>3011</v>
      </c>
      <c r="B15" s="8">
        <v>94</v>
      </c>
      <c r="D15" s="6" t="s">
        <v>3020</v>
      </c>
      <c r="E15" s="4">
        <v>3917.9949000000001</v>
      </c>
    </row>
    <row r="16" spans="1:5" x14ac:dyDescent="0.3">
      <c r="A16" s="6" t="s">
        <v>3005</v>
      </c>
      <c r="B16" s="8">
        <v>90</v>
      </c>
      <c r="D16" s="6" t="s">
        <v>3021</v>
      </c>
      <c r="E16" s="4">
        <v>1269.3354999999988</v>
      </c>
    </row>
    <row r="17" spans="1:5" x14ac:dyDescent="0.3">
      <c r="A17" s="6" t="s">
        <v>3009</v>
      </c>
      <c r="B17" s="8">
        <v>73</v>
      </c>
      <c r="D17" s="6" t="s">
        <v>3018</v>
      </c>
      <c r="E17" s="4">
        <v>6276.0349999999999</v>
      </c>
    </row>
    <row r="18" spans="1:5" x14ac:dyDescent="0.3">
      <c r="A18" s="6" t="s">
        <v>3010</v>
      </c>
      <c r="B18" s="8">
        <v>68</v>
      </c>
      <c r="D18" s="6" t="s">
        <v>3022</v>
      </c>
      <c r="E18" s="4">
        <v>2230.2540999999997</v>
      </c>
    </row>
    <row r="19" spans="1:5" x14ac:dyDescent="0.3">
      <c r="A19" s="6" t="s">
        <v>3015</v>
      </c>
      <c r="B19" s="8">
        <v>61</v>
      </c>
      <c r="D19" s="6" t="s">
        <v>3019</v>
      </c>
      <c r="E19" s="4">
        <v>4099.5002000000022</v>
      </c>
    </row>
    <row r="20" spans="1:5" x14ac:dyDescent="0.3">
      <c r="A20" s="6" t="s">
        <v>3014</v>
      </c>
      <c r="B20" s="8">
        <v>56</v>
      </c>
      <c r="D20" s="6" t="s">
        <v>3023</v>
      </c>
      <c r="E20" s="4">
        <v>953.05950000000007</v>
      </c>
    </row>
    <row r="21" spans="1:5" x14ac:dyDescent="0.3">
      <c r="A21" s="6" t="s">
        <v>3013</v>
      </c>
      <c r="B21" s="8">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2BB8F-E980-4652-B947-288A5599E920}">
  <dimension ref="A1"/>
  <sheetViews>
    <sheetView showGridLines="0" showRowColHeaders="0" tabSelected="1" topLeftCell="A11" workbookViewId="0">
      <selection activeCell="S14" sqref="S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Emehelu Chidera</dc:creator>
  <cp:lastModifiedBy>Emehelu Chidera</cp:lastModifiedBy>
  <dcterms:created xsi:type="dcterms:W3CDTF">2026-06-07T15:05:16Z</dcterms:created>
  <dcterms:modified xsi:type="dcterms:W3CDTF">2026-06-08T15:10:00Z</dcterms:modified>
</cp:coreProperties>
</file>